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ykan\Downloads\"/>
    </mc:Choice>
  </mc:AlternateContent>
  <xr:revisionPtr revIDLastSave="0" documentId="8_{49A4CEB6-224B-496E-A8AF-B357F4EDDC4A}" xr6:coauthVersionLast="47" xr6:coauthVersionMax="47" xr10:uidLastSave="{00000000-0000-0000-0000-000000000000}"/>
  <bookViews>
    <workbookView xWindow="-108" yWindow="-108" windowWidth="23256" windowHeight="12420" xr2:uid="{78B9E386-7314-4384-AABD-71D77A65C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  <c r="I105" i="1"/>
  <c r="I103" i="1"/>
  <c r="I102" i="1"/>
  <c r="I101" i="1"/>
  <c r="I100" i="1"/>
  <c r="I99" i="1"/>
  <c r="I98" i="1"/>
  <c r="I97" i="1"/>
  <c r="I96" i="1"/>
  <c r="I95" i="1"/>
  <c r="I88" i="1"/>
  <c r="I61" i="1"/>
  <c r="I58" i="1"/>
  <c r="I56" i="1"/>
  <c r="I55" i="1"/>
  <c r="I54" i="1"/>
  <c r="I52" i="1"/>
  <c r="I51" i="1"/>
  <c r="I40" i="1"/>
  <c r="I39" i="1"/>
  <c r="I35" i="1"/>
  <c r="I32" i="1"/>
  <c r="I31" i="1"/>
  <c r="I30" i="1"/>
  <c r="I23" i="1"/>
  <c r="I22" i="1"/>
  <c r="I19" i="1"/>
  <c r="I18" i="1"/>
  <c r="I15" i="1"/>
  <c r="I13" i="1"/>
  <c r="I12" i="1"/>
  <c r="I10" i="1"/>
  <c r="I9" i="1"/>
</calcChain>
</file>

<file path=xl/sharedStrings.xml><?xml version="1.0" encoding="utf-8"?>
<sst xmlns="http://schemas.openxmlformats.org/spreadsheetml/2006/main" count="564" uniqueCount="217">
  <si>
    <t>Sr. No.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</si>
  <si>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</si>
  <si>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</si>
  <si>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</si>
  <si>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</si>
  <si>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</si>
  <si>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</si>
  <si>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</si>
  <si>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W-32</t>
  </si>
  <si>
    <t>UL 1015 # 18</t>
  </si>
  <si>
    <t>41*0.160*2.80</t>
  </si>
  <si>
    <t>Black / White</t>
  </si>
  <si>
    <t>1862006-5</t>
  </si>
  <si>
    <t>SPL- Line
485043-1 ---- A</t>
  </si>
  <si>
    <t>W-33</t>
  </si>
  <si>
    <t>White / Black</t>
  </si>
  <si>
    <t>SPL-NU
63625-1 --- B</t>
  </si>
  <si>
    <t>W-35</t>
  </si>
  <si>
    <t>UL 1569 # 22</t>
  </si>
  <si>
    <t xml:space="preserve">17 , 0.160 , 1.60 </t>
  </si>
  <si>
    <t>RED</t>
  </si>
  <si>
    <t>1744423-1</t>
  </si>
  <si>
    <t>172765-5121</t>
  </si>
  <si>
    <t>W-36</t>
  </si>
  <si>
    <t>UL 1015 # 20</t>
  </si>
  <si>
    <t>26*0.160*2.50</t>
  </si>
  <si>
    <t>Red</t>
  </si>
  <si>
    <t>1744144-1</t>
  </si>
  <si>
    <t>W-37</t>
  </si>
  <si>
    <t>SPL- Line
485043-1----B</t>
  </si>
  <si>
    <t>W-39</t>
  </si>
  <si>
    <t>Pink</t>
  </si>
  <si>
    <t>SPL- DUCT-1
63130-2 -- B</t>
  </si>
  <si>
    <t>W-40</t>
  </si>
  <si>
    <t>SPL- DUCT-2
63130-2  --- A</t>
  </si>
  <si>
    <t>W-41</t>
  </si>
  <si>
    <t>2350223-1</t>
  </si>
  <si>
    <t>W-42</t>
  </si>
  <si>
    <t>Violet</t>
  </si>
  <si>
    <t>W-43</t>
  </si>
  <si>
    <t>Blue</t>
  </si>
  <si>
    <t>SPL- WIN
63130-2….B</t>
  </si>
  <si>
    <t>W-48</t>
  </si>
  <si>
    <t>43031-0001</t>
  </si>
  <si>
    <t>W-50</t>
  </si>
  <si>
    <t>Orange</t>
  </si>
  <si>
    <t>W-59</t>
  </si>
  <si>
    <t>1744201-1</t>
  </si>
  <si>
    <t>SPL-Line
485043-1 ….A</t>
  </si>
  <si>
    <t>W-125</t>
  </si>
  <si>
    <t>Red / White</t>
  </si>
  <si>
    <t>W-129</t>
  </si>
  <si>
    <t>Red / Blue</t>
  </si>
  <si>
    <t>W-132</t>
  </si>
  <si>
    <t>Black</t>
  </si>
  <si>
    <t>35745-0110</t>
  </si>
  <si>
    <t>W-280</t>
  </si>
  <si>
    <t>Red Black</t>
  </si>
  <si>
    <t>SPL-7
63130-2------A</t>
  </si>
  <si>
    <t>W-289</t>
  </si>
  <si>
    <t>Black / Green</t>
  </si>
  <si>
    <t>917764-1</t>
  </si>
  <si>
    <t>W-290</t>
  </si>
  <si>
    <t>Red  / Black</t>
  </si>
  <si>
    <t>W-393</t>
  </si>
  <si>
    <t>Green</t>
  </si>
  <si>
    <t>SPL-GDND
63130-2-----B</t>
  </si>
  <si>
    <t>W-410</t>
  </si>
  <si>
    <t>White</t>
  </si>
  <si>
    <t>SPL-NU
63625-1 … B</t>
  </si>
  <si>
    <t>W-417</t>
  </si>
  <si>
    <t>227028-8400</t>
  </si>
  <si>
    <t>SPL-7
63130-2 …A</t>
  </si>
  <si>
    <t>W-443</t>
  </si>
  <si>
    <t>SPL-Line
485043-1 … B</t>
  </si>
  <si>
    <t>W-445</t>
  </si>
  <si>
    <t>SPL CH
63130-2 .. B</t>
  </si>
  <si>
    <t>W-457</t>
  </si>
  <si>
    <t>Green /  Yellow</t>
  </si>
  <si>
    <t>SPL GND1
485043-1… B</t>
  </si>
  <si>
    <t>W-458</t>
  </si>
  <si>
    <t>SPL GND1
485043-1… A</t>
  </si>
  <si>
    <t>W-651</t>
  </si>
  <si>
    <t>W-653</t>
  </si>
  <si>
    <t>W-655</t>
  </si>
  <si>
    <t>Tan</t>
  </si>
  <si>
    <t>W-731</t>
  </si>
  <si>
    <t>SPL NU
63625-1 ….A</t>
  </si>
  <si>
    <t>W-732</t>
  </si>
  <si>
    <t>White / Blue</t>
  </si>
  <si>
    <t>W-735</t>
  </si>
  <si>
    <t>WHITE/BLACK</t>
  </si>
  <si>
    <t>W-737</t>
  </si>
  <si>
    <t>YELLOW</t>
  </si>
  <si>
    <t>W-739</t>
  </si>
  <si>
    <t>W-744</t>
  </si>
  <si>
    <t>Light Blue</t>
  </si>
  <si>
    <t>W-749</t>
  </si>
  <si>
    <t>177916-1</t>
  </si>
  <si>
    <t>SPL-GDND
63130-2 … B</t>
  </si>
  <si>
    <t>W-750</t>
  </si>
  <si>
    <t>SPL WIN
63130-2 …B</t>
  </si>
  <si>
    <t>W-751</t>
  </si>
  <si>
    <t>W-752</t>
  </si>
  <si>
    <t>Black /  White</t>
  </si>
  <si>
    <t>SPL CH
63130-2 .. A</t>
  </si>
  <si>
    <t>W-753</t>
  </si>
  <si>
    <t>SPL WIN
63130-2 …A</t>
  </si>
  <si>
    <t>W-754</t>
  </si>
  <si>
    <t>SPL-GDND
63130-2 … A</t>
  </si>
  <si>
    <t>W-756</t>
  </si>
  <si>
    <t>SPL-100 CH
63130-2----A</t>
  </si>
  <si>
    <t>W-758</t>
  </si>
  <si>
    <t>43030-0001</t>
  </si>
  <si>
    <t>W-761</t>
  </si>
  <si>
    <t>W-762</t>
  </si>
  <si>
    <t>W-763</t>
  </si>
  <si>
    <t>Orange / Blue</t>
  </si>
  <si>
    <t>W-764</t>
  </si>
  <si>
    <t>Yellow</t>
  </si>
  <si>
    <t>W-765</t>
  </si>
  <si>
    <t>Red / Orenge</t>
  </si>
  <si>
    <t>W-766</t>
  </si>
  <si>
    <t>W-770</t>
  </si>
  <si>
    <t>W-771</t>
  </si>
  <si>
    <t>W-772</t>
  </si>
  <si>
    <t>SPL-7
63130-2 …B</t>
  </si>
  <si>
    <t>W-773</t>
  </si>
  <si>
    <t>W-774</t>
  </si>
  <si>
    <t>W-775</t>
  </si>
  <si>
    <t>W-778</t>
  </si>
  <si>
    <t>Blue /  White</t>
  </si>
  <si>
    <t>227029-8400</t>
  </si>
  <si>
    <t>W-779</t>
  </si>
  <si>
    <t>Grey</t>
  </si>
  <si>
    <t>W-787</t>
  </si>
  <si>
    <t>Yellow  / Black</t>
  </si>
  <si>
    <t>W-788</t>
  </si>
  <si>
    <t>W-789</t>
  </si>
  <si>
    <t>Brown</t>
  </si>
  <si>
    <t>W-790</t>
  </si>
  <si>
    <t>Brown /  White</t>
  </si>
  <si>
    <t>W-797</t>
  </si>
  <si>
    <t>2329911-1</t>
  </si>
  <si>
    <t>W-798</t>
  </si>
  <si>
    <t>W-799</t>
  </si>
  <si>
    <t>Red  /  Black</t>
  </si>
  <si>
    <t>W-800</t>
  </si>
  <si>
    <t>W-801</t>
  </si>
  <si>
    <t>W-802</t>
  </si>
  <si>
    <t>White /  Blue</t>
  </si>
  <si>
    <t>W-803</t>
  </si>
  <si>
    <t>Yellow / Black</t>
  </si>
  <si>
    <t>W-804</t>
  </si>
  <si>
    <t>W-805</t>
  </si>
  <si>
    <t>W-806</t>
  </si>
  <si>
    <t>W-807</t>
  </si>
  <si>
    <t>W-808</t>
  </si>
  <si>
    <t>W-809</t>
  </si>
  <si>
    <t>White / Yellow</t>
  </si>
  <si>
    <t>W-810</t>
  </si>
  <si>
    <t>White / Orange</t>
  </si>
  <si>
    <t>W-811</t>
  </si>
  <si>
    <t>SPL VCC
63130-2 …A</t>
  </si>
  <si>
    <t>W-812</t>
  </si>
  <si>
    <t>SPL VCC
63130-2 …B</t>
  </si>
  <si>
    <t>W-813</t>
  </si>
  <si>
    <t>W-822</t>
  </si>
  <si>
    <t>SPL DUCT2
63130-2 …B</t>
  </si>
  <si>
    <t>W-823</t>
  </si>
  <si>
    <t>SPL DUCT1
63130-2 …A</t>
  </si>
  <si>
    <t>W-824</t>
  </si>
  <si>
    <t>SPL DUCT1
63130-2 …1</t>
  </si>
  <si>
    <t>SPL DD1
63130-2..A</t>
  </si>
  <si>
    <t>W-825</t>
  </si>
  <si>
    <t>SPL DUCT2
63130-2 …A</t>
  </si>
  <si>
    <t>SPL DD2
63130-2..A</t>
  </si>
  <si>
    <t>W-841</t>
  </si>
  <si>
    <t>BLACK</t>
  </si>
  <si>
    <t>W-842</t>
  </si>
  <si>
    <t>SPL 100 CH
63130-2 …B</t>
  </si>
  <si>
    <t>W-844</t>
  </si>
  <si>
    <t>SPL WIN
63130-2…A</t>
  </si>
  <si>
    <t>W-846</t>
  </si>
  <si>
    <t>SPL GDND
63130-2…A</t>
  </si>
  <si>
    <t>W-851</t>
  </si>
  <si>
    <t>W-857</t>
  </si>
  <si>
    <t>GREEN-YELLOW</t>
  </si>
  <si>
    <t xml:space="preserve">SPL_GND_1 
  485043-1----A </t>
  </si>
  <si>
    <t>W-858</t>
  </si>
  <si>
    <t>W-865</t>
  </si>
  <si>
    <t>RED/BLACK</t>
  </si>
  <si>
    <t>39-00-0048</t>
  </si>
  <si>
    <t>W-867</t>
  </si>
  <si>
    <t>BROWN</t>
  </si>
  <si>
    <t>W-869</t>
  </si>
  <si>
    <t>W-871</t>
  </si>
  <si>
    <t>RED/ORANGE</t>
  </si>
  <si>
    <t>W-873</t>
  </si>
  <si>
    <t>W-874</t>
  </si>
  <si>
    <t>RED/BLUE</t>
  </si>
  <si>
    <t>W-885</t>
  </si>
  <si>
    <t>VOILET</t>
  </si>
  <si>
    <t>W-886</t>
  </si>
  <si>
    <t>ORANGE</t>
  </si>
  <si>
    <t>W-921</t>
  </si>
  <si>
    <t xml:space="preserve">SPL_100_CH   
63130-2----B </t>
  </si>
  <si>
    <t>W-928</t>
  </si>
  <si>
    <t>WHITE</t>
  </si>
  <si>
    <t>W-929</t>
  </si>
  <si>
    <t>W-930</t>
  </si>
  <si>
    <t>GREY</t>
  </si>
  <si>
    <t>W-931</t>
  </si>
  <si>
    <t>SKY BLUE</t>
  </si>
  <si>
    <t>W-924</t>
  </si>
  <si>
    <t>W-925</t>
  </si>
  <si>
    <t>W-926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</si>
</sst>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190E-D9D5-4208-90F2-E99AC53EFBB2}">
  <dimension ref="A1:M106"/>
  <sheetViews>
    <sheetView tabSelected="1" topLeftCell="A44" zoomScale="76" workbookViewId="0">
      <selection activeCell="H4" sqref="H4"/>
    </sheetView>
  </sheetViews>
  <sheetFormatPr defaultRowHeight="14.4" x14ac:dyDescent="0.3"/>
  <cols>
    <col min="7" max="7" width="23.5546875" customWidth="1"/>
    <col min="8" max="8" width="28.109375" customWidth="1"/>
    <col min="9" max="9" width="27.88671875" customWidth="1"/>
    <col min="10" max="10" width="28.21875" customWidth="1"/>
    <col min="11" max="11" width="27" customWidth="1"/>
    <col min="12" max="12" width="18.109375" customWidth="1"/>
    <col min="13" max="13" width="26.109375" customWidth="1"/>
  </cols>
  <sheetData>
    <row r="1" spans="1:13" ht="109.2" x14ac:dyDescent="0.3">
      <c r="A1" s="1" t="s">
        <v>0</v>
      </c>
      <c r="B1" s="1" t="s">
        <v>1</v>
      </c>
      <c r="C1" s="2" t="s">
        <v>2</v>
      </c>
      <c r="D1" s="2"/>
      <c r="E1" s="2"/>
      <c r="F1" s="2"/>
      <c r="G1" s="3" t="s">
        <v>3</v>
      </c>
      <c r="H1" s="4" t="s">
        <v>4</v>
      </c>
      <c r="I1" s="4" t="s">
        <v>5</v>
      </c>
      <c r="J1" s="3" t="s">
        <v>6</v>
      </c>
      <c r="K1" s="3" t="s">
        <v>7</v>
      </c>
      <c r="L1" s="3" t="s">
        <v>6</v>
      </c>
      <c r="M1" s="5" t="s">
        <v>7</v>
      </c>
    </row>
    <row r="2" spans="1:13" ht="117" x14ac:dyDescent="0.3">
      <c r="A2" s="6">
        <v>1</v>
      </c>
      <c r="B2" s="6" t="s">
        <v>8</v>
      </c>
      <c r="C2" s="7" t="s">
        <v>9</v>
      </c>
      <c r="D2" s="7"/>
      <c r="E2" s="7"/>
      <c r="F2" s="7"/>
      <c r="G2" s="8" t="s">
        <v>10</v>
      </c>
      <c r="H2" s="8" t="s">
        <v>11</v>
      </c>
      <c r="I2" s="8">
        <v>980</v>
      </c>
      <c r="J2" s="9">
        <v>5</v>
      </c>
      <c r="K2" s="8" t="s">
        <v>12</v>
      </c>
      <c r="L2" s="10">
        <v>11</v>
      </c>
      <c r="M2" s="11" t="s">
        <v>13</v>
      </c>
    </row>
    <row r="3" spans="1:13" ht="117" x14ac:dyDescent="0.3">
      <c r="A3" s="6">
        <v>2</v>
      </c>
      <c r="B3" s="6" t="s">
        <v>14</v>
      </c>
      <c r="C3" s="7" t="s">
        <v>9</v>
      </c>
      <c r="D3" s="7"/>
      <c r="E3" s="7"/>
      <c r="F3" s="7"/>
      <c r="G3" s="8" t="s">
        <v>10</v>
      </c>
      <c r="H3" s="8" t="s">
        <v>15</v>
      </c>
      <c r="I3" s="8">
        <v>1200</v>
      </c>
      <c r="J3" s="12">
        <v>12</v>
      </c>
      <c r="K3" s="11" t="s">
        <v>16</v>
      </c>
      <c r="L3" s="9">
        <v>5</v>
      </c>
      <c r="M3" s="13" t="s">
        <v>12</v>
      </c>
    </row>
    <row r="4" spans="1:13" ht="70.2" x14ac:dyDescent="0.3">
      <c r="A4" s="6">
        <v>3</v>
      </c>
      <c r="B4" s="6" t="s">
        <v>17</v>
      </c>
      <c r="C4" s="7" t="s">
        <v>18</v>
      </c>
      <c r="D4" s="7"/>
      <c r="E4" s="7"/>
      <c r="F4" s="7"/>
      <c r="G4" s="8" t="s">
        <v>19</v>
      </c>
      <c r="H4" s="8" t="s">
        <v>20</v>
      </c>
      <c r="I4" s="8">
        <v>1810</v>
      </c>
      <c r="J4" s="9">
        <v>2</v>
      </c>
      <c r="K4" s="8" t="s">
        <v>21</v>
      </c>
      <c r="L4" s="9">
        <v>3.5</v>
      </c>
      <c r="M4" s="11" t="s">
        <v>22</v>
      </c>
    </row>
    <row r="5" spans="1:13" ht="23.4" x14ac:dyDescent="0.3">
      <c r="A5" s="6">
        <v>4</v>
      </c>
      <c r="B5" s="6" t="s">
        <v>23</v>
      </c>
      <c r="C5" s="7" t="s">
        <v>24</v>
      </c>
      <c r="D5" s="7"/>
      <c r="E5" s="7"/>
      <c r="F5" s="7"/>
      <c r="G5" s="8" t="s">
        <v>25</v>
      </c>
      <c r="H5" s="8" t="s">
        <v>26</v>
      </c>
      <c r="I5" s="8">
        <v>2650</v>
      </c>
      <c r="J5" s="9">
        <v>3.5</v>
      </c>
      <c r="K5" s="8" t="s">
        <v>27</v>
      </c>
      <c r="L5" s="9">
        <v>3</v>
      </c>
      <c r="M5" s="13">
        <v>39000040</v>
      </c>
    </row>
    <row r="6" spans="1:13" ht="117" x14ac:dyDescent="0.3">
      <c r="A6" s="6">
        <v>5</v>
      </c>
      <c r="B6" s="6" t="s">
        <v>28</v>
      </c>
      <c r="C6" s="7" t="s">
        <v>9</v>
      </c>
      <c r="D6" s="7"/>
      <c r="E6" s="7"/>
      <c r="F6" s="7"/>
      <c r="G6" s="8" t="s">
        <v>10</v>
      </c>
      <c r="H6" s="8" t="s">
        <v>11</v>
      </c>
      <c r="I6" s="8">
        <v>625</v>
      </c>
      <c r="J6" s="9">
        <v>3</v>
      </c>
      <c r="K6" s="13">
        <v>39000040</v>
      </c>
      <c r="L6" s="10">
        <v>11</v>
      </c>
      <c r="M6" s="11" t="s">
        <v>29</v>
      </c>
    </row>
    <row r="7" spans="1:13" ht="140.4" x14ac:dyDescent="0.3">
      <c r="A7" s="6">
        <v>6</v>
      </c>
      <c r="B7" s="6" t="s">
        <v>30</v>
      </c>
      <c r="C7" s="7" t="s">
        <v>18</v>
      </c>
      <c r="D7" s="7"/>
      <c r="E7" s="7"/>
      <c r="F7" s="7"/>
      <c r="G7" s="8" t="s">
        <v>19</v>
      </c>
      <c r="H7" s="8" t="s">
        <v>31</v>
      </c>
      <c r="I7" s="8">
        <v>1610</v>
      </c>
      <c r="J7" s="9">
        <v>2</v>
      </c>
      <c r="K7" s="8" t="s">
        <v>21</v>
      </c>
      <c r="L7" s="14">
        <v>7</v>
      </c>
      <c r="M7" s="11" t="s">
        <v>32</v>
      </c>
    </row>
    <row r="8" spans="1:13" ht="140.4" x14ac:dyDescent="0.3">
      <c r="A8" s="6">
        <v>7</v>
      </c>
      <c r="B8" s="6" t="s">
        <v>33</v>
      </c>
      <c r="C8" s="7" t="s">
        <v>18</v>
      </c>
      <c r="D8" s="7"/>
      <c r="E8" s="7"/>
      <c r="F8" s="7"/>
      <c r="G8" s="8" t="s">
        <v>19</v>
      </c>
      <c r="H8" s="8" t="s">
        <v>15</v>
      </c>
      <c r="I8" s="8">
        <v>650</v>
      </c>
      <c r="J8" s="9">
        <v>3</v>
      </c>
      <c r="K8" s="8">
        <v>39000048</v>
      </c>
      <c r="L8" s="14">
        <v>7</v>
      </c>
      <c r="M8" s="11" t="s">
        <v>34</v>
      </c>
    </row>
    <row r="9" spans="1:13" ht="23.4" x14ac:dyDescent="0.3">
      <c r="A9" s="6">
        <v>8</v>
      </c>
      <c r="B9" s="6" t="s">
        <v>35</v>
      </c>
      <c r="C9" s="7" t="s">
        <v>18</v>
      </c>
      <c r="D9" s="7"/>
      <c r="E9" s="7"/>
      <c r="F9" s="7"/>
      <c r="G9" s="8" t="s">
        <v>19</v>
      </c>
      <c r="H9" s="8" t="s">
        <v>31</v>
      </c>
      <c r="I9" s="8">
        <f>1400+10</f>
        <v>1410</v>
      </c>
      <c r="J9" s="9">
        <v>2</v>
      </c>
      <c r="K9" s="8" t="s">
        <v>36</v>
      </c>
      <c r="L9" s="9">
        <v>3</v>
      </c>
      <c r="M9" s="13">
        <v>39000048</v>
      </c>
    </row>
    <row r="10" spans="1:13" ht="46.8" x14ac:dyDescent="0.3">
      <c r="A10" s="6">
        <v>9</v>
      </c>
      <c r="B10" s="6" t="s">
        <v>37</v>
      </c>
      <c r="C10" s="7" t="s">
        <v>18</v>
      </c>
      <c r="D10" s="7"/>
      <c r="E10" s="7"/>
      <c r="F10" s="7"/>
      <c r="G10" s="8" t="s">
        <v>19</v>
      </c>
      <c r="H10" s="8" t="s">
        <v>38</v>
      </c>
      <c r="I10" s="8">
        <f>1400+10</f>
        <v>1410</v>
      </c>
      <c r="J10" s="9">
        <v>3</v>
      </c>
      <c r="K10" s="8">
        <v>39000048</v>
      </c>
      <c r="L10" s="9">
        <v>2</v>
      </c>
      <c r="M10" s="11" t="s">
        <v>36</v>
      </c>
    </row>
    <row r="11" spans="1:13" ht="117" x14ac:dyDescent="0.3">
      <c r="A11" s="6">
        <v>10</v>
      </c>
      <c r="B11" s="6" t="s">
        <v>39</v>
      </c>
      <c r="C11" s="7" t="s">
        <v>24</v>
      </c>
      <c r="D11" s="7"/>
      <c r="E11" s="7"/>
      <c r="F11" s="7"/>
      <c r="G11" s="8" t="s">
        <v>25</v>
      </c>
      <c r="H11" s="8" t="s">
        <v>40</v>
      </c>
      <c r="I11" s="8">
        <v>1230</v>
      </c>
      <c r="J11" s="9">
        <v>3.5</v>
      </c>
      <c r="K11" s="8" t="s">
        <v>27</v>
      </c>
      <c r="L11" s="14">
        <v>7</v>
      </c>
      <c r="M11" s="11" t="s">
        <v>41</v>
      </c>
    </row>
    <row r="12" spans="1:13" ht="23.4" x14ac:dyDescent="0.3">
      <c r="A12" s="6">
        <v>11</v>
      </c>
      <c r="B12" s="6" t="s">
        <v>42</v>
      </c>
      <c r="C12" s="7" t="s">
        <v>18</v>
      </c>
      <c r="D12" s="7"/>
      <c r="E12" s="7"/>
      <c r="F12" s="7"/>
      <c r="G12" s="8" t="s">
        <v>19</v>
      </c>
      <c r="H12" s="8" t="s">
        <v>38</v>
      </c>
      <c r="I12" s="8">
        <f>2220-140</f>
        <v>2080</v>
      </c>
      <c r="J12" s="9">
        <v>2</v>
      </c>
      <c r="K12" s="8" t="s">
        <v>36</v>
      </c>
      <c r="L12" s="9">
        <v>3</v>
      </c>
      <c r="M12" s="13" t="s">
        <v>43</v>
      </c>
    </row>
    <row r="13" spans="1:13" ht="23.4" x14ac:dyDescent="0.3">
      <c r="A13" s="6">
        <v>12</v>
      </c>
      <c r="B13" s="6" t="s">
        <v>44</v>
      </c>
      <c r="C13" s="7" t="s">
        <v>18</v>
      </c>
      <c r="D13" s="7"/>
      <c r="E13" s="7"/>
      <c r="F13" s="7"/>
      <c r="G13" s="8" t="s">
        <v>19</v>
      </c>
      <c r="H13" s="8" t="s">
        <v>45</v>
      </c>
      <c r="I13" s="8">
        <f>1320+5</f>
        <v>1325</v>
      </c>
      <c r="J13" s="9">
        <v>3</v>
      </c>
      <c r="K13" s="8">
        <v>39000048</v>
      </c>
      <c r="L13" s="9">
        <v>2</v>
      </c>
      <c r="M13" s="13">
        <v>561349000</v>
      </c>
    </row>
    <row r="14" spans="1:13" ht="117" x14ac:dyDescent="0.3">
      <c r="A14" s="6">
        <v>13</v>
      </c>
      <c r="B14" s="6" t="s">
        <v>46</v>
      </c>
      <c r="C14" s="7" t="s">
        <v>9</v>
      </c>
      <c r="D14" s="7"/>
      <c r="E14" s="7"/>
      <c r="F14" s="7"/>
      <c r="G14" s="8" t="s">
        <v>10</v>
      </c>
      <c r="H14" s="8" t="s">
        <v>11</v>
      </c>
      <c r="I14" s="8">
        <v>950</v>
      </c>
      <c r="J14" s="9">
        <v>3.5</v>
      </c>
      <c r="K14" s="8" t="s">
        <v>47</v>
      </c>
      <c r="L14" s="10">
        <v>11</v>
      </c>
      <c r="M14" s="11" t="s">
        <v>48</v>
      </c>
    </row>
    <row r="15" spans="1:13" ht="23.4" x14ac:dyDescent="0.3">
      <c r="A15" s="6">
        <v>14</v>
      </c>
      <c r="B15" s="6" t="s">
        <v>49</v>
      </c>
      <c r="C15" s="7" t="s">
        <v>24</v>
      </c>
      <c r="D15" s="7"/>
      <c r="E15" s="7"/>
      <c r="F15" s="7"/>
      <c r="G15" s="8" t="s">
        <v>25</v>
      </c>
      <c r="H15" s="8" t="s">
        <v>50</v>
      </c>
      <c r="I15" s="8">
        <f>2590+10</f>
        <v>2600</v>
      </c>
      <c r="J15" s="9">
        <v>3.5</v>
      </c>
      <c r="K15" s="8" t="s">
        <v>27</v>
      </c>
      <c r="L15" s="9">
        <v>3</v>
      </c>
      <c r="M15" s="13">
        <v>39000048</v>
      </c>
    </row>
    <row r="16" spans="1:13" ht="23.4" x14ac:dyDescent="0.3">
      <c r="A16" s="6">
        <v>15</v>
      </c>
      <c r="B16" s="6" t="s">
        <v>51</v>
      </c>
      <c r="C16" s="7" t="s">
        <v>18</v>
      </c>
      <c r="D16" s="7"/>
      <c r="E16" s="7"/>
      <c r="F16" s="7"/>
      <c r="G16" s="8" t="s">
        <v>19</v>
      </c>
      <c r="H16" s="8" t="s">
        <v>52</v>
      </c>
      <c r="I16" s="8">
        <v>1400</v>
      </c>
      <c r="J16" s="9">
        <v>2</v>
      </c>
      <c r="K16" s="8" t="s">
        <v>36</v>
      </c>
      <c r="L16" s="9">
        <v>3</v>
      </c>
      <c r="M16" s="13">
        <v>39000048</v>
      </c>
    </row>
    <row r="17" spans="1:13" ht="70.2" x14ac:dyDescent="0.3">
      <c r="A17" s="6">
        <v>16</v>
      </c>
      <c r="B17" s="6" t="s">
        <v>53</v>
      </c>
      <c r="C17" s="7" t="s">
        <v>9</v>
      </c>
      <c r="D17" s="7"/>
      <c r="E17" s="7"/>
      <c r="F17" s="7"/>
      <c r="G17" s="8" t="s">
        <v>10</v>
      </c>
      <c r="H17" s="8" t="s">
        <v>54</v>
      </c>
      <c r="I17" s="8">
        <v>1120</v>
      </c>
      <c r="J17" s="9">
        <v>3.5</v>
      </c>
      <c r="K17" s="8" t="s">
        <v>47</v>
      </c>
      <c r="L17" s="9">
        <v>5</v>
      </c>
      <c r="M17" s="11" t="s">
        <v>55</v>
      </c>
    </row>
    <row r="18" spans="1:13" ht="117" x14ac:dyDescent="0.3">
      <c r="A18" s="6">
        <v>17</v>
      </c>
      <c r="B18" s="6" t="s">
        <v>56</v>
      </c>
      <c r="C18" s="7" t="s">
        <v>18</v>
      </c>
      <c r="D18" s="7"/>
      <c r="E18" s="7"/>
      <c r="F18" s="7"/>
      <c r="G18" s="8" t="s">
        <v>19</v>
      </c>
      <c r="H18" s="8" t="s">
        <v>57</v>
      </c>
      <c r="I18" s="8">
        <f>660+5</f>
        <v>665</v>
      </c>
      <c r="J18" s="14">
        <v>7</v>
      </c>
      <c r="K18" s="15" t="s">
        <v>58</v>
      </c>
      <c r="L18" s="9">
        <v>3</v>
      </c>
      <c r="M18" s="13">
        <v>39000048</v>
      </c>
    </row>
    <row r="19" spans="1:13" ht="23.4" x14ac:dyDescent="0.3">
      <c r="A19" s="6">
        <v>18</v>
      </c>
      <c r="B19" s="6" t="s">
        <v>59</v>
      </c>
      <c r="C19" s="7" t="s">
        <v>18</v>
      </c>
      <c r="D19" s="7"/>
      <c r="E19" s="7"/>
      <c r="F19" s="7"/>
      <c r="G19" s="8" t="s">
        <v>19</v>
      </c>
      <c r="H19" s="8" t="s">
        <v>60</v>
      </c>
      <c r="I19" s="8">
        <f>1320-15</f>
        <v>1305</v>
      </c>
      <c r="J19" s="9">
        <v>3</v>
      </c>
      <c r="K19" s="8" t="s">
        <v>61</v>
      </c>
      <c r="L19" s="9">
        <v>2</v>
      </c>
      <c r="M19" s="13" t="s">
        <v>36</v>
      </c>
    </row>
    <row r="20" spans="1:13" ht="23.4" x14ac:dyDescent="0.3">
      <c r="A20" s="6">
        <v>19</v>
      </c>
      <c r="B20" s="6" t="s">
        <v>62</v>
      </c>
      <c r="C20" s="7" t="s">
        <v>18</v>
      </c>
      <c r="D20" s="7"/>
      <c r="E20" s="7"/>
      <c r="F20" s="7"/>
      <c r="G20" s="8" t="s">
        <v>19</v>
      </c>
      <c r="H20" s="8" t="s">
        <v>63</v>
      </c>
      <c r="I20" s="8">
        <v>1305</v>
      </c>
      <c r="J20" s="9">
        <v>3</v>
      </c>
      <c r="K20" s="8" t="s">
        <v>61</v>
      </c>
      <c r="L20" s="9">
        <v>2</v>
      </c>
      <c r="M20" s="13" t="s">
        <v>36</v>
      </c>
    </row>
    <row r="21" spans="1:13" ht="140.4" x14ac:dyDescent="0.3">
      <c r="A21" s="6">
        <v>20</v>
      </c>
      <c r="B21" s="6" t="s">
        <v>64</v>
      </c>
      <c r="C21" s="7" t="s">
        <v>24</v>
      </c>
      <c r="D21" s="7"/>
      <c r="E21" s="7"/>
      <c r="F21" s="7"/>
      <c r="G21" s="8" t="s">
        <v>25</v>
      </c>
      <c r="H21" s="8" t="s">
        <v>65</v>
      </c>
      <c r="I21" s="8">
        <v>1235</v>
      </c>
      <c r="J21" s="9">
        <v>3.5</v>
      </c>
      <c r="K21" s="8" t="s">
        <v>27</v>
      </c>
      <c r="L21" s="14">
        <v>7</v>
      </c>
      <c r="M21" s="11" t="s">
        <v>66</v>
      </c>
    </row>
    <row r="22" spans="1:13" ht="117" x14ac:dyDescent="0.3">
      <c r="A22" s="6">
        <v>21</v>
      </c>
      <c r="B22" s="6" t="s">
        <v>67</v>
      </c>
      <c r="C22" s="7" t="s">
        <v>9</v>
      </c>
      <c r="D22" s="7"/>
      <c r="E22" s="7"/>
      <c r="F22" s="7"/>
      <c r="G22" s="8" t="s">
        <v>10</v>
      </c>
      <c r="H22" s="8" t="s">
        <v>68</v>
      </c>
      <c r="I22" s="8">
        <f>1280-300</f>
        <v>980</v>
      </c>
      <c r="J22" s="9">
        <v>3</v>
      </c>
      <c r="K22" s="8">
        <v>39000040</v>
      </c>
      <c r="L22" s="12">
        <v>12</v>
      </c>
      <c r="M22" s="11" t="s">
        <v>69</v>
      </c>
    </row>
    <row r="23" spans="1:13" ht="117" x14ac:dyDescent="0.3">
      <c r="A23" s="6">
        <v>22</v>
      </c>
      <c r="B23" s="6" t="s">
        <v>70</v>
      </c>
      <c r="C23" s="7" t="s">
        <v>18</v>
      </c>
      <c r="D23" s="7"/>
      <c r="E23" s="7"/>
      <c r="F23" s="7"/>
      <c r="G23" s="8" t="s">
        <v>19</v>
      </c>
      <c r="H23" s="8" t="s">
        <v>52</v>
      </c>
      <c r="I23" s="8">
        <f>220+15</f>
        <v>235</v>
      </c>
      <c r="J23" s="9">
        <v>5</v>
      </c>
      <c r="K23" s="8" t="s">
        <v>71</v>
      </c>
      <c r="L23" s="14">
        <v>7</v>
      </c>
      <c r="M23" s="11" t="s">
        <v>72</v>
      </c>
    </row>
    <row r="24" spans="1:13" ht="117" x14ac:dyDescent="0.3">
      <c r="A24" s="6">
        <v>23</v>
      </c>
      <c r="B24" s="6" t="s">
        <v>73</v>
      </c>
      <c r="C24" s="7" t="s">
        <v>9</v>
      </c>
      <c r="D24" s="7"/>
      <c r="E24" s="7"/>
      <c r="F24" s="7"/>
      <c r="G24" s="8" t="s">
        <v>10</v>
      </c>
      <c r="H24" s="8" t="s">
        <v>54</v>
      </c>
      <c r="I24" s="8">
        <v>625</v>
      </c>
      <c r="J24" s="9">
        <v>3</v>
      </c>
      <c r="K24" s="8">
        <v>39000040</v>
      </c>
      <c r="L24" s="10">
        <v>11</v>
      </c>
      <c r="M24" s="11" t="s">
        <v>74</v>
      </c>
    </row>
    <row r="25" spans="1:13" ht="117" x14ac:dyDescent="0.3">
      <c r="A25" s="6">
        <v>24</v>
      </c>
      <c r="B25" s="6" t="s">
        <v>75</v>
      </c>
      <c r="C25" s="7" t="s">
        <v>24</v>
      </c>
      <c r="D25" s="7"/>
      <c r="E25" s="7"/>
      <c r="F25" s="7"/>
      <c r="G25" s="8" t="s">
        <v>25</v>
      </c>
      <c r="H25" s="8" t="s">
        <v>54</v>
      </c>
      <c r="I25" s="8">
        <v>855</v>
      </c>
      <c r="J25" s="9">
        <v>3.5</v>
      </c>
      <c r="K25" s="8" t="s">
        <v>27</v>
      </c>
      <c r="L25" s="14">
        <v>7</v>
      </c>
      <c r="M25" s="11" t="s">
        <v>76</v>
      </c>
    </row>
    <row r="26" spans="1:13" ht="140.4" x14ac:dyDescent="0.3">
      <c r="A26" s="6">
        <v>25</v>
      </c>
      <c r="B26" s="6" t="s">
        <v>77</v>
      </c>
      <c r="C26" s="7" t="s">
        <v>9</v>
      </c>
      <c r="D26" s="7"/>
      <c r="E26" s="7"/>
      <c r="F26" s="7"/>
      <c r="G26" s="8" t="s">
        <v>10</v>
      </c>
      <c r="H26" s="8" t="s">
        <v>78</v>
      </c>
      <c r="I26" s="8">
        <v>2200</v>
      </c>
      <c r="J26" s="9">
        <v>3</v>
      </c>
      <c r="K26" s="8">
        <v>39000040</v>
      </c>
      <c r="L26" s="10">
        <v>11</v>
      </c>
      <c r="M26" s="11" t="s">
        <v>79</v>
      </c>
    </row>
    <row r="27" spans="1:13" ht="140.4" x14ac:dyDescent="0.3">
      <c r="A27" s="6">
        <v>26</v>
      </c>
      <c r="B27" s="6" t="s">
        <v>80</v>
      </c>
      <c r="C27" s="7" t="s">
        <v>9</v>
      </c>
      <c r="D27" s="7"/>
      <c r="E27" s="7"/>
      <c r="F27" s="7"/>
      <c r="G27" s="8" t="s">
        <v>10</v>
      </c>
      <c r="H27" s="8" t="s">
        <v>78</v>
      </c>
      <c r="I27" s="8">
        <v>780</v>
      </c>
      <c r="J27" s="9">
        <v>3</v>
      </c>
      <c r="K27" s="8">
        <v>39000040</v>
      </c>
      <c r="L27" s="10">
        <v>11</v>
      </c>
      <c r="M27" s="11" t="s">
        <v>81</v>
      </c>
    </row>
    <row r="28" spans="1:13" ht="117" x14ac:dyDescent="0.3">
      <c r="A28" s="6">
        <v>27</v>
      </c>
      <c r="B28" s="6" t="s">
        <v>82</v>
      </c>
      <c r="C28" s="7" t="s">
        <v>18</v>
      </c>
      <c r="D28" s="7"/>
      <c r="E28" s="7"/>
      <c r="F28" s="7"/>
      <c r="G28" s="8" t="s">
        <v>19</v>
      </c>
      <c r="H28" s="8" t="s">
        <v>26</v>
      </c>
      <c r="I28" s="8">
        <v>890</v>
      </c>
      <c r="J28" s="9">
        <v>3</v>
      </c>
      <c r="K28" s="11">
        <v>39000048</v>
      </c>
      <c r="L28" s="14">
        <v>7</v>
      </c>
      <c r="M28" s="11" t="s">
        <v>72</v>
      </c>
    </row>
    <row r="29" spans="1:13" ht="23.4" x14ac:dyDescent="0.3">
      <c r="A29" s="6">
        <v>28</v>
      </c>
      <c r="B29" s="6" t="s">
        <v>83</v>
      </c>
      <c r="C29" s="7" t="s">
        <v>24</v>
      </c>
      <c r="D29" s="7"/>
      <c r="E29" s="7"/>
      <c r="F29" s="7"/>
      <c r="G29" s="8" t="s">
        <v>25</v>
      </c>
      <c r="H29" s="8" t="s">
        <v>68</v>
      </c>
      <c r="I29" s="8">
        <v>2580</v>
      </c>
      <c r="J29" s="9">
        <v>3.5</v>
      </c>
      <c r="K29" s="8" t="s">
        <v>27</v>
      </c>
      <c r="L29" s="9">
        <v>3</v>
      </c>
      <c r="M29" s="13">
        <v>39000040</v>
      </c>
    </row>
    <row r="30" spans="1:13" ht="23.4" x14ac:dyDescent="0.3">
      <c r="A30" s="6">
        <v>29</v>
      </c>
      <c r="B30" s="6" t="s">
        <v>84</v>
      </c>
      <c r="C30" s="7" t="s">
        <v>18</v>
      </c>
      <c r="D30" s="7"/>
      <c r="E30" s="7"/>
      <c r="F30" s="7"/>
      <c r="G30" s="8" t="s">
        <v>19</v>
      </c>
      <c r="H30" s="8" t="s">
        <v>85</v>
      </c>
      <c r="I30" s="8">
        <f>1400+10</f>
        <v>1410</v>
      </c>
      <c r="J30" s="9">
        <v>2</v>
      </c>
      <c r="K30" s="8" t="s">
        <v>36</v>
      </c>
      <c r="L30" s="9">
        <v>3</v>
      </c>
      <c r="M30" s="11">
        <v>39000048</v>
      </c>
    </row>
    <row r="31" spans="1:13" ht="117" x14ac:dyDescent="0.3">
      <c r="A31" s="6">
        <v>30</v>
      </c>
      <c r="B31" s="6" t="s">
        <v>86</v>
      </c>
      <c r="C31" s="7" t="s">
        <v>9</v>
      </c>
      <c r="D31" s="7"/>
      <c r="E31" s="7"/>
      <c r="F31" s="7"/>
      <c r="G31" s="8" t="s">
        <v>10</v>
      </c>
      <c r="H31" s="8" t="s">
        <v>68</v>
      </c>
      <c r="I31" s="8">
        <f>450-30</f>
        <v>420</v>
      </c>
      <c r="J31" s="9">
        <v>3</v>
      </c>
      <c r="K31" s="8">
        <v>39000040</v>
      </c>
      <c r="L31" s="12">
        <v>12</v>
      </c>
      <c r="M31" s="11" t="s">
        <v>87</v>
      </c>
    </row>
    <row r="32" spans="1:13" ht="117" x14ac:dyDescent="0.3">
      <c r="A32" s="6">
        <v>31</v>
      </c>
      <c r="B32" s="6" t="s">
        <v>88</v>
      </c>
      <c r="C32" s="7" t="s">
        <v>9</v>
      </c>
      <c r="D32" s="7"/>
      <c r="E32" s="7"/>
      <c r="F32" s="7"/>
      <c r="G32" s="8" t="s">
        <v>10</v>
      </c>
      <c r="H32" s="8" t="s">
        <v>89</v>
      </c>
      <c r="I32" s="8">
        <f>450-30</f>
        <v>420</v>
      </c>
      <c r="J32" s="9">
        <v>3</v>
      </c>
      <c r="K32" s="8">
        <v>39000040</v>
      </c>
      <c r="L32" s="12">
        <v>12</v>
      </c>
      <c r="M32" s="11" t="s">
        <v>87</v>
      </c>
    </row>
    <row r="33" spans="1:13" ht="70.2" x14ac:dyDescent="0.3">
      <c r="A33" s="6">
        <v>32</v>
      </c>
      <c r="B33" s="6" t="s">
        <v>90</v>
      </c>
      <c r="C33" s="7" t="s">
        <v>18</v>
      </c>
      <c r="D33" s="7"/>
      <c r="E33" s="7"/>
      <c r="F33" s="7"/>
      <c r="G33" s="8" t="s">
        <v>19</v>
      </c>
      <c r="H33" s="8" t="s">
        <v>91</v>
      </c>
      <c r="I33" s="8">
        <v>1810</v>
      </c>
      <c r="J33" s="9">
        <v>2</v>
      </c>
      <c r="K33" s="8" t="s">
        <v>21</v>
      </c>
      <c r="L33" s="9">
        <v>3.5</v>
      </c>
      <c r="M33" s="11" t="s">
        <v>22</v>
      </c>
    </row>
    <row r="34" spans="1:13" ht="70.2" x14ac:dyDescent="0.3">
      <c r="A34" s="6">
        <v>33</v>
      </c>
      <c r="B34" s="6" t="s">
        <v>92</v>
      </c>
      <c r="C34" s="7" t="s">
        <v>18</v>
      </c>
      <c r="D34" s="7"/>
      <c r="E34" s="7"/>
      <c r="F34" s="7"/>
      <c r="G34" s="8" t="s">
        <v>19</v>
      </c>
      <c r="H34" s="8" t="s">
        <v>93</v>
      </c>
      <c r="I34" s="8">
        <v>1810</v>
      </c>
      <c r="J34" s="9">
        <v>2</v>
      </c>
      <c r="K34" s="8" t="s">
        <v>21</v>
      </c>
      <c r="L34" s="9">
        <v>3.5</v>
      </c>
      <c r="M34" s="11" t="s">
        <v>22</v>
      </c>
    </row>
    <row r="35" spans="1:13" ht="117" x14ac:dyDescent="0.3">
      <c r="A35" s="6">
        <v>34</v>
      </c>
      <c r="B35" s="6" t="s">
        <v>94</v>
      </c>
      <c r="C35" s="7" t="s">
        <v>24</v>
      </c>
      <c r="D35" s="7"/>
      <c r="E35" s="7"/>
      <c r="F35" s="7"/>
      <c r="G35" s="8" t="s">
        <v>25</v>
      </c>
      <c r="H35" s="8" t="s">
        <v>68</v>
      </c>
      <c r="I35" s="8">
        <f>1505+15</f>
        <v>1520</v>
      </c>
      <c r="J35" s="9">
        <v>3</v>
      </c>
      <c r="K35" s="8">
        <v>39000040</v>
      </c>
      <c r="L35" s="12">
        <v>12</v>
      </c>
      <c r="M35" s="11" t="s">
        <v>87</v>
      </c>
    </row>
    <row r="36" spans="1:13" ht="23.4" x14ac:dyDescent="0.3">
      <c r="A36" s="6">
        <v>35</v>
      </c>
      <c r="B36" s="6" t="s">
        <v>95</v>
      </c>
      <c r="C36" s="7" t="s">
        <v>18</v>
      </c>
      <c r="D36" s="7"/>
      <c r="E36" s="7"/>
      <c r="F36" s="7"/>
      <c r="G36" s="8" t="s">
        <v>19</v>
      </c>
      <c r="H36" s="8" t="s">
        <v>96</v>
      </c>
      <c r="I36" s="8">
        <v>1410</v>
      </c>
      <c r="J36" s="9">
        <v>2</v>
      </c>
      <c r="K36" s="8" t="s">
        <v>36</v>
      </c>
      <c r="L36" s="9">
        <v>3</v>
      </c>
      <c r="M36" s="11">
        <v>39000048</v>
      </c>
    </row>
    <row r="37" spans="1:13" ht="140.4" x14ac:dyDescent="0.3">
      <c r="A37" s="6">
        <v>36</v>
      </c>
      <c r="B37" s="6" t="s">
        <v>97</v>
      </c>
      <c r="C37" s="7" t="s">
        <v>18</v>
      </c>
      <c r="D37" s="7"/>
      <c r="E37" s="7"/>
      <c r="F37" s="7"/>
      <c r="G37" s="8" t="s">
        <v>19</v>
      </c>
      <c r="H37" s="8" t="s">
        <v>65</v>
      </c>
      <c r="I37" s="8">
        <v>1355</v>
      </c>
      <c r="J37" s="9">
        <v>3.5</v>
      </c>
      <c r="K37" s="8" t="s">
        <v>98</v>
      </c>
      <c r="L37" s="14">
        <v>7</v>
      </c>
      <c r="M37" s="11" t="s">
        <v>99</v>
      </c>
    </row>
    <row r="38" spans="1:13" ht="117" x14ac:dyDescent="0.3">
      <c r="A38" s="6">
        <v>37</v>
      </c>
      <c r="B38" s="6" t="s">
        <v>100</v>
      </c>
      <c r="C38" s="7" t="s">
        <v>18</v>
      </c>
      <c r="D38" s="7"/>
      <c r="E38" s="7"/>
      <c r="F38" s="7"/>
      <c r="G38" s="8" t="s">
        <v>19</v>
      </c>
      <c r="H38" s="8" t="s">
        <v>40</v>
      </c>
      <c r="I38" s="8">
        <v>1350</v>
      </c>
      <c r="J38" s="9">
        <v>3.5</v>
      </c>
      <c r="K38" s="8" t="s">
        <v>98</v>
      </c>
      <c r="L38" s="14">
        <v>7</v>
      </c>
      <c r="M38" s="11" t="s">
        <v>101</v>
      </c>
    </row>
    <row r="39" spans="1:13" ht="117" x14ac:dyDescent="0.3">
      <c r="A39" s="6">
        <v>38</v>
      </c>
      <c r="B39" s="6" t="s">
        <v>102</v>
      </c>
      <c r="C39" s="7" t="s">
        <v>18</v>
      </c>
      <c r="D39" s="7"/>
      <c r="E39" s="7"/>
      <c r="F39" s="7"/>
      <c r="G39" s="8" t="s">
        <v>19</v>
      </c>
      <c r="H39" s="8" t="s">
        <v>54</v>
      </c>
      <c r="I39" s="8">
        <f>950+20</f>
        <v>970</v>
      </c>
      <c r="J39" s="9">
        <v>3.5</v>
      </c>
      <c r="K39" s="8" t="s">
        <v>98</v>
      </c>
      <c r="L39" s="14">
        <v>7</v>
      </c>
      <c r="M39" s="11" t="s">
        <v>76</v>
      </c>
    </row>
    <row r="40" spans="1:13" ht="117" x14ac:dyDescent="0.3">
      <c r="A40" s="6">
        <v>39</v>
      </c>
      <c r="B40" s="6" t="s">
        <v>103</v>
      </c>
      <c r="C40" s="7" t="s">
        <v>24</v>
      </c>
      <c r="D40" s="7"/>
      <c r="E40" s="7"/>
      <c r="F40" s="7"/>
      <c r="G40" s="8" t="s">
        <v>25</v>
      </c>
      <c r="H40" s="8" t="s">
        <v>104</v>
      </c>
      <c r="I40" s="8">
        <f>1415+10</f>
        <v>1425</v>
      </c>
      <c r="J40" s="9">
        <v>3</v>
      </c>
      <c r="K40" s="8">
        <v>39000040</v>
      </c>
      <c r="L40" s="14">
        <v>7</v>
      </c>
      <c r="M40" s="11" t="s">
        <v>105</v>
      </c>
    </row>
    <row r="41" spans="1:13" ht="117" x14ac:dyDescent="0.3">
      <c r="A41" s="6">
        <v>40</v>
      </c>
      <c r="B41" s="6" t="s">
        <v>106</v>
      </c>
      <c r="C41" s="7" t="s">
        <v>18</v>
      </c>
      <c r="D41" s="7"/>
      <c r="E41" s="7"/>
      <c r="F41" s="7"/>
      <c r="G41" s="8" t="s">
        <v>19</v>
      </c>
      <c r="H41" s="8" t="s">
        <v>40</v>
      </c>
      <c r="I41" s="8">
        <v>1070</v>
      </c>
      <c r="J41" s="9">
        <v>3</v>
      </c>
      <c r="K41" s="8">
        <v>39000048</v>
      </c>
      <c r="L41" s="14">
        <v>7</v>
      </c>
      <c r="M41" s="11" t="s">
        <v>107</v>
      </c>
    </row>
    <row r="42" spans="1:13" ht="140.4" x14ac:dyDescent="0.3">
      <c r="A42" s="6">
        <v>41</v>
      </c>
      <c r="B42" s="6" t="s">
        <v>108</v>
      </c>
      <c r="C42" s="7" t="s">
        <v>18</v>
      </c>
      <c r="D42" s="7"/>
      <c r="E42" s="7"/>
      <c r="F42" s="7"/>
      <c r="G42" s="8" t="s">
        <v>19</v>
      </c>
      <c r="H42" s="8" t="s">
        <v>65</v>
      </c>
      <c r="I42" s="8">
        <v>1060</v>
      </c>
      <c r="J42" s="9">
        <v>3</v>
      </c>
      <c r="K42" s="8">
        <v>39000048</v>
      </c>
      <c r="L42" s="14">
        <v>7</v>
      </c>
      <c r="M42" s="11" t="s">
        <v>109</v>
      </c>
    </row>
    <row r="43" spans="1:13" ht="140.4" x14ac:dyDescent="0.3">
      <c r="A43" s="6">
        <v>42</v>
      </c>
      <c r="B43" s="6" t="s">
        <v>110</v>
      </c>
      <c r="C43" s="7" t="s">
        <v>18</v>
      </c>
      <c r="D43" s="7"/>
      <c r="E43" s="7"/>
      <c r="F43" s="7"/>
      <c r="G43" s="8" t="s">
        <v>19</v>
      </c>
      <c r="H43" s="8" t="s">
        <v>54</v>
      </c>
      <c r="I43" s="8">
        <v>1130</v>
      </c>
      <c r="J43" s="9">
        <v>2</v>
      </c>
      <c r="K43" s="8" t="s">
        <v>21</v>
      </c>
      <c r="L43" s="14">
        <v>7</v>
      </c>
      <c r="M43" s="11" t="s">
        <v>111</v>
      </c>
    </row>
    <row r="44" spans="1:13" ht="70.2" x14ac:dyDescent="0.3">
      <c r="A44" s="6">
        <v>43</v>
      </c>
      <c r="B44" s="6" t="s">
        <v>112</v>
      </c>
      <c r="C44" s="7" t="s">
        <v>18</v>
      </c>
      <c r="D44" s="7"/>
      <c r="E44" s="7"/>
      <c r="F44" s="7"/>
      <c r="G44" s="8" t="s">
        <v>19</v>
      </c>
      <c r="H44" s="8" t="s">
        <v>60</v>
      </c>
      <c r="I44" s="8">
        <v>2020</v>
      </c>
      <c r="J44" s="9">
        <v>2</v>
      </c>
      <c r="K44" s="8">
        <v>561349000</v>
      </c>
      <c r="L44" s="9">
        <v>3</v>
      </c>
      <c r="M44" s="11" t="s">
        <v>113</v>
      </c>
    </row>
    <row r="45" spans="1:13" ht="23.4" x14ac:dyDescent="0.3">
      <c r="A45" s="6">
        <v>44</v>
      </c>
      <c r="B45" s="6" t="s">
        <v>114</v>
      </c>
      <c r="C45" s="7" t="s">
        <v>18</v>
      </c>
      <c r="D45" s="7"/>
      <c r="E45" s="7"/>
      <c r="F45" s="7"/>
      <c r="G45" s="8" t="s">
        <v>19</v>
      </c>
      <c r="H45" s="8" t="s">
        <v>38</v>
      </c>
      <c r="I45" s="8">
        <v>1020</v>
      </c>
      <c r="J45" s="9">
        <v>3</v>
      </c>
      <c r="K45" s="8">
        <v>39000048</v>
      </c>
      <c r="L45" s="9">
        <v>2</v>
      </c>
      <c r="M45" s="13">
        <v>561349000</v>
      </c>
    </row>
    <row r="46" spans="1:13" ht="23.4" x14ac:dyDescent="0.3">
      <c r="A46" s="6">
        <v>45</v>
      </c>
      <c r="B46" s="6" t="s">
        <v>115</v>
      </c>
      <c r="C46" s="7" t="s">
        <v>18</v>
      </c>
      <c r="D46" s="7"/>
      <c r="E46" s="7"/>
      <c r="F46" s="7"/>
      <c r="G46" s="8" t="s">
        <v>19</v>
      </c>
      <c r="H46" s="8" t="s">
        <v>15</v>
      </c>
      <c r="I46" s="8">
        <v>1020</v>
      </c>
      <c r="J46" s="9">
        <v>3</v>
      </c>
      <c r="K46" s="8">
        <v>39000048</v>
      </c>
      <c r="L46" s="9">
        <v>2</v>
      </c>
      <c r="M46" s="13">
        <v>561349000</v>
      </c>
    </row>
    <row r="47" spans="1:13" ht="23.4" x14ac:dyDescent="0.3">
      <c r="A47" s="6">
        <v>46</v>
      </c>
      <c r="B47" s="6" t="s">
        <v>116</v>
      </c>
      <c r="C47" s="7" t="s">
        <v>18</v>
      </c>
      <c r="D47" s="7"/>
      <c r="E47" s="7"/>
      <c r="F47" s="7"/>
      <c r="G47" s="8" t="s">
        <v>19</v>
      </c>
      <c r="H47" s="8" t="s">
        <v>117</v>
      </c>
      <c r="I47" s="8">
        <v>1610</v>
      </c>
      <c r="J47" s="9">
        <v>3</v>
      </c>
      <c r="K47" s="8">
        <v>39000048</v>
      </c>
      <c r="L47" s="9">
        <v>2</v>
      </c>
      <c r="M47" s="13">
        <v>561349000</v>
      </c>
    </row>
    <row r="48" spans="1:13" ht="23.4" x14ac:dyDescent="0.3">
      <c r="A48" s="6">
        <v>47</v>
      </c>
      <c r="B48" s="6" t="s">
        <v>118</v>
      </c>
      <c r="C48" s="7" t="s">
        <v>18</v>
      </c>
      <c r="D48" s="7"/>
      <c r="E48" s="7"/>
      <c r="F48" s="7"/>
      <c r="G48" s="8" t="s">
        <v>19</v>
      </c>
      <c r="H48" s="8" t="s">
        <v>119</v>
      </c>
      <c r="I48" s="8">
        <v>1610</v>
      </c>
      <c r="J48" s="9">
        <v>3</v>
      </c>
      <c r="K48" s="8">
        <v>39000048</v>
      </c>
      <c r="L48" s="9">
        <v>2</v>
      </c>
      <c r="M48" s="13">
        <v>561349000</v>
      </c>
    </row>
    <row r="49" spans="1:13" ht="23.4" x14ac:dyDescent="0.3">
      <c r="A49" s="6">
        <v>48</v>
      </c>
      <c r="B49" s="6" t="s">
        <v>120</v>
      </c>
      <c r="C49" s="7" t="s">
        <v>18</v>
      </c>
      <c r="D49" s="7"/>
      <c r="E49" s="7"/>
      <c r="F49" s="7"/>
      <c r="G49" s="8" t="s">
        <v>19</v>
      </c>
      <c r="H49" s="8" t="s">
        <v>121</v>
      </c>
      <c r="I49" s="8">
        <v>960</v>
      </c>
      <c r="J49" s="9">
        <v>5</v>
      </c>
      <c r="K49" s="8" t="s">
        <v>71</v>
      </c>
      <c r="L49" s="9">
        <v>2</v>
      </c>
      <c r="M49" s="13">
        <v>561349000</v>
      </c>
    </row>
    <row r="50" spans="1:13" ht="23.4" x14ac:dyDescent="0.3">
      <c r="A50" s="6">
        <v>49</v>
      </c>
      <c r="B50" s="6" t="s">
        <v>122</v>
      </c>
      <c r="C50" s="7" t="s">
        <v>18</v>
      </c>
      <c r="D50" s="7"/>
      <c r="E50" s="7"/>
      <c r="F50" s="7"/>
      <c r="G50" s="8" t="s">
        <v>19</v>
      </c>
      <c r="H50" s="8" t="s">
        <v>85</v>
      </c>
      <c r="I50" s="8">
        <v>960</v>
      </c>
      <c r="J50" s="9">
        <v>5</v>
      </c>
      <c r="K50" s="8" t="s">
        <v>71</v>
      </c>
      <c r="L50" s="9">
        <v>2</v>
      </c>
      <c r="M50" s="13">
        <v>561349000</v>
      </c>
    </row>
    <row r="51" spans="1:13" ht="23.4" x14ac:dyDescent="0.3">
      <c r="A51" s="6">
        <v>50</v>
      </c>
      <c r="B51" s="6" t="s">
        <v>123</v>
      </c>
      <c r="C51" s="7" t="s">
        <v>18</v>
      </c>
      <c r="D51" s="7"/>
      <c r="E51" s="7"/>
      <c r="F51" s="7"/>
      <c r="G51" s="8" t="s">
        <v>19</v>
      </c>
      <c r="H51" s="8" t="s">
        <v>65</v>
      </c>
      <c r="I51" s="8">
        <f>1320+5</f>
        <v>1325</v>
      </c>
      <c r="J51" s="9">
        <v>3</v>
      </c>
      <c r="K51" s="8">
        <v>39000048</v>
      </c>
      <c r="L51" s="9">
        <v>2</v>
      </c>
      <c r="M51" s="13">
        <v>561349000</v>
      </c>
    </row>
    <row r="52" spans="1:13" ht="23.4" x14ac:dyDescent="0.3">
      <c r="A52" s="6">
        <v>51</v>
      </c>
      <c r="B52" s="6" t="s">
        <v>124</v>
      </c>
      <c r="C52" s="7" t="s">
        <v>18</v>
      </c>
      <c r="D52" s="7"/>
      <c r="E52" s="7"/>
      <c r="F52" s="7"/>
      <c r="G52" s="8" t="s">
        <v>19</v>
      </c>
      <c r="H52" s="8" t="s">
        <v>26</v>
      </c>
      <c r="I52" s="8">
        <f>1320+5</f>
        <v>1325</v>
      </c>
      <c r="J52" s="9">
        <v>2</v>
      </c>
      <c r="K52" s="8">
        <v>561349000</v>
      </c>
      <c r="L52" s="9">
        <v>3</v>
      </c>
      <c r="M52" s="11">
        <v>39000048</v>
      </c>
    </row>
    <row r="53" spans="1:13" ht="117" x14ac:dyDescent="0.3">
      <c r="A53" s="6">
        <v>52</v>
      </c>
      <c r="B53" s="6" t="s">
        <v>125</v>
      </c>
      <c r="C53" s="7" t="s">
        <v>18</v>
      </c>
      <c r="D53" s="7"/>
      <c r="E53" s="7"/>
      <c r="F53" s="7"/>
      <c r="G53" s="8" t="s">
        <v>19</v>
      </c>
      <c r="H53" s="8" t="s">
        <v>26</v>
      </c>
      <c r="I53" s="8">
        <v>520</v>
      </c>
      <c r="J53" s="9">
        <v>2</v>
      </c>
      <c r="K53" s="8" t="s">
        <v>21</v>
      </c>
      <c r="L53" s="14">
        <v>7</v>
      </c>
      <c r="M53" s="11" t="s">
        <v>126</v>
      </c>
    </row>
    <row r="54" spans="1:13" ht="23.4" x14ac:dyDescent="0.3">
      <c r="A54" s="6">
        <v>53</v>
      </c>
      <c r="B54" s="6" t="s">
        <v>127</v>
      </c>
      <c r="C54" s="7" t="s">
        <v>18</v>
      </c>
      <c r="D54" s="7"/>
      <c r="E54" s="7"/>
      <c r="F54" s="7"/>
      <c r="G54" s="8" t="s">
        <v>19</v>
      </c>
      <c r="H54" s="8" t="s">
        <v>40</v>
      </c>
      <c r="I54" s="8">
        <f>1550+5</f>
        <v>1555</v>
      </c>
      <c r="J54" s="9">
        <v>2</v>
      </c>
      <c r="K54" s="8">
        <v>561349000</v>
      </c>
      <c r="L54" s="9">
        <v>3</v>
      </c>
      <c r="M54" s="11">
        <v>39000048</v>
      </c>
    </row>
    <row r="55" spans="1:13" ht="23.4" x14ac:dyDescent="0.3">
      <c r="A55" s="6">
        <v>54</v>
      </c>
      <c r="B55" s="6" t="s">
        <v>128</v>
      </c>
      <c r="C55" s="7" t="s">
        <v>18</v>
      </c>
      <c r="D55" s="7"/>
      <c r="E55" s="7"/>
      <c r="F55" s="7"/>
      <c r="G55" s="8" t="s">
        <v>19</v>
      </c>
      <c r="H55" s="8" t="s">
        <v>54</v>
      </c>
      <c r="I55" s="8">
        <f>1550+5</f>
        <v>1555</v>
      </c>
      <c r="J55" s="9">
        <v>2</v>
      </c>
      <c r="K55" s="8">
        <v>561349000</v>
      </c>
      <c r="L55" s="9">
        <v>3</v>
      </c>
      <c r="M55" s="11">
        <v>39000048</v>
      </c>
    </row>
    <row r="56" spans="1:13" ht="23.4" x14ac:dyDescent="0.3">
      <c r="A56" s="6">
        <v>55</v>
      </c>
      <c r="B56" s="6" t="s">
        <v>129</v>
      </c>
      <c r="C56" s="7" t="s">
        <v>18</v>
      </c>
      <c r="D56" s="7"/>
      <c r="E56" s="7"/>
      <c r="F56" s="7"/>
      <c r="G56" s="8" t="s">
        <v>19</v>
      </c>
      <c r="H56" s="8" t="s">
        <v>60</v>
      </c>
      <c r="I56" s="8">
        <f>1320+10</f>
        <v>1330</v>
      </c>
      <c r="J56" s="9">
        <v>2</v>
      </c>
      <c r="K56" s="8">
        <v>561349000</v>
      </c>
      <c r="L56" s="9">
        <v>3</v>
      </c>
      <c r="M56" s="11">
        <v>39000048</v>
      </c>
    </row>
    <row r="57" spans="1:13" ht="70.2" x14ac:dyDescent="0.3">
      <c r="A57" s="6">
        <v>56</v>
      </c>
      <c r="B57" s="6" t="s">
        <v>130</v>
      </c>
      <c r="C57" s="7" t="s">
        <v>18</v>
      </c>
      <c r="D57" s="7"/>
      <c r="E57" s="7"/>
      <c r="F57" s="7"/>
      <c r="G57" s="8" t="s">
        <v>19</v>
      </c>
      <c r="H57" s="8" t="s">
        <v>131</v>
      </c>
      <c r="I57" s="8">
        <v>920</v>
      </c>
      <c r="J57" s="9">
        <v>2</v>
      </c>
      <c r="K57" s="8">
        <v>561349000</v>
      </c>
      <c r="L57" s="9">
        <v>5</v>
      </c>
      <c r="M57" s="11" t="s">
        <v>132</v>
      </c>
    </row>
    <row r="58" spans="1:13" ht="70.2" x14ac:dyDescent="0.3">
      <c r="A58" s="6">
        <v>57</v>
      </c>
      <c r="B58" s="6" t="s">
        <v>133</v>
      </c>
      <c r="C58" s="7" t="s">
        <v>18</v>
      </c>
      <c r="D58" s="7"/>
      <c r="E58" s="7"/>
      <c r="F58" s="7"/>
      <c r="G58" s="8" t="s">
        <v>19</v>
      </c>
      <c r="H58" s="8" t="s">
        <v>134</v>
      </c>
      <c r="I58" s="8">
        <f>920-15</f>
        <v>905</v>
      </c>
      <c r="J58" s="9">
        <v>2</v>
      </c>
      <c r="K58" s="8">
        <v>561349000</v>
      </c>
      <c r="L58" s="9">
        <v>5</v>
      </c>
      <c r="M58" s="11" t="s">
        <v>71</v>
      </c>
    </row>
    <row r="59" spans="1:13" ht="23.4" x14ac:dyDescent="0.3">
      <c r="A59" s="6">
        <v>58</v>
      </c>
      <c r="B59" s="6" t="s">
        <v>135</v>
      </c>
      <c r="C59" s="7" t="s">
        <v>18</v>
      </c>
      <c r="D59" s="7"/>
      <c r="E59" s="7"/>
      <c r="F59" s="7"/>
      <c r="G59" s="8" t="s">
        <v>19</v>
      </c>
      <c r="H59" s="8" t="s">
        <v>136</v>
      </c>
      <c r="I59" s="8">
        <v>1830</v>
      </c>
      <c r="J59" s="9">
        <v>3</v>
      </c>
      <c r="K59" s="8">
        <v>39000048</v>
      </c>
      <c r="L59" s="9">
        <v>2</v>
      </c>
      <c r="M59" s="13">
        <v>561349000</v>
      </c>
    </row>
    <row r="60" spans="1:13" ht="23.4" x14ac:dyDescent="0.3">
      <c r="A60" s="6">
        <v>59</v>
      </c>
      <c r="B60" s="6" t="s">
        <v>137</v>
      </c>
      <c r="C60" s="7" t="s">
        <v>18</v>
      </c>
      <c r="D60" s="7"/>
      <c r="E60" s="7"/>
      <c r="F60" s="7"/>
      <c r="G60" s="8" t="s">
        <v>19</v>
      </c>
      <c r="H60" s="8" t="s">
        <v>45</v>
      </c>
      <c r="I60" s="8">
        <v>1830</v>
      </c>
      <c r="J60" s="9">
        <v>3</v>
      </c>
      <c r="K60" s="8">
        <v>39000048</v>
      </c>
      <c r="L60" s="9">
        <v>2</v>
      </c>
      <c r="M60" s="13">
        <v>561349000</v>
      </c>
    </row>
    <row r="61" spans="1:13" ht="23.4" x14ac:dyDescent="0.3">
      <c r="A61" s="6">
        <v>60</v>
      </c>
      <c r="B61" s="6" t="s">
        <v>138</v>
      </c>
      <c r="C61" s="7" t="s">
        <v>18</v>
      </c>
      <c r="D61" s="7"/>
      <c r="E61" s="7"/>
      <c r="F61" s="7"/>
      <c r="G61" s="8" t="s">
        <v>19</v>
      </c>
      <c r="H61" s="8" t="s">
        <v>139</v>
      </c>
      <c r="I61" s="16">
        <f>2410+10</f>
        <v>2420</v>
      </c>
      <c r="J61" s="9">
        <v>3</v>
      </c>
      <c r="K61" s="8">
        <v>39000048</v>
      </c>
      <c r="L61" s="9">
        <v>2</v>
      </c>
      <c r="M61" s="13">
        <v>561349000</v>
      </c>
    </row>
    <row r="62" spans="1:13" ht="23.4" x14ac:dyDescent="0.3">
      <c r="A62" s="6">
        <v>61</v>
      </c>
      <c r="B62" s="6" t="s">
        <v>140</v>
      </c>
      <c r="C62" s="7" t="s">
        <v>18</v>
      </c>
      <c r="D62" s="7"/>
      <c r="E62" s="7"/>
      <c r="F62" s="7"/>
      <c r="G62" s="8" t="s">
        <v>19</v>
      </c>
      <c r="H62" s="8" t="s">
        <v>141</v>
      </c>
      <c r="I62" s="8">
        <v>2410</v>
      </c>
      <c r="J62" s="9">
        <v>3</v>
      </c>
      <c r="K62" s="8">
        <v>39000048</v>
      </c>
      <c r="L62" s="9">
        <v>2</v>
      </c>
      <c r="M62" s="13">
        <v>561349000</v>
      </c>
    </row>
    <row r="63" spans="1:13" ht="46.8" x14ac:dyDescent="0.3">
      <c r="A63" s="6">
        <v>62</v>
      </c>
      <c r="B63" s="6" t="s">
        <v>142</v>
      </c>
      <c r="C63" s="7" t="s">
        <v>18</v>
      </c>
      <c r="D63" s="7"/>
      <c r="E63" s="7"/>
      <c r="F63" s="7"/>
      <c r="G63" s="8" t="s">
        <v>19</v>
      </c>
      <c r="H63" s="8" t="s">
        <v>40</v>
      </c>
      <c r="I63" s="8">
        <v>960</v>
      </c>
      <c r="J63" s="9">
        <v>2</v>
      </c>
      <c r="K63" s="8" t="s">
        <v>21</v>
      </c>
      <c r="L63" s="9">
        <v>3</v>
      </c>
      <c r="M63" s="11" t="s">
        <v>143</v>
      </c>
    </row>
    <row r="64" spans="1:13" ht="46.8" x14ac:dyDescent="0.3">
      <c r="A64" s="6">
        <v>63</v>
      </c>
      <c r="B64" s="6" t="s">
        <v>144</v>
      </c>
      <c r="C64" s="7" t="s">
        <v>18</v>
      </c>
      <c r="D64" s="7"/>
      <c r="E64" s="7"/>
      <c r="F64" s="7"/>
      <c r="G64" s="8" t="s">
        <v>19</v>
      </c>
      <c r="H64" s="8" t="s">
        <v>15</v>
      </c>
      <c r="I64" s="8">
        <v>960</v>
      </c>
      <c r="J64" s="9">
        <v>2</v>
      </c>
      <c r="K64" s="8" t="s">
        <v>21</v>
      </c>
      <c r="L64" s="9">
        <v>3</v>
      </c>
      <c r="M64" s="11" t="s">
        <v>143</v>
      </c>
    </row>
    <row r="65" spans="1:13" ht="46.8" x14ac:dyDescent="0.3">
      <c r="A65" s="6">
        <v>64</v>
      </c>
      <c r="B65" s="6" t="s">
        <v>145</v>
      </c>
      <c r="C65" s="7" t="s">
        <v>18</v>
      </c>
      <c r="D65" s="7"/>
      <c r="E65" s="7"/>
      <c r="F65" s="7"/>
      <c r="G65" s="8" t="s">
        <v>19</v>
      </c>
      <c r="H65" s="8" t="s">
        <v>146</v>
      </c>
      <c r="I65" s="8">
        <v>960</v>
      </c>
      <c r="J65" s="9">
        <v>2</v>
      </c>
      <c r="K65" s="8" t="s">
        <v>21</v>
      </c>
      <c r="L65" s="9">
        <v>3</v>
      </c>
      <c r="M65" s="11" t="s">
        <v>143</v>
      </c>
    </row>
    <row r="66" spans="1:13" ht="46.8" x14ac:dyDescent="0.3">
      <c r="A66" s="6">
        <v>65</v>
      </c>
      <c r="B66" s="6" t="s">
        <v>147</v>
      </c>
      <c r="C66" s="7" t="s">
        <v>18</v>
      </c>
      <c r="D66" s="7"/>
      <c r="E66" s="7"/>
      <c r="F66" s="7"/>
      <c r="G66" s="8" t="s">
        <v>19</v>
      </c>
      <c r="H66" s="8" t="s">
        <v>119</v>
      </c>
      <c r="I66" s="8">
        <v>960</v>
      </c>
      <c r="J66" s="9">
        <v>2</v>
      </c>
      <c r="K66" s="8" t="s">
        <v>21</v>
      </c>
      <c r="L66" s="9">
        <v>3</v>
      </c>
      <c r="M66" s="11" t="s">
        <v>143</v>
      </c>
    </row>
    <row r="67" spans="1:13" ht="46.8" x14ac:dyDescent="0.3">
      <c r="A67" s="6">
        <v>66</v>
      </c>
      <c r="B67" s="6" t="s">
        <v>148</v>
      </c>
      <c r="C67" s="7" t="s">
        <v>18</v>
      </c>
      <c r="D67" s="7"/>
      <c r="E67" s="7"/>
      <c r="F67" s="7"/>
      <c r="G67" s="8" t="s">
        <v>19</v>
      </c>
      <c r="H67" s="8" t="s">
        <v>131</v>
      </c>
      <c r="I67" s="8">
        <v>1520</v>
      </c>
      <c r="J67" s="9">
        <v>2</v>
      </c>
      <c r="K67" s="8" t="s">
        <v>21</v>
      </c>
      <c r="L67" s="9">
        <v>3</v>
      </c>
      <c r="M67" s="11" t="s">
        <v>143</v>
      </c>
    </row>
    <row r="68" spans="1:13" ht="46.8" x14ac:dyDescent="0.3">
      <c r="A68" s="6">
        <v>67</v>
      </c>
      <c r="B68" s="6" t="s">
        <v>149</v>
      </c>
      <c r="C68" s="7" t="s">
        <v>18</v>
      </c>
      <c r="D68" s="7"/>
      <c r="E68" s="7"/>
      <c r="F68" s="7"/>
      <c r="G68" s="8" t="s">
        <v>19</v>
      </c>
      <c r="H68" s="8" t="s">
        <v>150</v>
      </c>
      <c r="I68" s="8">
        <v>1525</v>
      </c>
      <c r="J68" s="9">
        <v>2</v>
      </c>
      <c r="K68" s="8" t="s">
        <v>21</v>
      </c>
      <c r="L68" s="9">
        <v>3</v>
      </c>
      <c r="M68" s="11" t="s">
        <v>143</v>
      </c>
    </row>
    <row r="69" spans="1:13" ht="46.8" x14ac:dyDescent="0.3">
      <c r="A69" s="6">
        <v>68</v>
      </c>
      <c r="B69" s="6" t="s">
        <v>151</v>
      </c>
      <c r="C69" s="7" t="s">
        <v>18</v>
      </c>
      <c r="D69" s="7"/>
      <c r="E69" s="7"/>
      <c r="F69" s="7"/>
      <c r="G69" s="8" t="s">
        <v>19</v>
      </c>
      <c r="H69" s="8" t="s">
        <v>152</v>
      </c>
      <c r="I69" s="8">
        <v>1525</v>
      </c>
      <c r="J69" s="9">
        <v>2</v>
      </c>
      <c r="K69" s="8" t="s">
        <v>21</v>
      </c>
      <c r="L69" s="9">
        <v>3</v>
      </c>
      <c r="M69" s="11" t="s">
        <v>143</v>
      </c>
    </row>
    <row r="70" spans="1:13" ht="46.8" x14ac:dyDescent="0.3">
      <c r="A70" s="6">
        <v>69</v>
      </c>
      <c r="B70" s="6" t="s">
        <v>153</v>
      </c>
      <c r="C70" s="7" t="s">
        <v>18</v>
      </c>
      <c r="D70" s="7"/>
      <c r="E70" s="7"/>
      <c r="F70" s="7"/>
      <c r="G70" s="8" t="s">
        <v>19</v>
      </c>
      <c r="H70" s="8" t="s">
        <v>52</v>
      </c>
      <c r="I70" s="8">
        <v>1525</v>
      </c>
      <c r="J70" s="9">
        <v>2</v>
      </c>
      <c r="K70" s="8" t="s">
        <v>21</v>
      </c>
      <c r="L70" s="9">
        <v>3</v>
      </c>
      <c r="M70" s="11" t="s">
        <v>143</v>
      </c>
    </row>
    <row r="71" spans="1:13" ht="46.8" x14ac:dyDescent="0.3">
      <c r="A71" s="6">
        <v>70</v>
      </c>
      <c r="B71" s="6" t="s">
        <v>154</v>
      </c>
      <c r="C71" s="7" t="s">
        <v>18</v>
      </c>
      <c r="D71" s="7"/>
      <c r="E71" s="7"/>
      <c r="F71" s="7"/>
      <c r="G71" s="8" t="s">
        <v>19</v>
      </c>
      <c r="H71" s="8" t="s">
        <v>60</v>
      </c>
      <c r="I71" s="8">
        <v>1665</v>
      </c>
      <c r="J71" s="9">
        <v>3</v>
      </c>
      <c r="K71" s="11" t="s">
        <v>143</v>
      </c>
      <c r="L71" s="9">
        <v>2</v>
      </c>
      <c r="M71" s="11">
        <v>561349000</v>
      </c>
    </row>
    <row r="72" spans="1:13" ht="46.8" x14ac:dyDescent="0.3">
      <c r="A72" s="6">
        <v>71</v>
      </c>
      <c r="B72" s="6" t="s">
        <v>155</v>
      </c>
      <c r="C72" s="7" t="s">
        <v>18</v>
      </c>
      <c r="D72" s="7"/>
      <c r="E72" s="7"/>
      <c r="F72" s="7"/>
      <c r="G72" s="8" t="s">
        <v>19</v>
      </c>
      <c r="H72" s="8" t="s">
        <v>68</v>
      </c>
      <c r="I72" s="8">
        <v>1665</v>
      </c>
      <c r="J72" s="9">
        <v>3</v>
      </c>
      <c r="K72" s="11" t="s">
        <v>143</v>
      </c>
      <c r="L72" s="9">
        <v>2</v>
      </c>
      <c r="M72" s="11">
        <v>561349000</v>
      </c>
    </row>
    <row r="73" spans="1:13" ht="46.8" x14ac:dyDescent="0.3">
      <c r="A73" s="6">
        <v>72</v>
      </c>
      <c r="B73" s="6" t="s">
        <v>156</v>
      </c>
      <c r="C73" s="7" t="s">
        <v>18</v>
      </c>
      <c r="D73" s="7"/>
      <c r="E73" s="7"/>
      <c r="F73" s="7"/>
      <c r="G73" s="8" t="s">
        <v>19</v>
      </c>
      <c r="H73" s="8" t="s">
        <v>15</v>
      </c>
      <c r="I73" s="8">
        <v>1665</v>
      </c>
      <c r="J73" s="9">
        <v>3</v>
      </c>
      <c r="K73" s="11" t="s">
        <v>143</v>
      </c>
      <c r="L73" s="9">
        <v>2</v>
      </c>
      <c r="M73" s="11">
        <v>561349000</v>
      </c>
    </row>
    <row r="74" spans="1:13" ht="46.8" x14ac:dyDescent="0.3">
      <c r="A74" s="6">
        <v>73</v>
      </c>
      <c r="B74" s="6" t="s">
        <v>157</v>
      </c>
      <c r="C74" s="7" t="s">
        <v>18</v>
      </c>
      <c r="D74" s="7"/>
      <c r="E74" s="7"/>
      <c r="F74" s="7"/>
      <c r="G74" s="8" t="s">
        <v>19</v>
      </c>
      <c r="H74" s="8" t="s">
        <v>54</v>
      </c>
      <c r="I74" s="8">
        <v>1100</v>
      </c>
      <c r="J74" s="9">
        <v>3</v>
      </c>
      <c r="K74" s="11" t="s">
        <v>143</v>
      </c>
      <c r="L74" s="9">
        <v>2</v>
      </c>
      <c r="M74" s="11">
        <v>561349000</v>
      </c>
    </row>
    <row r="75" spans="1:13" ht="46.8" x14ac:dyDescent="0.3">
      <c r="A75" s="6">
        <v>74</v>
      </c>
      <c r="B75" s="6" t="s">
        <v>158</v>
      </c>
      <c r="C75" s="7" t="s">
        <v>18</v>
      </c>
      <c r="D75" s="7"/>
      <c r="E75" s="7"/>
      <c r="F75" s="7"/>
      <c r="G75" s="8" t="s">
        <v>19</v>
      </c>
      <c r="H75" s="8" t="s">
        <v>159</v>
      </c>
      <c r="I75" s="8">
        <v>1100</v>
      </c>
      <c r="J75" s="9">
        <v>3</v>
      </c>
      <c r="K75" s="11" t="s">
        <v>143</v>
      </c>
      <c r="L75" s="9">
        <v>2</v>
      </c>
      <c r="M75" s="11">
        <v>561349000</v>
      </c>
    </row>
    <row r="76" spans="1:13" ht="46.8" x14ac:dyDescent="0.3">
      <c r="A76" s="6">
        <v>75</v>
      </c>
      <c r="B76" s="6" t="s">
        <v>160</v>
      </c>
      <c r="C76" s="7" t="s">
        <v>18</v>
      </c>
      <c r="D76" s="7"/>
      <c r="E76" s="7"/>
      <c r="F76" s="7"/>
      <c r="G76" s="8" t="s">
        <v>19</v>
      </c>
      <c r="H76" s="8" t="s">
        <v>161</v>
      </c>
      <c r="I76" s="8">
        <v>1100</v>
      </c>
      <c r="J76" s="9">
        <v>3</v>
      </c>
      <c r="K76" s="11" t="s">
        <v>143</v>
      </c>
      <c r="L76" s="9">
        <v>2</v>
      </c>
      <c r="M76" s="11">
        <v>561349000</v>
      </c>
    </row>
    <row r="77" spans="1:13" ht="117" x14ac:dyDescent="0.3">
      <c r="A77" s="6">
        <v>76</v>
      </c>
      <c r="B77" s="6" t="s">
        <v>162</v>
      </c>
      <c r="C77" s="7" t="s">
        <v>18</v>
      </c>
      <c r="D77" s="7"/>
      <c r="E77" s="7"/>
      <c r="F77" s="7"/>
      <c r="G77" s="8" t="s">
        <v>19</v>
      </c>
      <c r="H77" s="8" t="s">
        <v>139</v>
      </c>
      <c r="I77" s="8">
        <v>300</v>
      </c>
      <c r="J77" s="9">
        <v>2</v>
      </c>
      <c r="K77" s="8" t="s">
        <v>21</v>
      </c>
      <c r="L77" s="14">
        <v>7</v>
      </c>
      <c r="M77" s="11" t="s">
        <v>163</v>
      </c>
    </row>
    <row r="78" spans="1:13" ht="117" x14ac:dyDescent="0.3">
      <c r="A78" s="6">
        <v>77</v>
      </c>
      <c r="B78" s="6" t="s">
        <v>164</v>
      </c>
      <c r="C78" s="7" t="s">
        <v>18</v>
      </c>
      <c r="D78" s="7"/>
      <c r="E78" s="7"/>
      <c r="F78" s="7"/>
      <c r="G78" s="8" t="s">
        <v>19</v>
      </c>
      <c r="H78" s="8" t="s">
        <v>139</v>
      </c>
      <c r="I78" s="8">
        <v>605</v>
      </c>
      <c r="J78" s="9">
        <v>3</v>
      </c>
      <c r="K78" s="11" t="s">
        <v>143</v>
      </c>
      <c r="L78" s="14">
        <v>7</v>
      </c>
      <c r="M78" s="11" t="s">
        <v>165</v>
      </c>
    </row>
    <row r="79" spans="1:13" ht="117" x14ac:dyDescent="0.3">
      <c r="A79" s="6">
        <v>78</v>
      </c>
      <c r="B79" s="6" t="s">
        <v>166</v>
      </c>
      <c r="C79" s="7" t="s">
        <v>18</v>
      </c>
      <c r="D79" s="7"/>
      <c r="E79" s="7"/>
      <c r="F79" s="7"/>
      <c r="G79" s="8" t="s">
        <v>19</v>
      </c>
      <c r="H79" s="8" t="s">
        <v>139</v>
      </c>
      <c r="I79" s="8">
        <v>1150</v>
      </c>
      <c r="J79" s="9">
        <v>3</v>
      </c>
      <c r="K79" s="11" t="s">
        <v>143</v>
      </c>
      <c r="L79" s="14">
        <v>7</v>
      </c>
      <c r="M79" s="11" t="s">
        <v>165</v>
      </c>
    </row>
    <row r="80" spans="1:13" ht="140.4" x14ac:dyDescent="0.3">
      <c r="A80" s="6">
        <v>79</v>
      </c>
      <c r="B80" s="6" t="s">
        <v>167</v>
      </c>
      <c r="C80" s="7" t="s">
        <v>18</v>
      </c>
      <c r="D80" s="7"/>
      <c r="E80" s="7"/>
      <c r="F80" s="7"/>
      <c r="G80" s="8" t="s">
        <v>19</v>
      </c>
      <c r="H80" s="8" t="s">
        <v>68</v>
      </c>
      <c r="I80" s="8">
        <v>1610</v>
      </c>
      <c r="J80" s="9">
        <v>2</v>
      </c>
      <c r="K80" s="8" t="s">
        <v>21</v>
      </c>
      <c r="L80" s="14">
        <v>7</v>
      </c>
      <c r="M80" s="11" t="s">
        <v>168</v>
      </c>
    </row>
    <row r="81" spans="1:13" ht="140.4" x14ac:dyDescent="0.3">
      <c r="A81" s="6">
        <v>80</v>
      </c>
      <c r="B81" s="6" t="s">
        <v>169</v>
      </c>
      <c r="C81" s="7" t="s">
        <v>18</v>
      </c>
      <c r="D81" s="7"/>
      <c r="E81" s="7"/>
      <c r="F81" s="7"/>
      <c r="G81" s="8" t="s">
        <v>19</v>
      </c>
      <c r="H81" s="8" t="s">
        <v>31</v>
      </c>
      <c r="I81" s="8">
        <v>650</v>
      </c>
      <c r="J81" s="9">
        <v>3</v>
      </c>
      <c r="K81" s="8">
        <v>39000048</v>
      </c>
      <c r="L81" s="14">
        <v>7</v>
      </c>
      <c r="M81" s="11" t="s">
        <v>170</v>
      </c>
    </row>
    <row r="82" spans="1:13" ht="140.4" x14ac:dyDescent="0.3">
      <c r="A82" s="6">
        <v>81</v>
      </c>
      <c r="B82" s="6" t="s">
        <v>171</v>
      </c>
      <c r="C82" s="7" t="s">
        <v>18</v>
      </c>
      <c r="D82" s="7"/>
      <c r="E82" s="7"/>
      <c r="F82" s="7"/>
      <c r="G82" s="8" t="s">
        <v>19</v>
      </c>
      <c r="H82" s="8" t="s">
        <v>31</v>
      </c>
      <c r="I82" s="8">
        <v>610</v>
      </c>
      <c r="J82" s="14">
        <v>7</v>
      </c>
      <c r="K82" s="11" t="s">
        <v>172</v>
      </c>
      <c r="L82" s="14">
        <v>7</v>
      </c>
      <c r="M82" s="11" t="s">
        <v>173</v>
      </c>
    </row>
    <row r="83" spans="1:13" ht="140.4" x14ac:dyDescent="0.3">
      <c r="A83" s="6">
        <v>82</v>
      </c>
      <c r="B83" s="6" t="s">
        <v>174</v>
      </c>
      <c r="C83" s="7" t="s">
        <v>18</v>
      </c>
      <c r="D83" s="7"/>
      <c r="E83" s="7"/>
      <c r="F83" s="7"/>
      <c r="G83" s="8" t="s">
        <v>19</v>
      </c>
      <c r="H83" s="8" t="s">
        <v>68</v>
      </c>
      <c r="I83" s="8">
        <v>610</v>
      </c>
      <c r="J83" s="14">
        <v>7</v>
      </c>
      <c r="K83" s="11" t="s">
        <v>175</v>
      </c>
      <c r="L83" s="14">
        <v>7</v>
      </c>
      <c r="M83" s="11" t="s">
        <v>176</v>
      </c>
    </row>
    <row r="84" spans="1:13" ht="70.2" x14ac:dyDescent="0.3">
      <c r="A84" s="6">
        <v>83</v>
      </c>
      <c r="B84" s="6" t="s">
        <v>177</v>
      </c>
      <c r="C84" s="7" t="s">
        <v>18</v>
      </c>
      <c r="D84" s="7"/>
      <c r="E84" s="7"/>
      <c r="F84" s="7"/>
      <c r="G84" s="8" t="s">
        <v>19</v>
      </c>
      <c r="H84" s="8" t="s">
        <v>178</v>
      </c>
      <c r="I84" s="8">
        <v>1810</v>
      </c>
      <c r="J84" s="9">
        <v>2</v>
      </c>
      <c r="K84" s="8" t="s">
        <v>21</v>
      </c>
      <c r="L84" s="9">
        <v>3</v>
      </c>
      <c r="M84" s="11" t="s">
        <v>22</v>
      </c>
    </row>
    <row r="85" spans="1:13" ht="140.4" x14ac:dyDescent="0.3">
      <c r="A85" s="6">
        <v>84</v>
      </c>
      <c r="B85" s="6" t="s">
        <v>179</v>
      </c>
      <c r="C85" s="7" t="s">
        <v>18</v>
      </c>
      <c r="D85" s="7"/>
      <c r="E85" s="7"/>
      <c r="F85" s="7"/>
      <c r="G85" s="8" t="s">
        <v>19</v>
      </c>
      <c r="H85" s="8" t="s">
        <v>54</v>
      </c>
      <c r="I85" s="8">
        <v>500</v>
      </c>
      <c r="J85" s="9">
        <v>3</v>
      </c>
      <c r="K85" s="8">
        <v>39000048</v>
      </c>
      <c r="L85" s="14">
        <v>7</v>
      </c>
      <c r="M85" s="11" t="s">
        <v>180</v>
      </c>
    </row>
    <row r="86" spans="1:13" ht="117" x14ac:dyDescent="0.3">
      <c r="A86" s="6">
        <v>85</v>
      </c>
      <c r="B86" s="6" t="s">
        <v>181</v>
      </c>
      <c r="C86" s="7" t="s">
        <v>18</v>
      </c>
      <c r="D86" s="7"/>
      <c r="E86" s="7"/>
      <c r="F86" s="7"/>
      <c r="G86" s="8" t="s">
        <v>19</v>
      </c>
      <c r="H86" s="8" t="s">
        <v>40</v>
      </c>
      <c r="I86" s="8">
        <v>470</v>
      </c>
      <c r="J86" s="9">
        <v>3</v>
      </c>
      <c r="K86" s="8">
        <v>39000048</v>
      </c>
      <c r="L86" s="14">
        <v>7</v>
      </c>
      <c r="M86" s="11" t="s">
        <v>182</v>
      </c>
    </row>
    <row r="87" spans="1:13" ht="140.4" x14ac:dyDescent="0.3">
      <c r="A87" s="6">
        <v>86</v>
      </c>
      <c r="B87" s="6" t="s">
        <v>183</v>
      </c>
      <c r="C87" s="7" t="s">
        <v>18</v>
      </c>
      <c r="D87" s="7"/>
      <c r="E87" s="7"/>
      <c r="F87" s="7"/>
      <c r="G87" s="8" t="s">
        <v>19</v>
      </c>
      <c r="H87" s="8" t="s">
        <v>65</v>
      </c>
      <c r="I87" s="8">
        <v>445</v>
      </c>
      <c r="J87" s="9">
        <v>3</v>
      </c>
      <c r="K87" s="8">
        <v>39000048</v>
      </c>
      <c r="L87" s="14">
        <v>7</v>
      </c>
      <c r="M87" s="11" t="s">
        <v>184</v>
      </c>
    </row>
    <row r="88" spans="1:13" ht="23.4" x14ac:dyDescent="0.3">
      <c r="A88" s="6">
        <v>87</v>
      </c>
      <c r="B88" s="6" t="s">
        <v>185</v>
      </c>
      <c r="C88" s="7" t="s">
        <v>18</v>
      </c>
      <c r="D88" s="7"/>
      <c r="E88" s="7"/>
      <c r="F88" s="7"/>
      <c r="G88" s="8" t="s">
        <v>19</v>
      </c>
      <c r="H88" s="8" t="s">
        <v>65</v>
      </c>
      <c r="I88" s="8">
        <f>2220-140</f>
        <v>2080</v>
      </c>
      <c r="J88" s="9">
        <v>2</v>
      </c>
      <c r="K88" s="8" t="s">
        <v>36</v>
      </c>
      <c r="L88" s="9">
        <v>3</v>
      </c>
      <c r="M88" s="13" t="s">
        <v>43</v>
      </c>
    </row>
    <row r="89" spans="1:13" ht="163.80000000000001" x14ac:dyDescent="0.3">
      <c r="A89" s="6">
        <v>88</v>
      </c>
      <c r="B89" s="6" t="s">
        <v>186</v>
      </c>
      <c r="C89" s="7" t="s">
        <v>9</v>
      </c>
      <c r="D89" s="7"/>
      <c r="E89" s="7"/>
      <c r="F89" s="7"/>
      <c r="G89" s="8" t="s">
        <v>10</v>
      </c>
      <c r="H89" s="8" t="s">
        <v>187</v>
      </c>
      <c r="I89" s="8">
        <v>360</v>
      </c>
      <c r="J89" s="9">
        <v>5</v>
      </c>
      <c r="K89" s="8" t="s">
        <v>55</v>
      </c>
      <c r="L89" s="10">
        <v>11</v>
      </c>
      <c r="M89" s="11" t="s">
        <v>188</v>
      </c>
    </row>
    <row r="90" spans="1:13" ht="70.2" x14ac:dyDescent="0.3">
      <c r="A90" s="6">
        <v>89</v>
      </c>
      <c r="B90" s="6" t="s">
        <v>189</v>
      </c>
      <c r="C90" s="7" t="s">
        <v>18</v>
      </c>
      <c r="D90" s="7"/>
      <c r="E90" s="7"/>
      <c r="F90" s="7"/>
      <c r="G90" s="8" t="s">
        <v>19</v>
      </c>
      <c r="H90" s="8" t="s">
        <v>178</v>
      </c>
      <c r="I90" s="8">
        <v>2020</v>
      </c>
      <c r="J90" s="9">
        <v>2</v>
      </c>
      <c r="K90" s="8">
        <v>561349000</v>
      </c>
      <c r="L90" s="9">
        <v>3</v>
      </c>
      <c r="M90" s="11" t="s">
        <v>113</v>
      </c>
    </row>
    <row r="91" spans="1:13" ht="46.8" x14ac:dyDescent="0.3">
      <c r="A91" s="6">
        <v>90</v>
      </c>
      <c r="B91" s="6" t="s">
        <v>190</v>
      </c>
      <c r="C91" s="7" t="s">
        <v>18</v>
      </c>
      <c r="D91" s="7"/>
      <c r="E91" s="7"/>
      <c r="F91" s="7"/>
      <c r="G91" s="8" t="s">
        <v>19</v>
      </c>
      <c r="H91" s="8" t="s">
        <v>191</v>
      </c>
      <c r="I91" s="8">
        <v>1825</v>
      </c>
      <c r="J91" s="9">
        <v>2</v>
      </c>
      <c r="K91" s="8">
        <v>561349000</v>
      </c>
      <c r="L91" s="9">
        <v>3</v>
      </c>
      <c r="M91" s="11" t="s">
        <v>192</v>
      </c>
    </row>
    <row r="92" spans="1:13" ht="46.8" x14ac:dyDescent="0.3">
      <c r="A92" s="6">
        <v>91</v>
      </c>
      <c r="B92" s="6" t="s">
        <v>193</v>
      </c>
      <c r="C92" s="7" t="s">
        <v>18</v>
      </c>
      <c r="D92" s="7"/>
      <c r="E92" s="7"/>
      <c r="F92" s="7"/>
      <c r="G92" s="8" t="s">
        <v>19</v>
      </c>
      <c r="H92" s="8" t="s">
        <v>194</v>
      </c>
      <c r="I92" s="8">
        <v>1825</v>
      </c>
      <c r="J92" s="9">
        <v>2</v>
      </c>
      <c r="K92" s="8">
        <v>561349000</v>
      </c>
      <c r="L92" s="9">
        <v>3</v>
      </c>
      <c r="M92" s="11" t="s">
        <v>192</v>
      </c>
    </row>
    <row r="93" spans="1:13" ht="46.8" x14ac:dyDescent="0.3">
      <c r="A93" s="6">
        <v>92</v>
      </c>
      <c r="B93" s="6" t="s">
        <v>195</v>
      </c>
      <c r="C93" s="7" t="s">
        <v>18</v>
      </c>
      <c r="D93" s="7"/>
      <c r="E93" s="7"/>
      <c r="F93" s="7"/>
      <c r="G93" s="8" t="s">
        <v>19</v>
      </c>
      <c r="H93" s="8" t="s">
        <v>20</v>
      </c>
      <c r="I93" s="8">
        <v>1825</v>
      </c>
      <c r="J93" s="9">
        <v>2</v>
      </c>
      <c r="K93" s="8">
        <v>561349000</v>
      </c>
      <c r="L93" s="9">
        <v>3</v>
      </c>
      <c r="M93" s="11" t="s">
        <v>192</v>
      </c>
    </row>
    <row r="94" spans="1:13" ht="46.8" x14ac:dyDescent="0.3">
      <c r="A94" s="6">
        <v>93</v>
      </c>
      <c r="B94" s="6" t="s">
        <v>196</v>
      </c>
      <c r="C94" s="7" t="s">
        <v>18</v>
      </c>
      <c r="D94" s="7"/>
      <c r="E94" s="7"/>
      <c r="F94" s="7"/>
      <c r="G94" s="8" t="s">
        <v>19</v>
      </c>
      <c r="H94" s="8" t="s">
        <v>197</v>
      </c>
      <c r="I94" s="8">
        <v>1825</v>
      </c>
      <c r="J94" s="9">
        <v>2</v>
      </c>
      <c r="K94" s="8">
        <v>561349000</v>
      </c>
      <c r="L94" s="9">
        <v>3</v>
      </c>
      <c r="M94" s="11" t="s">
        <v>192</v>
      </c>
    </row>
    <row r="95" spans="1:13" ht="23.4" x14ac:dyDescent="0.3">
      <c r="A95" s="6">
        <v>94</v>
      </c>
      <c r="B95" s="6" t="s">
        <v>198</v>
      </c>
      <c r="C95" s="7" t="s">
        <v>18</v>
      </c>
      <c r="D95" s="7"/>
      <c r="E95" s="7"/>
      <c r="F95" s="7"/>
      <c r="G95" s="8" t="s">
        <v>19</v>
      </c>
      <c r="H95" s="8" t="s">
        <v>191</v>
      </c>
      <c r="I95" s="8">
        <f>2400+10</f>
        <v>2410</v>
      </c>
      <c r="J95" s="9">
        <v>3</v>
      </c>
      <c r="K95" s="8" t="s">
        <v>192</v>
      </c>
      <c r="L95" s="9">
        <v>2</v>
      </c>
      <c r="M95" s="11">
        <v>561349000</v>
      </c>
    </row>
    <row r="96" spans="1:13" ht="23.4" x14ac:dyDescent="0.3">
      <c r="A96" s="6">
        <v>95</v>
      </c>
      <c r="B96" s="6" t="s">
        <v>199</v>
      </c>
      <c r="C96" s="7" t="s">
        <v>18</v>
      </c>
      <c r="D96" s="7"/>
      <c r="E96" s="7"/>
      <c r="F96" s="7"/>
      <c r="G96" s="8" t="s">
        <v>19</v>
      </c>
      <c r="H96" s="8" t="s">
        <v>200</v>
      </c>
      <c r="I96" s="8">
        <f t="shared" ref="I96:I98" si="0">2400+10</f>
        <v>2410</v>
      </c>
      <c r="J96" s="9">
        <v>3</v>
      </c>
      <c r="K96" s="8" t="s">
        <v>192</v>
      </c>
      <c r="L96" s="9">
        <v>2</v>
      </c>
      <c r="M96" s="11">
        <v>561349000</v>
      </c>
    </row>
    <row r="97" spans="1:13" ht="46.8" x14ac:dyDescent="0.3">
      <c r="A97" s="6">
        <v>96</v>
      </c>
      <c r="B97" s="6" t="s">
        <v>201</v>
      </c>
      <c r="C97" s="7" t="s">
        <v>18</v>
      </c>
      <c r="D97" s="7"/>
      <c r="E97" s="7"/>
      <c r="F97" s="7"/>
      <c r="G97" s="8" t="s">
        <v>19</v>
      </c>
      <c r="H97" s="8" t="s">
        <v>202</v>
      </c>
      <c r="I97" s="8">
        <f t="shared" si="0"/>
        <v>2410</v>
      </c>
      <c r="J97" s="9">
        <v>2</v>
      </c>
      <c r="K97" s="8">
        <v>561349000</v>
      </c>
      <c r="L97" s="9">
        <v>3</v>
      </c>
      <c r="M97" s="11" t="s">
        <v>192</v>
      </c>
    </row>
    <row r="98" spans="1:13" ht="46.8" x14ac:dyDescent="0.3">
      <c r="A98" s="6">
        <v>97</v>
      </c>
      <c r="B98" s="6" t="s">
        <v>203</v>
      </c>
      <c r="C98" s="7" t="s">
        <v>18</v>
      </c>
      <c r="D98" s="7"/>
      <c r="E98" s="7"/>
      <c r="F98" s="7"/>
      <c r="G98" s="8" t="s">
        <v>19</v>
      </c>
      <c r="H98" s="8" t="s">
        <v>204</v>
      </c>
      <c r="I98" s="8">
        <f t="shared" si="0"/>
        <v>2410</v>
      </c>
      <c r="J98" s="9">
        <v>2</v>
      </c>
      <c r="K98" s="8">
        <v>561349000</v>
      </c>
      <c r="L98" s="9">
        <v>3</v>
      </c>
      <c r="M98" s="11" t="s">
        <v>192</v>
      </c>
    </row>
    <row r="99" spans="1:13" ht="140.4" x14ac:dyDescent="0.3">
      <c r="A99" s="6">
        <v>98</v>
      </c>
      <c r="B99" s="6" t="s">
        <v>205</v>
      </c>
      <c r="C99" s="7" t="s">
        <v>18</v>
      </c>
      <c r="D99" s="7"/>
      <c r="E99" s="7"/>
      <c r="F99" s="7"/>
      <c r="G99" s="8" t="s">
        <v>19</v>
      </c>
      <c r="H99" s="8" t="s">
        <v>178</v>
      </c>
      <c r="I99" s="8">
        <f>1060+35</f>
        <v>1095</v>
      </c>
      <c r="J99" s="9">
        <v>3</v>
      </c>
      <c r="K99" s="8" t="s">
        <v>192</v>
      </c>
      <c r="L99" s="14">
        <v>7</v>
      </c>
      <c r="M99" s="11" t="s">
        <v>206</v>
      </c>
    </row>
    <row r="100" spans="1:13" ht="23.4" x14ac:dyDescent="0.3">
      <c r="A100" s="6">
        <v>99</v>
      </c>
      <c r="B100" s="6" t="s">
        <v>207</v>
      </c>
      <c r="C100" s="7" t="s">
        <v>18</v>
      </c>
      <c r="D100" s="7"/>
      <c r="E100" s="7"/>
      <c r="F100" s="7"/>
      <c r="G100" s="8" t="s">
        <v>19</v>
      </c>
      <c r="H100" s="8" t="s">
        <v>208</v>
      </c>
      <c r="I100" s="8">
        <f>1840+5</f>
        <v>1845</v>
      </c>
      <c r="J100" s="9">
        <v>3</v>
      </c>
      <c r="K100" s="8" t="s">
        <v>192</v>
      </c>
      <c r="L100" s="9">
        <v>2</v>
      </c>
      <c r="M100" s="11">
        <v>561349000</v>
      </c>
    </row>
    <row r="101" spans="1:13" ht="46.8" x14ac:dyDescent="0.3">
      <c r="A101" s="6">
        <v>100</v>
      </c>
      <c r="B101" s="6" t="s">
        <v>209</v>
      </c>
      <c r="C101" s="7" t="s">
        <v>18</v>
      </c>
      <c r="D101" s="7"/>
      <c r="E101" s="7"/>
      <c r="F101" s="7"/>
      <c r="G101" s="8" t="s">
        <v>19</v>
      </c>
      <c r="H101" s="8" t="s">
        <v>20</v>
      </c>
      <c r="I101" s="8">
        <f>1825+25</f>
        <v>1850</v>
      </c>
      <c r="J101" s="9">
        <v>3</v>
      </c>
      <c r="K101" s="8">
        <v>561349000</v>
      </c>
      <c r="L101" s="9">
        <v>3</v>
      </c>
      <c r="M101" s="11" t="s">
        <v>192</v>
      </c>
    </row>
    <row r="102" spans="1:13" ht="46.8" x14ac:dyDescent="0.3">
      <c r="A102" s="6">
        <v>101</v>
      </c>
      <c r="B102" s="6" t="s">
        <v>210</v>
      </c>
      <c r="C102" s="7" t="s">
        <v>18</v>
      </c>
      <c r="D102" s="7"/>
      <c r="E102" s="7"/>
      <c r="F102" s="7"/>
      <c r="G102" s="8" t="s">
        <v>19</v>
      </c>
      <c r="H102" s="8" t="s">
        <v>211</v>
      </c>
      <c r="I102" s="8">
        <f>1650+35</f>
        <v>1685</v>
      </c>
      <c r="J102" s="9">
        <v>3</v>
      </c>
      <c r="K102" s="8" t="s">
        <v>192</v>
      </c>
      <c r="L102" s="9">
        <v>2</v>
      </c>
      <c r="M102" s="11" t="s">
        <v>36</v>
      </c>
    </row>
    <row r="103" spans="1:13" ht="46.8" x14ac:dyDescent="0.3">
      <c r="A103" s="6">
        <v>102</v>
      </c>
      <c r="B103" s="6" t="s">
        <v>212</v>
      </c>
      <c r="C103" s="7" t="s">
        <v>18</v>
      </c>
      <c r="D103" s="7"/>
      <c r="E103" s="7"/>
      <c r="F103" s="7"/>
      <c r="G103" s="8" t="s">
        <v>19</v>
      </c>
      <c r="H103" s="8" t="s">
        <v>213</v>
      </c>
      <c r="I103" s="8">
        <f>1650+35</f>
        <v>1685</v>
      </c>
      <c r="J103" s="9">
        <v>3</v>
      </c>
      <c r="K103" s="8" t="s">
        <v>192</v>
      </c>
      <c r="L103" s="9">
        <v>2</v>
      </c>
      <c r="M103" s="11" t="s">
        <v>36</v>
      </c>
    </row>
    <row r="104" spans="1:13" ht="46.8" x14ac:dyDescent="0.3">
      <c r="A104" s="6">
        <v>103</v>
      </c>
      <c r="B104" s="6" t="s">
        <v>214</v>
      </c>
      <c r="C104" s="7" t="s">
        <v>18</v>
      </c>
      <c r="D104" s="7"/>
      <c r="E104" s="7"/>
      <c r="F104" s="7"/>
      <c r="G104" s="8" t="s">
        <v>19</v>
      </c>
      <c r="H104" s="8" t="s">
        <v>204</v>
      </c>
      <c r="I104" s="8">
        <v>3130</v>
      </c>
      <c r="J104" s="9">
        <v>2</v>
      </c>
      <c r="K104" s="8" t="s">
        <v>36</v>
      </c>
      <c r="L104" s="9">
        <v>3</v>
      </c>
      <c r="M104" s="11" t="s">
        <v>61</v>
      </c>
    </row>
    <row r="105" spans="1:13" ht="46.8" x14ac:dyDescent="0.3">
      <c r="A105" s="6">
        <v>104</v>
      </c>
      <c r="B105" s="6" t="s">
        <v>215</v>
      </c>
      <c r="C105" s="7" t="s">
        <v>18</v>
      </c>
      <c r="D105" s="7"/>
      <c r="E105" s="7"/>
      <c r="F105" s="7"/>
      <c r="G105" s="8" t="s">
        <v>19</v>
      </c>
      <c r="H105" s="8" t="s">
        <v>178</v>
      </c>
      <c r="I105" s="8">
        <f>4680+50</f>
        <v>4730</v>
      </c>
      <c r="J105" s="9">
        <v>3</v>
      </c>
      <c r="K105" s="8" t="s">
        <v>61</v>
      </c>
      <c r="L105" s="9">
        <v>3</v>
      </c>
      <c r="M105" s="11" t="s">
        <v>61</v>
      </c>
    </row>
    <row r="106" spans="1:13" ht="46.8" x14ac:dyDescent="0.3">
      <c r="A106" s="6">
        <v>105</v>
      </c>
      <c r="B106" s="6" t="s">
        <v>216</v>
      </c>
      <c r="C106" s="7" t="s">
        <v>18</v>
      </c>
      <c r="D106" s="7"/>
      <c r="E106" s="7"/>
      <c r="F106" s="7"/>
      <c r="G106" s="8" t="s">
        <v>19</v>
      </c>
      <c r="H106" s="8" t="s">
        <v>20</v>
      </c>
      <c r="I106" s="8">
        <f>2115+20</f>
        <v>2135</v>
      </c>
      <c r="J106" s="9">
        <v>3</v>
      </c>
      <c r="K106" s="8" t="s">
        <v>61</v>
      </c>
      <c r="L106" s="9">
        <v>2</v>
      </c>
      <c r="M106" s="11" t="s">
        <v>36</v>
      </c>
    </row>
  </sheetData>
  <mergeCells count="106">
    <mergeCell ref="C103:F103"/>
    <mergeCell ref="C104:F104"/>
    <mergeCell ref="C105:F105"/>
    <mergeCell ref="C106:F106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13:F13"/>
    <mergeCell ref="C14:F14"/>
    <mergeCell ref="C15:F15"/>
    <mergeCell ref="C16:F16"/>
    <mergeCell ref="C17:F17"/>
    <mergeCell ref="C18:F18"/>
    <mergeCell ref="C7:F7"/>
    <mergeCell ref="C8:F8"/>
    <mergeCell ref="C9:F9"/>
    <mergeCell ref="C10:F10"/>
    <mergeCell ref="C11:F11"/>
    <mergeCell ref="C12:F12"/>
    <mergeCell ref="C1:F1"/>
    <mergeCell ref="C2:F2"/>
    <mergeCell ref="C3:F3"/>
    <mergeCell ref="C4:F4"/>
    <mergeCell ref="C5:F5"/>
    <mergeCell ref="C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Anand</dc:creator>
  <cp:lastModifiedBy>Vikas Anand</cp:lastModifiedBy>
  <dcterms:created xsi:type="dcterms:W3CDTF">2025-12-13T10:36:22Z</dcterms:created>
  <dcterms:modified xsi:type="dcterms:W3CDTF">2025-12-13T18:12:48Z</dcterms:modified>
</cp:coreProperties>
</file>