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der Mohan\Desktop\BM16 CUTTING\"/>
    </mc:Choice>
  </mc:AlternateContent>
  <bookViews>
    <workbookView xWindow="0" yWindow="0" windowWidth="20490" windowHeight="7350" activeTab="1"/>
  </bookViews>
  <sheets>
    <sheet name="W11539482-(2)" sheetId="1" r:id="rId1"/>
    <sheet name="Sheet1" sheetId="5" r:id="rId2"/>
    <sheet name="W11539482(Splice)" sheetId="2" r:id="rId3"/>
    <sheet name="W11539482-(1)" sheetId="4" r:id="rId4"/>
    <sheet name="REVISION HISTORY" sheetId="3" r:id="rId5"/>
  </sheets>
  <definedNames>
    <definedName name="_xlnm._FilterDatabase" localSheetId="1" hidden="1">Sheet1!$B$6:$R$6</definedName>
    <definedName name="_xlnm._FilterDatabase" localSheetId="3" hidden="1">'W11539482-(1)'!$B$6:$N$128</definedName>
    <definedName name="_xlnm._FilterDatabase" localSheetId="0" hidden="1">'W11539482-(2)'!$B$6:$N$128</definedName>
    <definedName name="_xlnm._FilterDatabase" localSheetId="2" hidden="1">'W11539482(Splice)'!$C$6:$N$116</definedName>
    <definedName name="_xlnm.Print_Area" localSheetId="3">'W11539482-(1)'!$B$1:$N$132</definedName>
    <definedName name="_xlnm.Print_Area" localSheetId="0">'W11539482-(2)'!$B$1:$N$132</definedName>
    <definedName name="_xlnm.Print_Area" localSheetId="2">'W11539482(Splice)'!$C$1:$O$120</definedName>
    <definedName name="_xlnm.Print_Titles" localSheetId="3">'W11539482-(1)'!$B:$N,'W11539482-(1)'!$1:$6</definedName>
    <definedName name="_xlnm.Print_Titles" localSheetId="0">'W11539482-(2)'!$B:$N,'W11539482-(2)'!$1:$6</definedName>
    <definedName name="_xlnm.Print_Titles" localSheetId="2">'W11539482(Splice)'!$C:$N,'W11539482(Splice)'!$1:$3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7" i="5" l="1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J122" i="5" l="1"/>
  <c r="J121" i="5"/>
  <c r="J120" i="5"/>
  <c r="J119" i="5"/>
  <c r="J118" i="5"/>
  <c r="J110" i="5"/>
  <c r="J94" i="5"/>
  <c r="J93" i="5"/>
  <c r="J86" i="5"/>
  <c r="J81" i="5"/>
  <c r="J80" i="5"/>
  <c r="J79" i="5"/>
  <c r="J71" i="5"/>
  <c r="J70" i="5"/>
  <c r="J69" i="5"/>
  <c r="J68" i="5"/>
  <c r="J63" i="5"/>
  <c r="J62" i="5"/>
  <c r="J60" i="5"/>
  <c r="J59" i="5"/>
  <c r="J55" i="5"/>
  <c r="J54" i="5"/>
  <c r="J53" i="5"/>
  <c r="J52" i="5"/>
  <c r="J44" i="5"/>
  <c r="J40" i="5"/>
  <c r="J33" i="5"/>
  <c r="J28" i="5"/>
  <c r="J27" i="5"/>
  <c r="J22" i="5"/>
  <c r="J20" i="5"/>
  <c r="J13" i="5"/>
  <c r="J11" i="5"/>
  <c r="J10" i="5"/>
  <c r="J55" i="1" l="1"/>
  <c r="J54" i="1"/>
  <c r="J63" i="1"/>
  <c r="J62" i="1"/>
  <c r="J28" i="1"/>
  <c r="J93" i="1"/>
  <c r="J94" i="1"/>
  <c r="J22" i="1"/>
  <c r="J81" i="1"/>
  <c r="J80" i="1"/>
  <c r="J79" i="1"/>
  <c r="J71" i="1"/>
  <c r="J70" i="1"/>
  <c r="J69" i="1"/>
  <c r="J68" i="1"/>
  <c r="J27" i="1"/>
  <c r="J53" i="1"/>
  <c r="J52" i="1"/>
  <c r="J60" i="1"/>
  <c r="J59" i="1"/>
  <c r="J33" i="1"/>
  <c r="J13" i="1"/>
  <c r="J86" i="1"/>
  <c r="J120" i="1"/>
  <c r="J119" i="1"/>
  <c r="J122" i="1"/>
  <c r="J121" i="1"/>
  <c r="J118" i="1"/>
  <c r="J110" i="1" l="1"/>
  <c r="J11" i="1" l="1"/>
  <c r="J10" i="1"/>
  <c r="J110" i="4" l="1"/>
  <c r="J104" i="4"/>
  <c r="J103" i="4"/>
  <c r="J102" i="4"/>
  <c r="J101" i="4"/>
  <c r="J100" i="4"/>
  <c r="J66" i="4"/>
  <c r="J63" i="4"/>
  <c r="J61" i="4"/>
  <c r="J60" i="4"/>
  <c r="J59" i="4"/>
  <c r="J57" i="4"/>
  <c r="J56" i="4"/>
  <c r="J45" i="4"/>
  <c r="J44" i="4"/>
  <c r="J40" i="4"/>
  <c r="J37" i="4"/>
  <c r="J36" i="4"/>
  <c r="J35" i="4"/>
  <c r="J28" i="4"/>
  <c r="J27" i="4"/>
  <c r="J24" i="4"/>
  <c r="J23" i="4"/>
  <c r="J20" i="4"/>
  <c r="J18" i="4"/>
  <c r="J15" i="4"/>
  <c r="J14" i="4"/>
  <c r="J44" i="1" l="1"/>
  <c r="J40" i="1"/>
  <c r="J20" i="1"/>
</calcChain>
</file>

<file path=xl/sharedStrings.xml><?xml version="1.0" encoding="utf-8"?>
<sst xmlns="http://schemas.openxmlformats.org/spreadsheetml/2006/main" count="2435" uniqueCount="425">
  <si>
    <t>Guru Amardass International (P) Ltd.</t>
  </si>
  <si>
    <t>CUTTING &amp; CRIMPING CHART</t>
  </si>
  <si>
    <t>Part No.</t>
  </si>
  <si>
    <t xml:space="preserve">Customer </t>
  </si>
  <si>
    <t>Whirlpool</t>
  </si>
  <si>
    <t xml:space="preserve">Model </t>
  </si>
  <si>
    <t>A - SIDE</t>
  </si>
  <si>
    <t>B - SIDE</t>
  </si>
  <si>
    <t>Wire No.</t>
  </si>
  <si>
    <t>WIRE SIZE</t>
  </si>
  <si>
    <r>
      <t>DESCRIPTION
STRANDS(</t>
    </r>
    <r>
      <rPr>
        <b/>
        <sz val="12"/>
        <color theme="1"/>
        <rFont val="Calibri"/>
        <family val="2"/>
      </rPr>
      <t>±0.008)mm
OD(±0.05)mm</t>
    </r>
  </si>
  <si>
    <t>WIRE COLOR</t>
  </si>
  <si>
    <t>CUTTING LENGTH
± 5 MM</t>
  </si>
  <si>
    <t>STRIPPING
± 0.5 MM</t>
  </si>
  <si>
    <t>TERMINAL</t>
  </si>
  <si>
    <t>Pink</t>
  </si>
  <si>
    <t>Blue</t>
  </si>
  <si>
    <t>Violet</t>
  </si>
  <si>
    <t>Green</t>
  </si>
  <si>
    <t>Black</t>
  </si>
  <si>
    <t>Prepared By:</t>
  </si>
  <si>
    <t>Checked By:</t>
  </si>
  <si>
    <t>Approved By:</t>
  </si>
  <si>
    <t>Ref</t>
  </si>
  <si>
    <t>UL 1569 # 22</t>
  </si>
  <si>
    <t>43030-0001</t>
  </si>
  <si>
    <t>Yellow</t>
  </si>
  <si>
    <t>Orange</t>
  </si>
  <si>
    <t>Red / White</t>
  </si>
  <si>
    <t>Red</t>
  </si>
  <si>
    <t>Black / Green</t>
  </si>
  <si>
    <t>UL 1015 # 18</t>
  </si>
  <si>
    <t>Black / White</t>
  </si>
  <si>
    <t>White / Black</t>
  </si>
  <si>
    <t>1802006-5</t>
  </si>
  <si>
    <t>UL 1015 # 20</t>
  </si>
  <si>
    <t>1744144-1</t>
  </si>
  <si>
    <t>1744423-1</t>
  </si>
  <si>
    <t>SPL- Line
485043-1 ---- A</t>
  </si>
  <si>
    <t>SPL-NU
485043-1 --- B</t>
  </si>
  <si>
    <t>2350223-1</t>
  </si>
  <si>
    <t>SPL- WIN
63130-2….B</t>
  </si>
  <si>
    <t>1744201-1</t>
  </si>
  <si>
    <t>SPL-Line
485043-1 ….A</t>
  </si>
  <si>
    <t>Red / Blue</t>
  </si>
  <si>
    <t>35745-0110</t>
  </si>
  <si>
    <t>Red Black</t>
  </si>
  <si>
    <t>Red  / Black</t>
  </si>
  <si>
    <t>917764-1</t>
  </si>
  <si>
    <t>White</t>
  </si>
  <si>
    <t>SPL-NU
63625-1 … B</t>
  </si>
  <si>
    <t>227028-8400</t>
  </si>
  <si>
    <t>SPL-7
63130-2 …A</t>
  </si>
  <si>
    <t>SPL-Line
485043-1 … B</t>
  </si>
  <si>
    <t>SPL CH
63130-2 .. B</t>
  </si>
  <si>
    <t>Green /  Yellow</t>
  </si>
  <si>
    <t>SPL GND1
485043-1… B</t>
  </si>
  <si>
    <t>SPL GND1
485043-1… A</t>
  </si>
  <si>
    <t>Tan</t>
  </si>
  <si>
    <t>White / Blue</t>
  </si>
  <si>
    <t>SPL NU
63625-1 ….A</t>
  </si>
  <si>
    <t>Light Blue</t>
  </si>
  <si>
    <t>177916-1</t>
  </si>
  <si>
    <t>SPL-GDND
63130-2 … B</t>
  </si>
  <si>
    <t>SPL WIN
63130-2 …B</t>
  </si>
  <si>
    <t>Black /  White</t>
  </si>
  <si>
    <t>SPL CH
63130-2 .. A</t>
  </si>
  <si>
    <t>SPL WIN
63130-2 …A</t>
  </si>
  <si>
    <t>SPL-GDND
63130-2 … A</t>
  </si>
  <si>
    <t>Orange / Blue</t>
  </si>
  <si>
    <t>Red / Orenge</t>
  </si>
  <si>
    <t>SPL-7
63130-2 …B</t>
  </si>
  <si>
    <t>Blue /  White</t>
  </si>
  <si>
    <t>Grey</t>
  </si>
  <si>
    <t>227029-8400</t>
  </si>
  <si>
    <t>Yellow  / Black</t>
  </si>
  <si>
    <t>Brown</t>
  </si>
  <si>
    <t>Brown /  White</t>
  </si>
  <si>
    <t>2329911-1</t>
  </si>
  <si>
    <t>Red  /  Black</t>
  </si>
  <si>
    <t>White /  Blue</t>
  </si>
  <si>
    <t>Yellow / Black</t>
  </si>
  <si>
    <t>White / Yellow</t>
  </si>
  <si>
    <t>White / Orange</t>
  </si>
  <si>
    <t>SPL VCC
63130-2 …B</t>
  </si>
  <si>
    <t>SPL VCC
63130-2 …A</t>
  </si>
  <si>
    <t>SPL DUCT2
63130-2 …B</t>
  </si>
  <si>
    <t>SPL DUCT1
63130-2 …A</t>
  </si>
  <si>
    <t>SPL DUCT1
63130-2 …1</t>
  </si>
  <si>
    <t>SPL DD1
63130-2..A</t>
  </si>
  <si>
    <t>SPL DUCT2
63130-2 …A</t>
  </si>
  <si>
    <t>SPL DD2
63130-2..A</t>
  </si>
  <si>
    <t>172765-5121</t>
  </si>
  <si>
    <t>SPL 100 CH
63130-2 …B</t>
  </si>
  <si>
    <t>SPL WIN
63130-2…A</t>
  </si>
  <si>
    <t>SPL GDND
63130-2…A</t>
  </si>
  <si>
    <t>GREEN-YELLOW</t>
  </si>
  <si>
    <t>BLACK</t>
  </si>
  <si>
    <t>RED/BLACK</t>
  </si>
  <si>
    <t>BROWN</t>
  </si>
  <si>
    <t>RED</t>
  </si>
  <si>
    <t>RED/ORANGE</t>
  </si>
  <si>
    <t>RED/BLUE</t>
  </si>
  <si>
    <t>VOILET</t>
  </si>
  <si>
    <t>ORANGE</t>
  </si>
  <si>
    <t>YELLOW</t>
  </si>
  <si>
    <t>WHITE/BLACK</t>
  </si>
  <si>
    <t>39-00-0048</t>
  </si>
  <si>
    <t>W-857</t>
  </si>
  <si>
    <t>W-858</t>
  </si>
  <si>
    <t>W-865</t>
  </si>
  <si>
    <t>W-867</t>
  </si>
  <si>
    <t>W-869</t>
  </si>
  <si>
    <t>W-871</t>
  </si>
  <si>
    <t>W-873</t>
  </si>
  <si>
    <t>W-874</t>
  </si>
  <si>
    <t>W-885</t>
  </si>
  <si>
    <t>W-886</t>
  </si>
  <si>
    <t>W-921</t>
  </si>
  <si>
    <t>W-32</t>
  </si>
  <si>
    <t>W-33</t>
  </si>
  <si>
    <t>W-36</t>
  </si>
  <si>
    <t>W-37</t>
  </si>
  <si>
    <t>W-39</t>
  </si>
  <si>
    <t>W-40</t>
  </si>
  <si>
    <t>W-41</t>
  </si>
  <si>
    <t>W-42</t>
  </si>
  <si>
    <t>W-43</t>
  </si>
  <si>
    <t>W-50</t>
  </si>
  <si>
    <t>W-59</t>
  </si>
  <si>
    <t>W-125</t>
  </si>
  <si>
    <t>W-129</t>
  </si>
  <si>
    <t>W-132</t>
  </si>
  <si>
    <t>W-280</t>
  </si>
  <si>
    <t>W-289</t>
  </si>
  <si>
    <t>W-290</t>
  </si>
  <si>
    <t>W-393</t>
  </si>
  <si>
    <t>W-410</t>
  </si>
  <si>
    <t>W-417</t>
  </si>
  <si>
    <t>W-443</t>
  </si>
  <si>
    <t>W-445</t>
  </si>
  <si>
    <t>W-457</t>
  </si>
  <si>
    <t>W-458</t>
  </si>
  <si>
    <t>W-651</t>
  </si>
  <si>
    <t>W-655</t>
  </si>
  <si>
    <t>W-653</t>
  </si>
  <si>
    <t>W-731</t>
  </si>
  <si>
    <t>W-732</t>
  </si>
  <si>
    <t>W-739</t>
  </si>
  <si>
    <t>W-744</t>
  </si>
  <si>
    <t>W-749</t>
  </si>
  <si>
    <t>W-750</t>
  </si>
  <si>
    <t>W-751</t>
  </si>
  <si>
    <t>W-752</t>
  </si>
  <si>
    <t>W-753</t>
  </si>
  <si>
    <t>W-754</t>
  </si>
  <si>
    <t>W-756</t>
  </si>
  <si>
    <t>W-758</t>
  </si>
  <si>
    <t>W-761</t>
  </si>
  <si>
    <t>W-762</t>
  </si>
  <si>
    <t>W-763</t>
  </si>
  <si>
    <t>W-764</t>
  </si>
  <si>
    <t>W-765</t>
  </si>
  <si>
    <t>W-766</t>
  </si>
  <si>
    <t>W-770</t>
  </si>
  <si>
    <t>W-771</t>
  </si>
  <si>
    <t>W-772</t>
  </si>
  <si>
    <t>W-773</t>
  </si>
  <si>
    <t>W-774</t>
  </si>
  <si>
    <t>W-778</t>
  </si>
  <si>
    <t>W-779</t>
  </si>
  <si>
    <t>W-787</t>
  </si>
  <si>
    <t>W-788</t>
  </si>
  <si>
    <t>W-789</t>
  </si>
  <si>
    <t>W-790</t>
  </si>
  <si>
    <t>W-797</t>
  </si>
  <si>
    <t>W-798</t>
  </si>
  <si>
    <t>W-799</t>
  </si>
  <si>
    <t>W-800</t>
  </si>
  <si>
    <t>W-801</t>
  </si>
  <si>
    <t>W-802</t>
  </si>
  <si>
    <t>W-803</t>
  </si>
  <si>
    <t>W-804</t>
  </si>
  <si>
    <t>W-805</t>
  </si>
  <si>
    <t>W-806</t>
  </si>
  <si>
    <t>W-807</t>
  </si>
  <si>
    <t>W-808</t>
  </si>
  <si>
    <t>W-809</t>
  </si>
  <si>
    <t>W-810</t>
  </si>
  <si>
    <t>W-811</t>
  </si>
  <si>
    <t>W-812</t>
  </si>
  <si>
    <t>W-813</t>
  </si>
  <si>
    <t>W-822</t>
  </si>
  <si>
    <t>W-823</t>
  </si>
  <si>
    <t>W-824</t>
  </si>
  <si>
    <t>W-825</t>
  </si>
  <si>
    <t>W-842</t>
  </si>
  <si>
    <t>W-844</t>
  </si>
  <si>
    <t>W-846</t>
  </si>
  <si>
    <t>W-775</t>
  </si>
  <si>
    <t>SPL- Line
485043-1----B</t>
  </si>
  <si>
    <t>SPL- DUCT-1
63130-2 -- B</t>
  </si>
  <si>
    <t>SPL- DUCT-2
63130-2  --- A</t>
  </si>
  <si>
    <t>SPL-7
63130-2------A</t>
  </si>
  <si>
    <t>SPL-GDND
63130-2-----B</t>
  </si>
  <si>
    <t>SPL-100 CH
63031-2----A</t>
  </si>
  <si>
    <t xml:space="preserve">SPL_GND_1 
  485043-1----A </t>
  </si>
  <si>
    <t xml:space="preserve">SPL_100_CH   
63130-2----B </t>
  </si>
  <si>
    <t>Ref. Drawing Rev. No.</t>
  </si>
  <si>
    <t>Formate No.</t>
  </si>
  <si>
    <t>GAD/CC/001</t>
  </si>
  <si>
    <t>Cutting Chart Rev.No.</t>
  </si>
  <si>
    <t>Cutting Chart No.</t>
  </si>
  <si>
    <t>Cutting Chart Issue Date</t>
  </si>
  <si>
    <t>41*0.160*2.80</t>
  </si>
  <si>
    <t>26*0.160*2.50</t>
  </si>
  <si>
    <t>Sr. No.</t>
  </si>
  <si>
    <t>W-48</t>
  </si>
  <si>
    <t>43031-0001</t>
  </si>
  <si>
    <t>W-851</t>
  </si>
  <si>
    <t xml:space="preserve">JOINT DIAGRAM </t>
  </si>
  <si>
    <t>WCC/WHP/115</t>
  </si>
  <si>
    <t xml:space="preserve">17 , 0.160 , 1.60 </t>
  </si>
  <si>
    <t>07.05.2025</t>
  </si>
  <si>
    <t>W-737</t>
  </si>
  <si>
    <t>W-35</t>
  </si>
  <si>
    <t>W-735</t>
  </si>
  <si>
    <t>W-841</t>
  </si>
  <si>
    <t>W11539482</t>
  </si>
  <si>
    <t>D1
63130-2….B</t>
  </si>
  <si>
    <t>Splice D2
63130-2    A</t>
  </si>
  <si>
    <t>W-54</t>
  </si>
  <si>
    <t>W-273</t>
  </si>
  <si>
    <t>W-462</t>
  </si>
  <si>
    <t>W-620</t>
  </si>
  <si>
    <t>W-734</t>
  </si>
  <si>
    <t>W-746</t>
  </si>
  <si>
    <t>W-748</t>
  </si>
  <si>
    <t>W-767</t>
  </si>
  <si>
    <t>W-785</t>
  </si>
  <si>
    <t>Tan
Light Brown</t>
  </si>
  <si>
    <t xml:space="preserve">SPL_D1  
63130-2----A </t>
  </si>
  <si>
    <t>SPL_D2
 63130-2----B</t>
  </si>
  <si>
    <t>W-786</t>
  </si>
  <si>
    <t>W-791</t>
  </si>
  <si>
    <t>W-794</t>
  </si>
  <si>
    <t>W-839</t>
  </si>
  <si>
    <t>W-840</t>
  </si>
  <si>
    <t>W-848</t>
  </si>
  <si>
    <t>W-849</t>
  </si>
  <si>
    <t>W-850</t>
  </si>
  <si>
    <t>W-852</t>
  </si>
  <si>
    <t>W-853</t>
  </si>
  <si>
    <t>Sky Blue</t>
  </si>
  <si>
    <t>39-00-0040</t>
  </si>
  <si>
    <t>SPL NU
63625-1 ….B</t>
  </si>
  <si>
    <t>SPL_D1
 63130-2----B</t>
  </si>
  <si>
    <t>SPL_D1
 63130-2----A</t>
  </si>
  <si>
    <t>W-854</t>
  </si>
  <si>
    <t>W-855</t>
  </si>
  <si>
    <t>W-856</t>
  </si>
  <si>
    <t>SPL_D2
 63130-2----A</t>
  </si>
  <si>
    <t>Prepared By: Rajesh</t>
  </si>
  <si>
    <t>Checked By: Mamta</t>
  </si>
  <si>
    <t>Approved By: Vikash</t>
  </si>
  <si>
    <t>F</t>
  </si>
  <si>
    <t>REVISION HISTORY</t>
  </si>
  <si>
    <t>S No</t>
  </si>
  <si>
    <t>Wire No</t>
  </si>
  <si>
    <t>Terminal Part No</t>
  </si>
  <si>
    <t>Rev No</t>
  </si>
  <si>
    <t xml:space="preserve">Rev details </t>
  </si>
  <si>
    <t>Before</t>
  </si>
  <si>
    <t>After</t>
  </si>
  <si>
    <t>Date</t>
  </si>
  <si>
    <t>Name</t>
  </si>
  <si>
    <t>485043-1</t>
  </si>
  <si>
    <t>Stripping Reduse</t>
  </si>
  <si>
    <t>Rajesh</t>
  </si>
  <si>
    <t>63130-2</t>
  </si>
  <si>
    <t>63625-1</t>
  </si>
  <si>
    <t>W-791,W-794</t>
  </si>
  <si>
    <t>W-855,W856</t>
  </si>
  <si>
    <t>W-746,W-850</t>
  </si>
  <si>
    <t>15mm Length Reduse</t>
  </si>
  <si>
    <t>40mm Length Reduse</t>
  </si>
  <si>
    <t>60mm Length Increase</t>
  </si>
  <si>
    <t>SPL-100 CH
63130-2----A</t>
  </si>
  <si>
    <t>W-32,33,37,59,443,457,458,857</t>
  </si>
  <si>
    <t>W-39,40,43,48,280,393,417,445,651,746,
748,749,750,751,752,753,754,772,756,811,812,813,822,823,824,825,842,844,846,848,849,850,851,852,853,854,921</t>
  </si>
  <si>
    <t>W-410,731,732,739,839</t>
  </si>
  <si>
    <t>Rev-No</t>
  </si>
  <si>
    <t>New Release</t>
  </si>
  <si>
    <t>Prepared By:Rajesh</t>
  </si>
  <si>
    <t>Checked By:Mamta</t>
  </si>
  <si>
    <t>Approved By:Vikash</t>
  </si>
  <si>
    <t>W-746,W-850,W-791,W-794 length Reduse &amp; W-855,W856 length Increase</t>
  </si>
  <si>
    <t>25.08.2025</t>
  </si>
  <si>
    <t>Length Revise For  Rev-G</t>
  </si>
  <si>
    <t>G</t>
  </si>
  <si>
    <t>SPL_D1  
63130-2----B</t>
  </si>
  <si>
    <t>Ref. Drawing Rev. No. G</t>
  </si>
  <si>
    <t>Length Revise for Rev-G</t>
  </si>
  <si>
    <t>GAD/CC/015</t>
  </si>
  <si>
    <t>WCC/WHP/001</t>
  </si>
  <si>
    <t>SPL-NU
63625-1 --- B</t>
  </si>
  <si>
    <t>SPL_ D2
63130-2    A</t>
  </si>
  <si>
    <t>DESCRIPTION</t>
  </si>
  <si>
    <t>UL1569AWG22VOILET(BARE)</t>
  </si>
  <si>
    <t>UL1569AWG22RED/BLACK(BARE)</t>
  </si>
  <si>
    <t>UL1569AWG22TANBROWN(BARE)</t>
  </si>
  <si>
    <t>UL1569AWG22RED/ORANGE(BARE)</t>
  </si>
  <si>
    <t>UL1015AWG18GREEN/YELLOW(BARE)</t>
  </si>
  <si>
    <t>SFG00966</t>
  </si>
  <si>
    <t>UL1015AWG18Black/White(BARE)</t>
  </si>
  <si>
    <t>SFG00960</t>
  </si>
  <si>
    <t>UL1015AWG18White/Black(BARE)</t>
  </si>
  <si>
    <t>SFG00499</t>
  </si>
  <si>
    <t>UL1569AWG22RED(BARE)</t>
  </si>
  <si>
    <t>SFG00401</t>
  </si>
  <si>
    <t>UL1015AWG20Red(BARE)</t>
  </si>
  <si>
    <t>SFG00505</t>
  </si>
  <si>
    <t>UL1569AWG22Pink(BARE)</t>
  </si>
  <si>
    <t>SFG00502</t>
  </si>
  <si>
    <t>UL1569AWG22White/Black(BARE)</t>
  </si>
  <si>
    <t>SFG00497</t>
  </si>
  <si>
    <t>SFG00378</t>
  </si>
  <si>
    <t>UL1015AWG20Blue(BARE)</t>
  </si>
  <si>
    <t>SFG00493</t>
  </si>
  <si>
    <t>UL1569AWG22Orange(BARE)</t>
  </si>
  <si>
    <t>SFG00965</t>
  </si>
  <si>
    <t>UL1015AWG20Red/White(BARE)</t>
  </si>
  <si>
    <t>SFG00957</t>
  </si>
  <si>
    <t>UL1569AWG22Red/Blue(BARE)</t>
  </si>
  <si>
    <t>SFG00424</t>
  </si>
  <si>
    <t>UL1015AWG18Black(BARE)</t>
  </si>
  <si>
    <t>SFG00952</t>
  </si>
  <si>
    <t>SFG00964</t>
  </si>
  <si>
    <t>UL1569AWG22Black/Green(BARE)</t>
  </si>
  <si>
    <t>UL1569AWG22Red/Black(BARE)</t>
  </si>
  <si>
    <t>SFG00377</t>
  </si>
  <si>
    <t>UL1015AWG20Green(BARE)</t>
  </si>
  <si>
    <t>SFG00412</t>
  </si>
  <si>
    <t>UL1015AWG18White(BARE)</t>
  </si>
  <si>
    <t>SFG00389</t>
  </si>
  <si>
    <t>UL1015AWG20Black(BARE)</t>
  </si>
  <si>
    <t>SFG00433</t>
  </si>
  <si>
    <t>UL1015AWG18Green/Yellow(BARE)</t>
  </si>
  <si>
    <t>UL1569AWG22Red(BARE)</t>
  </si>
  <si>
    <t>SFG00391</t>
  </si>
  <si>
    <t>UL1015AWG20White(BARE)</t>
  </si>
  <si>
    <t>SFG00953</t>
  </si>
  <si>
    <t>SFG00967</t>
  </si>
  <si>
    <t>UL1015AWG18White/Blue(BARE)</t>
  </si>
  <si>
    <t>UL1569AWG22WHITE/BLACK(BARE)</t>
  </si>
  <si>
    <t>SFG00494</t>
  </si>
  <si>
    <t>UL1569AWG22YELLOW(BARE)</t>
  </si>
  <si>
    <t>SFG00959</t>
  </si>
  <si>
    <t>UL1569AWG22LightBlue(BARE)</t>
  </si>
  <si>
    <t>SFG00496</t>
  </si>
  <si>
    <t>UL1569AWG22Green(BARE)</t>
  </si>
  <si>
    <t>SFG00503</t>
  </si>
  <si>
    <t>UL1569AWG22Blue(BARE)</t>
  </si>
  <si>
    <t>SFG00490</t>
  </si>
  <si>
    <t>UL1569AWG22Black(BARE)</t>
  </si>
  <si>
    <t>SFG00968</t>
  </si>
  <si>
    <t>UL1015AWG20Black/White(BARE)</t>
  </si>
  <si>
    <t>SFG00969</t>
  </si>
  <si>
    <t>UL1569AWG22Orange/Blue(BARE)</t>
  </si>
  <si>
    <t>UL1569AWG22Yellow(BARE)</t>
  </si>
  <si>
    <t>SFG00958</t>
  </si>
  <si>
    <t>SFG00834</t>
  </si>
  <si>
    <t>UL1569AWG22Blue/White(BARE)</t>
  </si>
  <si>
    <t>SFG00491</t>
  </si>
  <si>
    <t>UL1569AWG22Grey(BARE)</t>
  </si>
  <si>
    <t>SFG00970</t>
  </si>
  <si>
    <t>UL1569AWG22Yellow/Black(BARE)</t>
  </si>
  <si>
    <t>SFG00492</t>
  </si>
  <si>
    <t>UL1569AWG22Brown(BARE)</t>
  </si>
  <si>
    <t>SFG00971</t>
  </si>
  <si>
    <t>UL1569AWG22Brown/White(BARE)</t>
  </si>
  <si>
    <t>SFG00972</t>
  </si>
  <si>
    <t>UL1569AWG22White/Blue(BARE)</t>
  </si>
  <si>
    <t>SFG00495</t>
  </si>
  <si>
    <t>UL1569AWG22White(BARE)</t>
  </si>
  <si>
    <t>SFG00518</t>
  </si>
  <si>
    <t>UL1569AWG22White/Yellow(BARE)</t>
  </si>
  <si>
    <t>SFG00500</t>
  </si>
  <si>
    <t>UL1569AWG22White/Orange(BARE)</t>
  </si>
  <si>
    <t>UL1569AWG22BLACK(BARE)</t>
  </si>
  <si>
    <t>UL1569AWG22BROWN(BARE)</t>
  </si>
  <si>
    <t>UL1569AWG22RED/BLUE(BARE)</t>
  </si>
  <si>
    <t>UL1569AWG22ORANGE(BARE)</t>
  </si>
  <si>
    <t>SFG00956</t>
  </si>
  <si>
    <t>UL1569AWG22SkyBlue(BARE)</t>
  </si>
  <si>
    <t>SFG00833</t>
  </si>
  <si>
    <t>UL1015AWG18Brown(BARE)</t>
  </si>
  <si>
    <t>SAP DESCRIPTION</t>
  </si>
  <si>
    <t>SAP CODE</t>
  </si>
  <si>
    <t>UL1015AWG18BLACK/WHITE(BARE)</t>
  </si>
  <si>
    <t>UL1015AWG20RED(BARE)</t>
  </si>
  <si>
    <t>UL1569AWG22PINK(BARE)</t>
  </si>
  <si>
    <t>UL1569AWG22VIOLET(BARE)</t>
  </si>
  <si>
    <t>UL1015AWG20BLUE(BARE)</t>
  </si>
  <si>
    <t>UL1015AWG18BLACK(BARE)</t>
  </si>
  <si>
    <t>UL1569AWG22BLACK/GREEN(BARE)</t>
  </si>
  <si>
    <t>UL1015AWG20GREEN(BARE)</t>
  </si>
  <si>
    <t>UL1015AWG18WHITE(BARE)</t>
  </si>
  <si>
    <t>UL1015AWG20BLACK(BARE)</t>
  </si>
  <si>
    <t>UL1015AWG20WHITE(BARE)</t>
  </si>
  <si>
    <t>UL1015AWG18WHITE/BLUE(BARE)</t>
  </si>
  <si>
    <t>UL1569AWG22GREEN(BARE)</t>
  </si>
  <si>
    <t>UL1569AWG22BLUE(BARE)</t>
  </si>
  <si>
    <t>UL1015AWG20BLACK/WHITE(BARE)</t>
  </si>
  <si>
    <t>UL1569AWG22ORANGE/BLUE(BARE)</t>
  </si>
  <si>
    <t>UL1569AWG22BLUE/WHITE(BARE)</t>
  </si>
  <si>
    <t>UL1569AWG22GREY(BARE)</t>
  </si>
  <si>
    <t>UL1569AWG22YELLOW/BLACK(BARE)</t>
  </si>
  <si>
    <t>UL1569AWG22BROWN/WHITE(BARE)</t>
  </si>
  <si>
    <t>UL1569AWG22WHITE/BLUE(BARE)</t>
  </si>
  <si>
    <t>UL1569AWG22WHITE(BARE)</t>
  </si>
  <si>
    <t>UL1569AWG22WHITE/YELLOW(BARE)</t>
  </si>
  <si>
    <t>UL1569AWG22WHITE/ORANGE(BARE)</t>
  </si>
  <si>
    <t>UL1569AWG22SKYBLUE(BARE)</t>
  </si>
  <si>
    <t>UL1015AWG18BROWN(BARE)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</si>
</sst>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sz val="8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9" fillId="0" borderId="0"/>
    <xf numFmtId="0" fontId="1" fillId="0" borderId="0"/>
    <xf numFmtId="0" fontId="7" fillId="0" borderId="0"/>
    <xf numFmtId="9" fontId="10" fillId="0" borderId="0" applyFont="0" applyFill="0" applyBorder="0" applyAlignment="0" applyProtection="0"/>
  </cellStyleXfs>
  <cellXfs count="154">
    <xf numFmtId="0" fontId="0" fillId="0" borderId="0" xfId="0"/>
    <xf numFmtId="0" fontId="7" fillId="0" borderId="19" xfId="0" applyFont="1" applyBorder="1"/>
    <xf numFmtId="0" fontId="7" fillId="0" borderId="0" xfId="0" applyFont="1"/>
    <xf numFmtId="0" fontId="7" fillId="0" borderId="20" xfId="0" applyFont="1" applyBorder="1"/>
    <xf numFmtId="0" fontId="4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0" borderId="25" xfId="0" applyFont="1" applyBorder="1" applyAlignment="1">
      <alignment horizontal="left" vertical="center"/>
    </xf>
    <xf numFmtId="0" fontId="4" fillId="0" borderId="25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3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vertical="center"/>
    </xf>
    <xf numFmtId="0" fontId="13" fillId="0" borderId="4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2" fontId="13" fillId="4" borderId="6" xfId="0" applyNumberFormat="1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2" fontId="13" fillId="5" borderId="6" xfId="0" applyNumberFormat="1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4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2" fontId="13" fillId="0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left" vertical="center"/>
    </xf>
    <xf numFmtId="0" fontId="4" fillId="0" borderId="25" xfId="0" applyFont="1" applyFill="1" applyBorder="1" applyAlignment="1">
      <alignment horizontal="left" vertical="center"/>
    </xf>
    <xf numFmtId="0" fontId="4" fillId="0" borderId="26" xfId="0" applyFont="1" applyFill="1" applyBorder="1" applyAlignment="1">
      <alignment horizontal="left" vertical="center"/>
    </xf>
    <xf numFmtId="0" fontId="17" fillId="0" borderId="41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14" fontId="17" fillId="0" borderId="13" xfId="0" applyNumberFormat="1" applyFont="1" applyBorder="1" applyAlignment="1">
      <alignment horizontal="center" vertical="center"/>
    </xf>
    <xf numFmtId="14" fontId="17" fillId="0" borderId="28" xfId="0" applyNumberFormat="1" applyFont="1" applyBorder="1" applyAlignment="1">
      <alignment horizontal="center" vertical="center"/>
    </xf>
    <xf numFmtId="0" fontId="16" fillId="0" borderId="36" xfId="0" applyFont="1" applyBorder="1" applyAlignment="1">
      <alignment horizontal="left" vertical="center"/>
    </xf>
    <xf numFmtId="0" fontId="16" fillId="0" borderId="37" xfId="0" applyFont="1" applyBorder="1" applyAlignment="1">
      <alignment horizontal="left" vertical="center"/>
    </xf>
    <xf numFmtId="0" fontId="16" fillId="0" borderId="38" xfId="0" applyFont="1" applyBorder="1" applyAlignment="1">
      <alignment horizontal="left" vertical="center"/>
    </xf>
    <xf numFmtId="0" fontId="16" fillId="0" borderId="39" xfId="0" applyFont="1" applyBorder="1" applyAlignment="1">
      <alignment horizontal="left" vertical="center"/>
    </xf>
    <xf numFmtId="0" fontId="16" fillId="0" borderId="40" xfId="0" applyFont="1" applyBorder="1" applyAlignment="1">
      <alignment horizontal="left" vertical="center"/>
    </xf>
    <xf numFmtId="0" fontId="15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14" fontId="17" fillId="0" borderId="6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5">
    <cellStyle name="Normal" xfId="0" builtinId="0"/>
    <cellStyle name="Normal 2" xfId="1"/>
    <cellStyle name="Normal 2 2" xfId="2"/>
    <cellStyle name="Normal 3" xfId="3"/>
    <cellStyle name="Percent 2" xfId="4"/>
  </cellStyles>
  <dxfs count="0"/>
  <tableStyles count="0" defaultTableStyle="TableStyleMedium9" defaultPivotStyle="PivotStyleLight16"/>
  <colors>
    <mruColors>
      <color rgb="FF989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5</xdr:row>
      <xdr:rowOff>63500</xdr:rowOff>
    </xdr:from>
    <xdr:to>
      <xdr:col>13</xdr:col>
      <xdr:colOff>1809750</xdr:colOff>
      <xdr:row>11</xdr:row>
      <xdr:rowOff>258672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53F42FF3-E124-C030-8E74-85C38D28B077}"/>
            </a:ext>
          </a:extLst>
        </xdr:cNvPr>
        <xdr:cNvGrpSpPr/>
      </xdr:nvGrpSpPr>
      <xdr:grpSpPr>
        <a:xfrm>
          <a:off x="317500" y="2000250"/>
          <a:ext cx="18443575" cy="3132047"/>
          <a:chOff x="586153" y="264861"/>
          <a:chExt cx="10796954" cy="2173519"/>
        </a:xfrm>
      </xdr:grpSpPr>
      <xdr:grpSp>
        <xdr:nvGrpSpPr>
          <xdr:cNvPr id="33" name="Group 32">
            <a:extLst>
              <a:ext uri="{FF2B5EF4-FFF2-40B4-BE49-F238E27FC236}">
                <a16:creationId xmlns:a16="http://schemas.microsoft.com/office/drawing/2014/main" id="{EC218D82-116E-A90C-5862-3A64EBA02D54}"/>
              </a:ext>
            </a:extLst>
          </xdr:cNvPr>
          <xdr:cNvGrpSpPr/>
        </xdr:nvGrpSpPr>
        <xdr:grpSpPr>
          <a:xfrm>
            <a:off x="586153" y="418090"/>
            <a:ext cx="10796954" cy="2020290"/>
            <a:chOff x="697523" y="468922"/>
            <a:chExt cx="10796954" cy="2309446"/>
          </a:xfrm>
        </xdr:grpSpPr>
        <xdr:sp macro="" textlink="">
          <xdr:nvSpPr>
            <xdr:cNvPr id="41" name="Rectangle 40">
              <a:extLst>
                <a:ext uri="{FF2B5EF4-FFF2-40B4-BE49-F238E27FC236}">
                  <a16:creationId xmlns:a16="http://schemas.microsoft.com/office/drawing/2014/main" id="{F89328F2-D3BC-BFB0-B7DF-6CD6545145DD}"/>
                </a:ext>
              </a:extLst>
            </xdr:cNvPr>
            <xdr:cNvSpPr/>
          </xdr:nvSpPr>
          <xdr:spPr>
            <a:xfrm>
              <a:off x="697523" y="468922"/>
              <a:ext cx="10796954" cy="2309446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IN" sz="1600"/>
            </a:p>
          </xdr:txBody>
        </xdr: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D4535B40-F955-652F-C1FE-6512DF76AC69}"/>
                </a:ext>
              </a:extLst>
            </xdr:cNvPr>
            <xdr:cNvCxnSpPr>
              <a:cxnSpLocks/>
              <a:endCxn id="49" idx="1"/>
            </xdr:cNvCxnSpPr>
          </xdr:nvCxnSpPr>
          <xdr:spPr>
            <a:xfrm>
              <a:off x="1336431" y="1131231"/>
              <a:ext cx="4056184" cy="386888"/>
            </a:xfrm>
            <a:prstGeom prst="line">
              <a:avLst/>
            </a:prstGeom>
            <a:ln w="3810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70CFA860-16CD-9612-B466-155143B1FDC4}"/>
                </a:ext>
              </a:extLst>
            </xdr:cNvPr>
            <xdr:cNvCxnSpPr>
              <a:cxnSpLocks/>
            </xdr:cNvCxnSpPr>
          </xdr:nvCxnSpPr>
          <xdr:spPr>
            <a:xfrm flipV="1">
              <a:off x="5873261" y="703385"/>
              <a:ext cx="4214446" cy="814733"/>
            </a:xfrm>
            <a:prstGeom prst="line">
              <a:avLst/>
            </a:prstGeom>
            <a:ln w="3810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4E2F940F-33B2-BFA6-180D-4B8B44D7DD5B}"/>
                </a:ext>
              </a:extLst>
            </xdr:cNvPr>
            <xdr:cNvCxnSpPr>
              <a:cxnSpLocks/>
            </xdr:cNvCxnSpPr>
          </xdr:nvCxnSpPr>
          <xdr:spPr>
            <a:xfrm>
              <a:off x="5873261" y="1559158"/>
              <a:ext cx="4325816" cy="603717"/>
            </a:xfrm>
            <a:prstGeom prst="line">
              <a:avLst/>
            </a:prstGeom>
            <a:ln w="3810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5" name="Rectangle 44">
              <a:extLst>
                <a:ext uri="{FF2B5EF4-FFF2-40B4-BE49-F238E27FC236}">
                  <a16:creationId xmlns:a16="http://schemas.microsoft.com/office/drawing/2014/main" id="{C9198CA0-13BC-DA37-2BC0-546E661A9B47}"/>
                </a:ext>
              </a:extLst>
            </xdr:cNvPr>
            <xdr:cNvSpPr/>
          </xdr:nvSpPr>
          <xdr:spPr>
            <a:xfrm>
              <a:off x="5058507" y="1768740"/>
              <a:ext cx="1148862" cy="27841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800" b="1">
                  <a:solidFill>
                    <a:sysClr val="windowText" lastClr="000000"/>
                  </a:solidFill>
                </a:rPr>
                <a:t>485043-1</a:t>
              </a:r>
            </a:p>
          </xdr:txBody>
        </xdr:sp>
        <xdr:sp macro="" textlink="">
          <xdr:nvSpPr>
            <xdr:cNvPr id="46" name="Rectangle 45">
              <a:extLst>
                <a:ext uri="{FF2B5EF4-FFF2-40B4-BE49-F238E27FC236}">
                  <a16:creationId xmlns:a16="http://schemas.microsoft.com/office/drawing/2014/main" id="{000146A1-53AC-ABAB-9DFC-8CEC326BBB7C}"/>
                </a:ext>
              </a:extLst>
            </xdr:cNvPr>
            <xdr:cNvSpPr/>
          </xdr:nvSpPr>
          <xdr:spPr>
            <a:xfrm>
              <a:off x="1975339" y="908125"/>
              <a:ext cx="1310053" cy="287892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 b="1">
                  <a:solidFill>
                    <a:sysClr val="windowText" lastClr="000000"/>
                  </a:solidFill>
                </a:rPr>
                <a:t>WIRE NO -32</a:t>
              </a:r>
            </a:p>
          </xdr:txBody>
        </xdr:sp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4C64AC18-EFA0-9A2A-0E2F-8BEBC0562709}"/>
                </a:ext>
              </a:extLst>
            </xdr:cNvPr>
            <xdr:cNvSpPr/>
          </xdr:nvSpPr>
          <xdr:spPr>
            <a:xfrm rot="21123870">
              <a:off x="1677667" y="1594766"/>
              <a:ext cx="1148862" cy="357952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 b="1">
                  <a:solidFill>
                    <a:sysClr val="windowText" lastClr="000000"/>
                  </a:solidFill>
                </a:rPr>
                <a:t>WIRE NO-59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93BABF65-422A-0EF0-1D42-2F41618F0531}"/>
                </a:ext>
              </a:extLst>
            </xdr:cNvPr>
            <xdr:cNvSpPr/>
          </xdr:nvSpPr>
          <xdr:spPr>
            <a:xfrm>
              <a:off x="5044238" y="628930"/>
              <a:ext cx="1431415" cy="329499"/>
            </a:xfrm>
            <a:prstGeom prst="rect">
              <a:avLst/>
            </a:prstGeom>
            <a:no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2400" b="1">
                  <a:solidFill>
                    <a:sysClr val="windowText" lastClr="000000"/>
                  </a:solidFill>
                </a:rPr>
                <a:t>SPL LINE  </a:t>
              </a: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34688415-D6B7-07F4-6699-D41AF8B63EE9}"/>
                </a:ext>
              </a:extLst>
            </xdr:cNvPr>
            <xdr:cNvSpPr/>
          </xdr:nvSpPr>
          <xdr:spPr>
            <a:xfrm>
              <a:off x="5392615" y="1348142"/>
              <a:ext cx="480646" cy="339952"/>
            </a:xfrm>
            <a:prstGeom prst="rect">
              <a:avLst/>
            </a:prstGeom>
            <a:noFill/>
            <a:ln w="38100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IN" sz="1600"/>
            </a:p>
          </xdr:txBody>
        </xdr:sp>
      </xdr:grp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A002A935-FC8B-9940-6378-5951AA5F5A82}"/>
              </a:ext>
            </a:extLst>
          </xdr:cNvPr>
          <xdr:cNvCxnSpPr>
            <a:cxnSpLocks/>
          </xdr:cNvCxnSpPr>
        </xdr:nvCxnSpPr>
        <xdr:spPr>
          <a:xfrm flipV="1">
            <a:off x="1225061" y="1382813"/>
            <a:ext cx="4056184" cy="513383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A98E9D68-3D24-E259-1D36-5242153BBDBF}"/>
              </a:ext>
            </a:extLst>
          </xdr:cNvPr>
          <xdr:cNvSpPr/>
        </xdr:nvSpPr>
        <xdr:spPr>
          <a:xfrm rot="21062956">
            <a:off x="8045790" y="484463"/>
            <a:ext cx="1310053" cy="2518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 b="1">
                <a:solidFill>
                  <a:sysClr val="windowText" lastClr="000000"/>
                </a:solidFill>
              </a:rPr>
              <a:t>WIRE NO -37</a:t>
            </a: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26DE4FB1-B42C-BC65-5610-BE2FF58C7017}"/>
              </a:ext>
            </a:extLst>
          </xdr:cNvPr>
          <xdr:cNvSpPr/>
        </xdr:nvSpPr>
        <xdr:spPr>
          <a:xfrm rot="399476">
            <a:off x="8192819" y="1430971"/>
            <a:ext cx="1310053" cy="2518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 b="1">
                <a:solidFill>
                  <a:sysClr val="windowText" lastClr="000000"/>
                </a:solidFill>
              </a:rPr>
              <a:t>WIRE NO -443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3224243-C818-4B79-C9B1-1E854CCF390A}"/>
              </a:ext>
            </a:extLst>
          </xdr:cNvPr>
          <xdr:cNvSpPr/>
        </xdr:nvSpPr>
        <xdr:spPr>
          <a:xfrm>
            <a:off x="1944564" y="557878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800" b="1">
                <a:solidFill>
                  <a:sysClr val="windowText" lastClr="000000"/>
                </a:solidFill>
              </a:rPr>
              <a:t>1802006-5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DD2842F3-15FD-F57D-97A5-B6EAF1571D24}"/>
              </a:ext>
            </a:extLst>
          </xdr:cNvPr>
          <xdr:cNvSpPr/>
        </xdr:nvSpPr>
        <xdr:spPr>
          <a:xfrm rot="21218977">
            <a:off x="1680794" y="1835714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 b="1">
                <a:solidFill>
                  <a:sysClr val="windowText" lastClr="000000"/>
                </a:solidFill>
              </a:rPr>
              <a:t>1744201-1</a:t>
            </a:r>
          </a:p>
        </xdr:txBody>
      </xdr:sp>
      <xdr:sp macro="" textlink="">
        <xdr:nvSpPr>
          <xdr:cNvPr id="39" name="Rectangle 38">
            <a:extLst>
              <a:ext uri="{FF2B5EF4-FFF2-40B4-BE49-F238E27FC236}">
                <a16:creationId xmlns:a16="http://schemas.microsoft.com/office/drawing/2014/main" id="{E8A999AE-4925-8551-5971-311C11822F01}"/>
              </a:ext>
            </a:extLst>
          </xdr:cNvPr>
          <xdr:cNvSpPr/>
        </xdr:nvSpPr>
        <xdr:spPr>
          <a:xfrm rot="377697">
            <a:off x="8174432" y="1766355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 b="1">
                <a:solidFill>
                  <a:sysClr val="windowText" lastClr="000000"/>
                </a:solidFill>
              </a:rPr>
              <a:t>39000040</a:t>
            </a:r>
          </a:p>
        </xdr:txBody>
      </xdr:sp>
      <xdr:sp macro="" textlink="">
        <xdr:nvSpPr>
          <xdr:cNvPr id="40" name="Rectangle 39">
            <a:extLst>
              <a:ext uri="{FF2B5EF4-FFF2-40B4-BE49-F238E27FC236}">
                <a16:creationId xmlns:a16="http://schemas.microsoft.com/office/drawing/2014/main" id="{FEE88C47-2B72-E558-45FE-9A87F438641A}"/>
              </a:ext>
            </a:extLst>
          </xdr:cNvPr>
          <xdr:cNvSpPr/>
        </xdr:nvSpPr>
        <xdr:spPr>
          <a:xfrm rot="21164194">
            <a:off x="8044960" y="264861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800" b="1">
                <a:solidFill>
                  <a:sysClr val="windowText" lastClr="000000"/>
                </a:solidFill>
              </a:rPr>
              <a:t>39000040</a:t>
            </a:r>
          </a:p>
        </xdr:txBody>
      </xdr:sp>
    </xdr:grpSp>
    <xdr:clientData/>
  </xdr:twoCellAnchor>
  <xdr:twoCellAnchor>
    <xdr:from>
      <xdr:col>3</xdr:col>
      <xdr:colOff>31750</xdr:colOff>
      <xdr:row>12</xdr:row>
      <xdr:rowOff>206375</xdr:rowOff>
    </xdr:from>
    <xdr:to>
      <xdr:col>13</xdr:col>
      <xdr:colOff>507999</xdr:colOff>
      <xdr:row>18</xdr:row>
      <xdr:rowOff>333375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0E2257D-4B29-2DF1-D2E0-374AFD032433}"/>
            </a:ext>
          </a:extLst>
        </xdr:cNvPr>
        <xdr:cNvGrpSpPr/>
      </xdr:nvGrpSpPr>
      <xdr:grpSpPr>
        <a:xfrm>
          <a:off x="666750" y="5524500"/>
          <a:ext cx="18097499" cy="2794000"/>
          <a:chOff x="586153" y="264861"/>
          <a:chExt cx="10796954" cy="2411459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53F42FF3-E124-C030-8E74-85C38D28B077}"/>
              </a:ext>
            </a:extLst>
          </xdr:cNvPr>
          <xdr:cNvGrpSpPr/>
        </xdr:nvGrpSpPr>
        <xdr:grpSpPr>
          <a:xfrm>
            <a:off x="586153" y="264861"/>
            <a:ext cx="10796954" cy="2173519"/>
            <a:chOff x="586153" y="264861"/>
            <a:chExt cx="10796954" cy="2173519"/>
          </a:xfrm>
        </xdr:grpSpPr>
        <xdr:grpSp>
          <xdr:nvGrpSpPr>
            <xdr:cNvPr id="9" name="Group 8">
              <a:extLst>
                <a:ext uri="{FF2B5EF4-FFF2-40B4-BE49-F238E27FC236}">
                  <a16:creationId xmlns:a16="http://schemas.microsoft.com/office/drawing/2014/main" id="{EC218D82-116E-A90C-5862-3A64EBA02D54}"/>
                </a:ext>
              </a:extLst>
            </xdr:cNvPr>
            <xdr:cNvGrpSpPr/>
          </xdr:nvGrpSpPr>
          <xdr:grpSpPr>
            <a:xfrm>
              <a:off x="586153" y="291869"/>
              <a:ext cx="10796954" cy="2146511"/>
              <a:chOff x="697523" y="324636"/>
              <a:chExt cx="10796954" cy="2453732"/>
            </a:xfrm>
          </xdr:grpSpPr>
          <xdr:sp macro="" textlink="">
            <xdr:nvSpPr>
              <xdr:cNvPr id="15" name="Rectangle 14">
                <a:extLst>
                  <a:ext uri="{FF2B5EF4-FFF2-40B4-BE49-F238E27FC236}">
                    <a16:creationId xmlns:a16="http://schemas.microsoft.com/office/drawing/2014/main" id="{F89328F2-D3BC-BFB0-B7DF-6CD6545145DD}"/>
                  </a:ext>
                </a:extLst>
              </xdr:cNvPr>
              <xdr:cNvSpPr/>
            </xdr:nvSpPr>
            <xdr:spPr>
              <a:xfrm>
                <a:off x="697523" y="468922"/>
                <a:ext cx="10796954" cy="2309446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IN" sz="1600"/>
              </a:p>
            </xdr:txBody>
          </xdr:sp>
          <xdr:cxnSp macro="">
            <xdr:nvCxnSpPr>
              <xdr:cNvPr id="16" name="Straight Connector 15">
                <a:extLst>
                  <a:ext uri="{FF2B5EF4-FFF2-40B4-BE49-F238E27FC236}">
                    <a16:creationId xmlns:a16="http://schemas.microsoft.com/office/drawing/2014/main" id="{D4535B40-F955-652F-C1FE-6512DF76AC69}"/>
                  </a:ext>
                </a:extLst>
              </xdr:cNvPr>
              <xdr:cNvCxnSpPr>
                <a:cxnSpLocks/>
                <a:endCxn id="23" idx="1"/>
              </xdr:cNvCxnSpPr>
            </xdr:nvCxnSpPr>
            <xdr:spPr>
              <a:xfrm>
                <a:off x="1336431" y="1131231"/>
                <a:ext cx="4056184" cy="386886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7" name="Straight Connector 16">
                <a:extLst>
                  <a:ext uri="{FF2B5EF4-FFF2-40B4-BE49-F238E27FC236}">
                    <a16:creationId xmlns:a16="http://schemas.microsoft.com/office/drawing/2014/main" id="{70CFA860-16CD-9612-B466-155143B1FDC4}"/>
                  </a:ext>
                </a:extLst>
              </xdr:cNvPr>
              <xdr:cNvCxnSpPr>
                <a:cxnSpLocks/>
              </xdr:cNvCxnSpPr>
            </xdr:nvCxnSpPr>
            <xdr:spPr>
              <a:xfrm flipV="1">
                <a:off x="5873261" y="703385"/>
                <a:ext cx="4214446" cy="814733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8" name="Straight Connector 17">
                <a:extLst>
                  <a:ext uri="{FF2B5EF4-FFF2-40B4-BE49-F238E27FC236}">
                    <a16:creationId xmlns:a16="http://schemas.microsoft.com/office/drawing/2014/main" id="{4E2F940F-33B2-BFA6-180D-4B8B44D7DD5B}"/>
                  </a:ext>
                </a:extLst>
              </xdr:cNvPr>
              <xdr:cNvCxnSpPr>
                <a:cxnSpLocks/>
              </xdr:cNvCxnSpPr>
            </xdr:nvCxnSpPr>
            <xdr:spPr>
              <a:xfrm>
                <a:off x="5873261" y="1559158"/>
                <a:ext cx="4325816" cy="603717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9" name="Rectangle 18">
                <a:extLst>
                  <a:ext uri="{FF2B5EF4-FFF2-40B4-BE49-F238E27FC236}">
                    <a16:creationId xmlns:a16="http://schemas.microsoft.com/office/drawing/2014/main" id="{C9198CA0-13BC-DA37-2BC0-546E661A9B47}"/>
                  </a:ext>
                </a:extLst>
              </xdr:cNvPr>
              <xdr:cNvSpPr/>
            </xdr:nvSpPr>
            <xdr:spPr>
              <a:xfrm>
                <a:off x="5058507" y="1768740"/>
                <a:ext cx="1148862" cy="278410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63625-1</a:t>
                </a:r>
              </a:p>
            </xdr:txBody>
          </xdr:sp>
          <xdr:sp macro="" textlink="">
            <xdr:nvSpPr>
              <xdr:cNvPr id="20" name="Rectangle 19">
                <a:extLst>
                  <a:ext uri="{FF2B5EF4-FFF2-40B4-BE49-F238E27FC236}">
                    <a16:creationId xmlns:a16="http://schemas.microsoft.com/office/drawing/2014/main" id="{000146A1-53AC-ABAB-9DFC-8CEC326BBB7C}"/>
                  </a:ext>
                </a:extLst>
              </xdr:cNvPr>
              <xdr:cNvSpPr/>
            </xdr:nvSpPr>
            <xdr:spPr>
              <a:xfrm>
                <a:off x="1975339" y="908125"/>
                <a:ext cx="1559169" cy="324860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WIRE NO -731</a:t>
                </a:r>
              </a:p>
            </xdr:txBody>
          </xdr:sp>
          <xdr:sp macro="" textlink="">
            <xdr:nvSpPr>
              <xdr:cNvPr id="21" name="Rectangle 20">
                <a:extLst>
                  <a:ext uri="{FF2B5EF4-FFF2-40B4-BE49-F238E27FC236}">
                    <a16:creationId xmlns:a16="http://schemas.microsoft.com/office/drawing/2014/main" id="{4C64AC18-EFA0-9A2A-0E2F-8BEBC0562709}"/>
                  </a:ext>
                </a:extLst>
              </xdr:cNvPr>
              <xdr:cNvSpPr/>
            </xdr:nvSpPr>
            <xdr:spPr>
              <a:xfrm rot="21408114">
                <a:off x="992782" y="1444669"/>
                <a:ext cx="1304199" cy="357952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400">
                    <a:solidFill>
                      <a:sysClr val="windowText" lastClr="000000"/>
                    </a:solidFill>
                  </a:rPr>
                  <a:t>WIRE NO-732</a:t>
                </a:r>
              </a:p>
            </xdr:txBody>
          </xdr:sp>
          <xdr:sp macro="" textlink="">
            <xdr:nvSpPr>
              <xdr:cNvPr id="22" name="Rectangle 21">
                <a:extLst>
                  <a:ext uri="{FF2B5EF4-FFF2-40B4-BE49-F238E27FC236}">
                    <a16:creationId xmlns:a16="http://schemas.microsoft.com/office/drawing/2014/main" id="{93BABF65-422A-0EF0-1D42-2F41618F0531}"/>
                  </a:ext>
                </a:extLst>
              </xdr:cNvPr>
              <xdr:cNvSpPr/>
            </xdr:nvSpPr>
            <xdr:spPr>
              <a:xfrm>
                <a:off x="4953840" y="324636"/>
                <a:ext cx="1548719" cy="517383"/>
              </a:xfrm>
              <a:prstGeom prst="rect">
                <a:avLst/>
              </a:prstGeom>
              <a:noFill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2000" b="1">
                    <a:solidFill>
                      <a:sysClr val="windowText" lastClr="000000"/>
                    </a:solidFill>
                  </a:rPr>
                  <a:t>SPL– NU </a:t>
                </a:r>
              </a:p>
            </xdr:txBody>
          </xdr:sp>
          <xdr:sp macro="" textlink="">
            <xdr:nvSpPr>
              <xdr:cNvPr id="23" name="Rectangle 22">
                <a:extLst>
                  <a:ext uri="{FF2B5EF4-FFF2-40B4-BE49-F238E27FC236}">
                    <a16:creationId xmlns:a16="http://schemas.microsoft.com/office/drawing/2014/main" id="{34688415-D6B7-07F4-6699-D41AF8B63EE9}"/>
                  </a:ext>
                </a:extLst>
              </xdr:cNvPr>
              <xdr:cNvSpPr/>
            </xdr:nvSpPr>
            <xdr:spPr>
              <a:xfrm>
                <a:off x="5392615" y="1348142"/>
                <a:ext cx="480646" cy="339952"/>
              </a:xfrm>
              <a:prstGeom prst="rect">
                <a:avLst/>
              </a:prstGeom>
              <a:noFill/>
              <a:ln w="381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IN" sz="1600"/>
              </a:p>
            </xdr:txBody>
          </xdr:sp>
        </xdr:grp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A002A935-FC8B-9940-6378-5951AA5F5A82}"/>
                </a:ext>
              </a:extLst>
            </xdr:cNvPr>
            <xdr:cNvCxnSpPr>
              <a:cxnSpLocks/>
            </xdr:cNvCxnSpPr>
          </xdr:nvCxnSpPr>
          <xdr:spPr>
            <a:xfrm flipV="1">
              <a:off x="1225061" y="1382813"/>
              <a:ext cx="4056184" cy="250496"/>
            </a:xfrm>
            <a:prstGeom prst="line">
              <a:avLst/>
            </a:prstGeom>
            <a:ln w="3810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A98E9D68-3D24-E259-1D36-5242153BBDBF}"/>
                </a:ext>
              </a:extLst>
            </xdr:cNvPr>
            <xdr:cNvSpPr/>
          </xdr:nvSpPr>
          <xdr:spPr>
            <a:xfrm rot="21062956">
              <a:off x="8045790" y="484463"/>
              <a:ext cx="1310053" cy="251846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400">
                  <a:solidFill>
                    <a:sysClr val="windowText" lastClr="000000"/>
                  </a:solidFill>
                </a:rPr>
                <a:t>WIRE NO -33</a:t>
              </a:r>
            </a:p>
          </xdr:txBody>
        </xdr:sp>
        <xdr:sp macro="" textlink="">
          <xdr:nvSpPr>
            <xdr:cNvPr id="12" name="Rectangle 11">
              <a:extLst>
                <a:ext uri="{FF2B5EF4-FFF2-40B4-BE49-F238E27FC236}">
                  <a16:creationId xmlns:a16="http://schemas.microsoft.com/office/drawing/2014/main" id="{26DE4FB1-B42C-BC65-5610-BE2FF58C7017}"/>
                </a:ext>
              </a:extLst>
            </xdr:cNvPr>
            <xdr:cNvSpPr/>
          </xdr:nvSpPr>
          <xdr:spPr>
            <a:xfrm rot="399476">
              <a:off x="8192819" y="1430971"/>
              <a:ext cx="1310053" cy="251846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400">
                  <a:solidFill>
                    <a:sysClr val="windowText" lastClr="000000"/>
                  </a:solidFill>
                </a:rPr>
                <a:t>WIRE NO -410</a:t>
              </a:r>
            </a:p>
          </xdr:txBody>
        </xdr:sp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8A999AE-4925-8551-5971-311C11822F01}"/>
                </a:ext>
              </a:extLst>
            </xdr:cNvPr>
            <xdr:cNvSpPr/>
          </xdr:nvSpPr>
          <xdr:spPr>
            <a:xfrm rot="377697">
              <a:off x="8174432" y="1766355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39000040</a:t>
              </a:r>
            </a:p>
          </xdr:txBody>
        </xdr:sp>
        <xdr:sp macro="" textlink="">
          <xdr:nvSpPr>
            <xdr:cNvPr id="14" name="Rectangle 13">
              <a:extLst>
                <a:ext uri="{FF2B5EF4-FFF2-40B4-BE49-F238E27FC236}">
                  <a16:creationId xmlns:a16="http://schemas.microsoft.com/office/drawing/2014/main" id="{FEE88C47-2B72-E558-45FE-9A87F438641A}"/>
                </a:ext>
              </a:extLst>
            </xdr:cNvPr>
            <xdr:cNvSpPr/>
          </xdr:nvSpPr>
          <xdr:spPr>
            <a:xfrm rot="21164194">
              <a:off x="8044960" y="264861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1802006-5</a:t>
              </a:r>
            </a:p>
          </xdr:txBody>
        </xdr:sp>
      </xdr:grp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8C157ED3-736E-9888-6A3A-52DEEB31BA7D}"/>
              </a:ext>
            </a:extLst>
          </xdr:cNvPr>
          <xdr:cNvCxnSpPr>
            <a:cxnSpLocks/>
          </xdr:cNvCxnSpPr>
        </xdr:nvCxnSpPr>
        <xdr:spPr>
          <a:xfrm flipV="1">
            <a:off x="1225061" y="1428235"/>
            <a:ext cx="4056184" cy="1248085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6E2E74E0-4254-7B02-52CD-9518D2595199}"/>
              </a:ext>
            </a:extLst>
          </xdr:cNvPr>
          <xdr:cNvSpPr/>
        </xdr:nvSpPr>
        <xdr:spPr>
          <a:xfrm rot="20631224">
            <a:off x="1186371" y="2174956"/>
            <a:ext cx="1304199" cy="31313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400">
                <a:solidFill>
                  <a:sysClr val="windowText" lastClr="000000"/>
                </a:solidFill>
              </a:rPr>
              <a:t>WIRE NO-739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503C4D90-F3EE-B1D1-503F-E833B1DCA9F8}"/>
              </a:ext>
            </a:extLst>
          </xdr:cNvPr>
          <xdr:cNvSpPr/>
        </xdr:nvSpPr>
        <xdr:spPr>
          <a:xfrm rot="21366380">
            <a:off x="2005368" y="534915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39000040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D78B09CB-56AB-1047-D84F-F188A9F84DCB}"/>
              </a:ext>
            </a:extLst>
          </xdr:cNvPr>
          <xdr:cNvSpPr/>
        </xdr:nvSpPr>
        <xdr:spPr>
          <a:xfrm rot="21366380">
            <a:off x="979599" y="1122245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39000040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9CFB2DD9-565B-792F-665D-CEDF01D8E0B4}"/>
              </a:ext>
            </a:extLst>
          </xdr:cNvPr>
          <xdr:cNvSpPr/>
        </xdr:nvSpPr>
        <xdr:spPr>
          <a:xfrm rot="20634938">
            <a:off x="1139853" y="1964270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39000040</a:t>
            </a:r>
          </a:p>
        </xdr:txBody>
      </xdr:sp>
    </xdr:grpSp>
    <xdr:clientData/>
  </xdr:twoCellAnchor>
  <xdr:twoCellAnchor>
    <xdr:from>
      <xdr:col>2</xdr:col>
      <xdr:colOff>285751</xdr:colOff>
      <xdr:row>20</xdr:row>
      <xdr:rowOff>269875</xdr:rowOff>
    </xdr:from>
    <xdr:to>
      <xdr:col>13</xdr:col>
      <xdr:colOff>571501</xdr:colOff>
      <xdr:row>25</xdr:row>
      <xdr:rowOff>301625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C8D73A7C-492C-366F-DBAB-E070EC0EE32E}"/>
            </a:ext>
          </a:extLst>
        </xdr:cNvPr>
        <xdr:cNvGrpSpPr/>
      </xdr:nvGrpSpPr>
      <xdr:grpSpPr>
        <a:xfrm>
          <a:off x="412751" y="9144000"/>
          <a:ext cx="18348325" cy="2254250"/>
          <a:chOff x="586153" y="396895"/>
          <a:chExt cx="10796954" cy="2041485"/>
        </a:xfrm>
      </xdr:grpSpPr>
      <xdr:grpSp>
        <xdr:nvGrpSpPr>
          <xdr:cNvPr id="25" name="Group 24">
            <a:extLst>
              <a:ext uri="{FF2B5EF4-FFF2-40B4-BE49-F238E27FC236}">
                <a16:creationId xmlns:a16="http://schemas.microsoft.com/office/drawing/2014/main" id="{BAA88348-D0EF-8C75-992E-71A416A782E2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27" name="Group 26">
              <a:extLst>
                <a:ext uri="{FF2B5EF4-FFF2-40B4-BE49-F238E27FC236}">
                  <a16:creationId xmlns:a16="http://schemas.microsoft.com/office/drawing/2014/main" id="{D33863BF-E9E8-5B94-897F-B80585F8AA2E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29" name="Group 28">
                <a:extLst>
                  <a:ext uri="{FF2B5EF4-FFF2-40B4-BE49-F238E27FC236}">
                    <a16:creationId xmlns:a16="http://schemas.microsoft.com/office/drawing/2014/main" id="{68C3DFC1-F5ED-78F9-B22C-BA0DAD16E775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697523" y="444694"/>
                <a:chExt cx="10796954" cy="2333674"/>
              </a:xfrm>
            </xdr:grpSpPr>
            <xdr:sp macro="" textlink="">
              <xdr:nvSpPr>
                <xdr:cNvPr id="51" name="Rectangle 50">
                  <a:extLst>
                    <a:ext uri="{FF2B5EF4-FFF2-40B4-BE49-F238E27FC236}">
                      <a16:creationId xmlns:a16="http://schemas.microsoft.com/office/drawing/2014/main" id="{44B363EF-F258-6D61-8B1F-16A9B279DF48}"/>
                    </a:ext>
                  </a:extLst>
                </xdr:cNvPr>
                <xdr:cNvSpPr/>
              </xdr:nvSpPr>
              <xdr:spPr>
                <a:xfrm>
                  <a:off x="697523" y="468922"/>
                  <a:ext cx="10796954" cy="230944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  <xdr:cxnSp macro="">
              <xdr:nvCxnSpPr>
                <xdr:cNvPr id="52" name="Straight Connector 51">
                  <a:extLst>
                    <a:ext uri="{FF2B5EF4-FFF2-40B4-BE49-F238E27FC236}">
                      <a16:creationId xmlns:a16="http://schemas.microsoft.com/office/drawing/2014/main" id="{2A75DA25-8E8B-60FD-ED41-30B28D946BBB}"/>
                    </a:ext>
                  </a:extLst>
                </xdr:cNvPr>
                <xdr:cNvCxnSpPr>
                  <a:cxnSpLocks/>
                  <a:endCxn id="58" idx="1"/>
                </xdr:cNvCxnSpPr>
              </xdr:nvCxnSpPr>
              <xdr:spPr>
                <a:xfrm>
                  <a:off x="1336431" y="1131231"/>
                  <a:ext cx="4056184" cy="386886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53" name="Straight Connector 52">
                  <a:extLst>
                    <a:ext uri="{FF2B5EF4-FFF2-40B4-BE49-F238E27FC236}">
                      <a16:creationId xmlns:a16="http://schemas.microsoft.com/office/drawing/2014/main" id="{8A646B62-BE8D-B4DA-99D3-FA4929A9E955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5873261" y="1559158"/>
                  <a:ext cx="4554417" cy="9206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54" name="Rectangle 53">
                  <a:extLst>
                    <a:ext uri="{FF2B5EF4-FFF2-40B4-BE49-F238E27FC236}">
                      <a16:creationId xmlns:a16="http://schemas.microsoft.com/office/drawing/2014/main" id="{28011AE2-405E-12AD-6ABF-5B7572ACF3E5}"/>
                    </a:ext>
                  </a:extLst>
                </xdr:cNvPr>
                <xdr:cNvSpPr/>
              </xdr:nvSpPr>
              <xdr:spPr>
                <a:xfrm>
                  <a:off x="5058507" y="1768740"/>
                  <a:ext cx="1148862" cy="27841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63130-2</a:t>
                  </a:r>
                </a:p>
              </xdr:txBody>
            </xdr:sp>
            <xdr:sp macro="" textlink="">
              <xdr:nvSpPr>
                <xdr:cNvPr id="55" name="Rectangle 54">
                  <a:extLst>
                    <a:ext uri="{FF2B5EF4-FFF2-40B4-BE49-F238E27FC236}">
                      <a16:creationId xmlns:a16="http://schemas.microsoft.com/office/drawing/2014/main" id="{E1EE6634-6FB4-607F-B1D6-ADEB5154EDB3}"/>
                    </a:ext>
                  </a:extLst>
                </xdr:cNvPr>
                <xdr:cNvSpPr/>
              </xdr:nvSpPr>
              <xdr:spPr>
                <a:xfrm>
                  <a:off x="1880081" y="868483"/>
                  <a:ext cx="1559169" cy="32486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-823</a:t>
                  </a:r>
                </a:p>
              </xdr:txBody>
            </xdr:sp>
            <xdr:sp macro="" textlink="">
              <xdr:nvSpPr>
                <xdr:cNvPr id="56" name="Rectangle 55">
                  <a:extLst>
                    <a:ext uri="{FF2B5EF4-FFF2-40B4-BE49-F238E27FC236}">
                      <a16:creationId xmlns:a16="http://schemas.microsoft.com/office/drawing/2014/main" id="{49E337DE-1C18-9C69-FFBA-E25E828A6809}"/>
                    </a:ext>
                  </a:extLst>
                </xdr:cNvPr>
                <xdr:cNvSpPr/>
              </xdr:nvSpPr>
              <xdr:spPr>
                <a:xfrm rot="20969726">
                  <a:off x="1166974" y="1897709"/>
                  <a:ext cx="1304199" cy="357952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400">
                      <a:solidFill>
                        <a:sysClr val="windowText" lastClr="000000"/>
                      </a:solidFill>
                    </a:rPr>
                    <a:t>WIRE NO-824</a:t>
                  </a:r>
                </a:p>
              </xdr:txBody>
            </xdr:sp>
            <xdr:sp macro="" textlink="">
              <xdr:nvSpPr>
                <xdr:cNvPr id="57" name="Rectangle 56">
                  <a:extLst>
                    <a:ext uri="{FF2B5EF4-FFF2-40B4-BE49-F238E27FC236}">
                      <a16:creationId xmlns:a16="http://schemas.microsoft.com/office/drawing/2014/main" id="{F7036CC1-9D43-8DC5-39B4-2C6A2D823526}"/>
                    </a:ext>
                  </a:extLst>
                </xdr:cNvPr>
                <xdr:cNvSpPr/>
              </xdr:nvSpPr>
              <xdr:spPr>
                <a:xfrm>
                  <a:off x="4292451" y="444694"/>
                  <a:ext cx="2637692" cy="517383"/>
                </a:xfrm>
                <a:prstGeom prst="rect">
                  <a:avLst/>
                </a:prstGeom>
                <a:noFill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2000" b="1">
                      <a:solidFill>
                        <a:sysClr val="windowText" lastClr="000000"/>
                      </a:solidFill>
                    </a:rPr>
                    <a:t>SPL-DUCT-1</a:t>
                  </a:r>
                </a:p>
              </xdr:txBody>
            </xdr:sp>
            <xdr:sp macro="" textlink="">
              <xdr:nvSpPr>
                <xdr:cNvPr id="58" name="Rectangle 57">
                  <a:extLst>
                    <a:ext uri="{FF2B5EF4-FFF2-40B4-BE49-F238E27FC236}">
                      <a16:creationId xmlns:a16="http://schemas.microsoft.com/office/drawing/2014/main" id="{CF245F2A-28AA-71A0-B9BF-12B464877F88}"/>
                    </a:ext>
                  </a:extLst>
                </xdr:cNvPr>
                <xdr:cNvSpPr/>
              </xdr:nvSpPr>
              <xdr:spPr>
                <a:xfrm>
                  <a:off x="5392615" y="1348142"/>
                  <a:ext cx="480646" cy="339952"/>
                </a:xfrm>
                <a:prstGeom prst="rect">
                  <a:avLst/>
                </a:prstGeom>
                <a:noFill/>
                <a:ln w="381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</xdr:grpSp>
          <xdr:cxnSp macro="">
            <xdr:nvCxnSpPr>
              <xdr:cNvPr id="30" name="Straight Connector 29">
                <a:extLst>
                  <a:ext uri="{FF2B5EF4-FFF2-40B4-BE49-F238E27FC236}">
                    <a16:creationId xmlns:a16="http://schemas.microsoft.com/office/drawing/2014/main" id="{B62EAF42-AFB0-10AF-82FD-F2DD8EBDCA58}"/>
                  </a:ext>
                </a:extLst>
              </xdr:cNvPr>
              <xdr:cNvCxnSpPr>
                <a:cxnSpLocks/>
              </xdr:cNvCxnSpPr>
            </xdr:nvCxnSpPr>
            <xdr:spPr>
              <a:xfrm flipV="1">
                <a:off x="1225061" y="1382813"/>
                <a:ext cx="4056184" cy="792103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32" name="Rectangle 31">
                <a:extLst>
                  <a:ext uri="{FF2B5EF4-FFF2-40B4-BE49-F238E27FC236}">
                    <a16:creationId xmlns:a16="http://schemas.microsoft.com/office/drawing/2014/main" id="{2699D175-9372-E652-D073-B300988AAA96}"/>
                  </a:ext>
                </a:extLst>
              </xdr:cNvPr>
              <xdr:cNvSpPr/>
            </xdr:nvSpPr>
            <xdr:spPr>
              <a:xfrm>
                <a:off x="7693615" y="976461"/>
                <a:ext cx="1310053" cy="251846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WIRE NO -39</a:t>
                </a:r>
              </a:p>
            </xdr:txBody>
          </xdr:sp>
          <xdr:sp macro="" textlink="">
            <xdr:nvSpPr>
              <xdr:cNvPr id="50" name="Rectangle 49">
                <a:extLst>
                  <a:ext uri="{FF2B5EF4-FFF2-40B4-BE49-F238E27FC236}">
                    <a16:creationId xmlns:a16="http://schemas.microsoft.com/office/drawing/2014/main" id="{FA2F2569-E9F2-09ED-BD82-FABA07B232A2}"/>
                  </a:ext>
                </a:extLst>
              </xdr:cNvPr>
              <xdr:cNvSpPr/>
            </xdr:nvSpPr>
            <xdr:spPr>
              <a:xfrm>
                <a:off x="7774210" y="732910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1744423-1</a:t>
                </a:r>
              </a:p>
            </xdr:txBody>
          </xdr:sp>
        </xdr:grpSp>
        <xdr:sp macro="" textlink="">
          <xdr:nvSpPr>
            <xdr:cNvPr id="28" name="Rectangle 27">
              <a:extLst>
                <a:ext uri="{FF2B5EF4-FFF2-40B4-BE49-F238E27FC236}">
                  <a16:creationId xmlns:a16="http://schemas.microsoft.com/office/drawing/2014/main" id="{50517BDA-9600-9D57-972D-5A56F21A67FD}"/>
                </a:ext>
              </a:extLst>
            </xdr:cNvPr>
            <xdr:cNvSpPr/>
          </xdr:nvSpPr>
          <xdr:spPr>
            <a:xfrm>
              <a:off x="2005368" y="534915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39000048</a:t>
              </a:r>
            </a:p>
          </xdr:txBody>
        </xdr:sp>
      </xdr:grpSp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3D45EF5F-4B79-3ED2-0AD7-20308012FE56}"/>
              </a:ext>
            </a:extLst>
          </xdr:cNvPr>
          <xdr:cNvSpPr/>
        </xdr:nvSpPr>
        <xdr:spPr>
          <a:xfrm rot="20875432">
            <a:off x="1035973" y="1496847"/>
            <a:ext cx="1148862" cy="24355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63130-2</a:t>
            </a:r>
          </a:p>
        </xdr:txBody>
      </xdr:sp>
    </xdr:grpSp>
    <xdr:clientData/>
  </xdr:twoCellAnchor>
  <xdr:twoCellAnchor>
    <xdr:from>
      <xdr:col>2</xdr:col>
      <xdr:colOff>380999</xdr:colOff>
      <xdr:row>27</xdr:row>
      <xdr:rowOff>47625</xdr:rowOff>
    </xdr:from>
    <xdr:to>
      <xdr:col>13</xdr:col>
      <xdr:colOff>460375</xdr:colOff>
      <xdr:row>35</xdr:row>
      <xdr:rowOff>31750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43219188-B8A1-5306-5748-147E535E7ECC}"/>
            </a:ext>
          </a:extLst>
        </xdr:cNvPr>
        <xdr:cNvGrpSpPr/>
      </xdr:nvGrpSpPr>
      <xdr:grpSpPr>
        <a:xfrm>
          <a:off x="507999" y="12033250"/>
          <a:ext cx="18256251" cy="3540125"/>
          <a:chOff x="586153" y="396895"/>
          <a:chExt cx="10796954" cy="2041485"/>
        </a:xfrm>
      </xdr:grpSpPr>
      <xdr:grpSp>
        <xdr:nvGrpSpPr>
          <xdr:cNvPr id="60" name="Group 59">
            <a:extLst>
              <a:ext uri="{FF2B5EF4-FFF2-40B4-BE49-F238E27FC236}">
                <a16:creationId xmlns:a16="http://schemas.microsoft.com/office/drawing/2014/main" id="{C8D73A7C-492C-366F-DBAB-E070EC0EE32E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64" name="Group 63">
              <a:extLst>
                <a:ext uri="{FF2B5EF4-FFF2-40B4-BE49-F238E27FC236}">
                  <a16:creationId xmlns:a16="http://schemas.microsoft.com/office/drawing/2014/main" id="{BAA88348-D0EF-8C75-992E-71A416A782E2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66" name="Group 65">
                <a:extLst>
                  <a:ext uri="{FF2B5EF4-FFF2-40B4-BE49-F238E27FC236}">
                    <a16:creationId xmlns:a16="http://schemas.microsoft.com/office/drawing/2014/main" id="{D33863BF-E9E8-5B94-897F-B80585F8AA2E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586153" y="396895"/>
                <a:chExt cx="10796954" cy="2041485"/>
              </a:xfrm>
            </xdr:grpSpPr>
            <xdr:grpSp>
              <xdr:nvGrpSpPr>
                <xdr:cNvPr id="68" name="Group 67">
                  <a:extLst>
                    <a:ext uri="{FF2B5EF4-FFF2-40B4-BE49-F238E27FC236}">
                      <a16:creationId xmlns:a16="http://schemas.microsoft.com/office/drawing/2014/main" id="{68C3DFC1-F5ED-78F9-B22C-BA0DAD16E775}"/>
                    </a:ext>
                  </a:extLst>
                </xdr:cNvPr>
                <xdr:cNvGrpSpPr/>
              </xdr:nvGrpSpPr>
              <xdr:grpSpPr>
                <a:xfrm>
                  <a:off x="586153" y="396895"/>
                  <a:ext cx="10796954" cy="2041485"/>
                  <a:chOff x="697523" y="444694"/>
                  <a:chExt cx="10796954" cy="2333674"/>
                </a:xfrm>
              </xdr:grpSpPr>
              <xdr:sp macro="" textlink="">
                <xdr:nvSpPr>
                  <xdr:cNvPr id="72" name="Rectangle 71">
                    <a:extLst>
                      <a:ext uri="{FF2B5EF4-FFF2-40B4-BE49-F238E27FC236}">
                        <a16:creationId xmlns:a16="http://schemas.microsoft.com/office/drawing/2014/main" id="{44B363EF-F258-6D61-8B1F-16A9B279DF48}"/>
                      </a:ext>
                    </a:extLst>
                  </xdr:cNvPr>
                  <xdr:cNvSpPr/>
                </xdr:nvSpPr>
                <xdr:spPr>
                  <a:xfrm>
                    <a:off x="697523" y="468922"/>
                    <a:ext cx="10796954" cy="230944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  <xdr:cxnSp macro="">
                <xdr:nvCxnSpPr>
                  <xdr:cNvPr id="73" name="Straight Connector 72">
                    <a:extLst>
                      <a:ext uri="{FF2B5EF4-FFF2-40B4-BE49-F238E27FC236}">
                        <a16:creationId xmlns:a16="http://schemas.microsoft.com/office/drawing/2014/main" id="{2A75DA25-8E8B-60FD-ED41-30B28D946BBB}"/>
                      </a:ext>
                    </a:extLst>
                  </xdr:cNvPr>
                  <xdr:cNvCxnSpPr>
                    <a:cxnSpLocks/>
                    <a:endCxn id="79" idx="1"/>
                  </xdr:cNvCxnSpPr>
                </xdr:nvCxnSpPr>
                <xdr:spPr>
                  <a:xfrm>
                    <a:off x="1336431" y="1131231"/>
                    <a:ext cx="4056184" cy="386886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74" name="Straight Connector 73">
                    <a:extLst>
                      <a:ext uri="{FF2B5EF4-FFF2-40B4-BE49-F238E27FC236}">
                        <a16:creationId xmlns:a16="http://schemas.microsoft.com/office/drawing/2014/main" id="{8A646B62-BE8D-B4DA-99D3-FA4929A9E955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 flipV="1">
                    <a:off x="5873261" y="1014232"/>
                    <a:ext cx="4632091" cy="504723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75" name="Rectangle 74">
                    <a:extLst>
                      <a:ext uri="{FF2B5EF4-FFF2-40B4-BE49-F238E27FC236}">
                        <a16:creationId xmlns:a16="http://schemas.microsoft.com/office/drawing/2014/main" id="{28011AE2-405E-12AD-6ABF-5B7572ACF3E5}"/>
                      </a:ext>
                    </a:extLst>
                  </xdr:cNvPr>
                  <xdr:cNvSpPr/>
                </xdr:nvSpPr>
                <xdr:spPr>
                  <a:xfrm>
                    <a:off x="5058507" y="1768740"/>
                    <a:ext cx="1148862" cy="27841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63130-2</a:t>
                    </a:r>
                  </a:p>
                </xdr:txBody>
              </xdr:sp>
              <xdr:sp macro="" textlink="">
                <xdr:nvSpPr>
                  <xdr:cNvPr id="76" name="Rectangle 75">
                    <a:extLst>
                      <a:ext uri="{FF2B5EF4-FFF2-40B4-BE49-F238E27FC236}">
                        <a16:creationId xmlns:a16="http://schemas.microsoft.com/office/drawing/2014/main" id="{E1EE6634-6FB4-607F-B1D6-ADEB5154EDB3}"/>
                      </a:ext>
                    </a:extLst>
                  </xdr:cNvPr>
                  <xdr:cNvSpPr/>
                </xdr:nvSpPr>
                <xdr:spPr>
                  <a:xfrm>
                    <a:off x="1880081" y="868483"/>
                    <a:ext cx="1559169" cy="32486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WIRE NO -753</a:t>
                    </a:r>
                  </a:p>
                </xdr:txBody>
              </xdr:sp>
              <xdr:sp macro="" textlink="">
                <xdr:nvSpPr>
                  <xdr:cNvPr id="77" name="Rectangle 76">
                    <a:extLst>
                      <a:ext uri="{FF2B5EF4-FFF2-40B4-BE49-F238E27FC236}">
                        <a16:creationId xmlns:a16="http://schemas.microsoft.com/office/drawing/2014/main" id="{49E337DE-1C18-9C69-FFBA-E25E828A6809}"/>
                      </a:ext>
                    </a:extLst>
                  </xdr:cNvPr>
                  <xdr:cNvSpPr/>
                </xdr:nvSpPr>
                <xdr:spPr>
                  <a:xfrm rot="20969726">
                    <a:off x="1166974" y="1897709"/>
                    <a:ext cx="1304199" cy="357952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400">
                        <a:solidFill>
                          <a:sysClr val="windowText" lastClr="000000"/>
                        </a:solidFill>
                      </a:rPr>
                      <a:t>WIRE NO-844</a:t>
                    </a:r>
                  </a:p>
                </xdr:txBody>
              </xdr:sp>
              <xdr:sp macro="" textlink="">
                <xdr:nvSpPr>
                  <xdr:cNvPr id="78" name="Rectangle 77">
                    <a:extLst>
                      <a:ext uri="{FF2B5EF4-FFF2-40B4-BE49-F238E27FC236}">
                        <a16:creationId xmlns:a16="http://schemas.microsoft.com/office/drawing/2014/main" id="{F7036CC1-9D43-8DC5-39B4-2C6A2D823526}"/>
                      </a:ext>
                    </a:extLst>
                  </xdr:cNvPr>
                  <xdr:cNvSpPr/>
                </xdr:nvSpPr>
                <xdr:spPr>
                  <a:xfrm>
                    <a:off x="4292451" y="444694"/>
                    <a:ext cx="2637692" cy="517383"/>
                  </a:xfrm>
                  <a:prstGeom prst="rect">
                    <a:avLst/>
                  </a:prstGeom>
                  <a:no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2000" b="1">
                        <a:solidFill>
                          <a:sysClr val="windowText" lastClr="000000"/>
                        </a:solidFill>
                      </a:rPr>
                      <a:t>SPL-WIN</a:t>
                    </a:r>
                  </a:p>
                </xdr:txBody>
              </xdr:sp>
              <xdr:sp macro="" textlink="">
                <xdr:nvSpPr>
                  <xdr:cNvPr id="79" name="Rectangle 78">
                    <a:extLst>
                      <a:ext uri="{FF2B5EF4-FFF2-40B4-BE49-F238E27FC236}">
                        <a16:creationId xmlns:a16="http://schemas.microsoft.com/office/drawing/2014/main" id="{CF245F2A-28AA-71A0-B9BF-12B464877F88}"/>
                      </a:ext>
                    </a:extLst>
                  </xdr:cNvPr>
                  <xdr:cNvSpPr/>
                </xdr:nvSpPr>
                <xdr:spPr>
                  <a:xfrm>
                    <a:off x="5392615" y="1348142"/>
                    <a:ext cx="480646" cy="339952"/>
                  </a:xfrm>
                  <a:prstGeom prst="rect">
                    <a:avLst/>
                  </a:prstGeom>
                  <a:noFill/>
                  <a:ln w="381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</xdr:grpSp>
            <xdr:cxnSp macro="">
              <xdr:nvCxnSpPr>
                <xdr:cNvPr id="69" name="Straight Connector 68">
                  <a:extLst>
                    <a:ext uri="{FF2B5EF4-FFF2-40B4-BE49-F238E27FC236}">
                      <a16:creationId xmlns:a16="http://schemas.microsoft.com/office/drawing/2014/main" id="{B62EAF42-AFB0-10AF-82FD-F2DD8EBDCA58}"/>
                    </a:ext>
                  </a:extLst>
                </xdr:cNvPr>
                <xdr:cNvCxnSpPr>
                  <a:cxnSpLocks/>
                </xdr:cNvCxnSpPr>
              </xdr:nvCxnSpPr>
              <xdr:spPr>
                <a:xfrm flipV="1">
                  <a:off x="1225061" y="1382813"/>
                  <a:ext cx="4056184" cy="792103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70" name="Rectangle 69">
                  <a:extLst>
                    <a:ext uri="{FF2B5EF4-FFF2-40B4-BE49-F238E27FC236}">
                      <a16:creationId xmlns:a16="http://schemas.microsoft.com/office/drawing/2014/main" id="{2699D175-9372-E652-D073-B300988AAA96}"/>
                    </a:ext>
                  </a:extLst>
                </xdr:cNvPr>
                <xdr:cNvSpPr/>
              </xdr:nvSpPr>
              <xdr:spPr>
                <a:xfrm>
                  <a:off x="8181242" y="731771"/>
                  <a:ext cx="1310053" cy="25184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-43</a:t>
                  </a:r>
                </a:p>
              </xdr:txBody>
            </xdr:sp>
            <xdr:sp macro="" textlink="">
              <xdr:nvSpPr>
                <xdr:cNvPr id="71" name="Rectangle 70">
                  <a:extLst>
                    <a:ext uri="{FF2B5EF4-FFF2-40B4-BE49-F238E27FC236}">
                      <a16:creationId xmlns:a16="http://schemas.microsoft.com/office/drawing/2014/main" id="{FA2F2569-E9F2-09ED-BD82-FABA07B232A2}"/>
                    </a:ext>
                  </a:extLst>
                </xdr:cNvPr>
                <xdr:cNvSpPr/>
              </xdr:nvSpPr>
              <xdr:spPr>
                <a:xfrm>
                  <a:off x="8261838" y="507122"/>
                  <a:ext cx="1148862" cy="243551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1744144-1</a:t>
                  </a:r>
                </a:p>
              </xdr:txBody>
            </xdr:sp>
          </xdr:grpSp>
          <xdr:sp macro="" textlink="">
            <xdr:nvSpPr>
              <xdr:cNvPr id="67" name="Rectangle 66">
                <a:extLst>
                  <a:ext uri="{FF2B5EF4-FFF2-40B4-BE49-F238E27FC236}">
                    <a16:creationId xmlns:a16="http://schemas.microsoft.com/office/drawing/2014/main" id="{50517BDA-9600-9D57-972D-5A56F21A67FD}"/>
                  </a:ext>
                </a:extLst>
              </xdr:cNvPr>
              <xdr:cNvSpPr/>
            </xdr:nvSpPr>
            <xdr:spPr>
              <a:xfrm>
                <a:off x="2005368" y="534915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39000048</a:t>
                </a:r>
              </a:p>
            </xdr:txBody>
          </xdr:sp>
        </xdr:grpSp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3D45EF5F-4B79-3ED2-0AD7-20308012FE56}"/>
                </a:ext>
              </a:extLst>
            </xdr:cNvPr>
            <xdr:cNvSpPr/>
          </xdr:nvSpPr>
          <xdr:spPr>
            <a:xfrm rot="20875432">
              <a:off x="1035973" y="1496847"/>
              <a:ext cx="1148862" cy="243552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63130-2</a:t>
              </a:r>
            </a:p>
          </xdr:txBody>
        </xdr:sp>
      </xdr:grpSp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356519D1-5F0F-9774-7F01-DB8649E02BE8}"/>
              </a:ext>
            </a:extLst>
          </xdr:cNvPr>
          <xdr:cNvCxnSpPr>
            <a:cxnSpLocks/>
          </xdr:cNvCxnSpPr>
        </xdr:nvCxnSpPr>
        <xdr:spPr>
          <a:xfrm>
            <a:off x="5761891" y="1357848"/>
            <a:ext cx="4632091" cy="613217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2" name="Rectangle 61">
            <a:extLst>
              <a:ext uri="{FF2B5EF4-FFF2-40B4-BE49-F238E27FC236}">
                <a16:creationId xmlns:a16="http://schemas.microsoft.com/office/drawing/2014/main" id="{C789BFB0-EDF9-32B7-4BB4-23B76B8B664C}"/>
              </a:ext>
            </a:extLst>
          </xdr:cNvPr>
          <xdr:cNvSpPr/>
        </xdr:nvSpPr>
        <xdr:spPr>
          <a:xfrm rot="571333">
            <a:off x="8828347" y="1545061"/>
            <a:ext cx="1383906" cy="22963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WIRE NO -750</a:t>
            </a:r>
          </a:p>
        </xdr:txBody>
      </xdr:sp>
      <xdr:sp macro="" textlink="">
        <xdr:nvSpPr>
          <xdr:cNvPr id="63" name="Rectangle 62">
            <a:extLst>
              <a:ext uri="{FF2B5EF4-FFF2-40B4-BE49-F238E27FC236}">
                <a16:creationId xmlns:a16="http://schemas.microsoft.com/office/drawing/2014/main" id="{C8416C65-0D75-1427-CC2E-8D1A5E8712D7}"/>
              </a:ext>
            </a:extLst>
          </xdr:cNvPr>
          <xdr:cNvSpPr/>
        </xdr:nvSpPr>
        <xdr:spPr>
          <a:xfrm rot="575016">
            <a:off x="9165252" y="1326071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177916-1</a:t>
            </a:r>
          </a:p>
        </xdr:txBody>
      </xdr:sp>
    </xdr:grpSp>
    <xdr:clientData/>
  </xdr:twoCellAnchor>
  <xdr:twoCellAnchor>
    <xdr:from>
      <xdr:col>2</xdr:col>
      <xdr:colOff>492125</xdr:colOff>
      <xdr:row>37</xdr:row>
      <xdr:rowOff>333375</xdr:rowOff>
    </xdr:from>
    <xdr:to>
      <xdr:col>13</xdr:col>
      <xdr:colOff>396875</xdr:colOff>
      <xdr:row>44</xdr:row>
      <xdr:rowOff>63500</xdr:rowOff>
    </xdr:to>
    <xdr:grpSp>
      <xdr:nvGrpSpPr>
        <xdr:cNvPr id="80" name="Group 79">
          <a:extLst>
            <a:ext uri="{FF2B5EF4-FFF2-40B4-BE49-F238E27FC236}">
              <a16:creationId xmlns:a16="http://schemas.microsoft.com/office/drawing/2014/main" id="{C8D73A7C-492C-366F-DBAB-E070EC0EE32E}"/>
            </a:ext>
          </a:extLst>
        </xdr:cNvPr>
        <xdr:cNvGrpSpPr/>
      </xdr:nvGrpSpPr>
      <xdr:grpSpPr>
        <a:xfrm>
          <a:off x="619125" y="16764000"/>
          <a:ext cx="18138775" cy="2841625"/>
          <a:chOff x="586153" y="396895"/>
          <a:chExt cx="10796954" cy="2041485"/>
        </a:xfrm>
      </xdr:grpSpPr>
      <xdr:grpSp>
        <xdr:nvGrpSpPr>
          <xdr:cNvPr id="81" name="Group 80">
            <a:extLst>
              <a:ext uri="{FF2B5EF4-FFF2-40B4-BE49-F238E27FC236}">
                <a16:creationId xmlns:a16="http://schemas.microsoft.com/office/drawing/2014/main" id="{BAA88348-D0EF-8C75-992E-71A416A782E2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83" name="Group 82">
              <a:extLst>
                <a:ext uri="{FF2B5EF4-FFF2-40B4-BE49-F238E27FC236}">
                  <a16:creationId xmlns:a16="http://schemas.microsoft.com/office/drawing/2014/main" id="{D33863BF-E9E8-5B94-897F-B80585F8AA2E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85" name="Group 84">
                <a:extLst>
                  <a:ext uri="{FF2B5EF4-FFF2-40B4-BE49-F238E27FC236}">
                    <a16:creationId xmlns:a16="http://schemas.microsoft.com/office/drawing/2014/main" id="{68C3DFC1-F5ED-78F9-B22C-BA0DAD16E775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697523" y="444694"/>
                <a:chExt cx="10796954" cy="2333674"/>
              </a:xfrm>
            </xdr:grpSpPr>
            <xdr:sp macro="" textlink="">
              <xdr:nvSpPr>
                <xdr:cNvPr id="89" name="Rectangle 88">
                  <a:extLst>
                    <a:ext uri="{FF2B5EF4-FFF2-40B4-BE49-F238E27FC236}">
                      <a16:creationId xmlns:a16="http://schemas.microsoft.com/office/drawing/2014/main" id="{44B363EF-F258-6D61-8B1F-16A9B279DF48}"/>
                    </a:ext>
                  </a:extLst>
                </xdr:cNvPr>
                <xdr:cNvSpPr/>
              </xdr:nvSpPr>
              <xdr:spPr>
                <a:xfrm>
                  <a:off x="697523" y="468922"/>
                  <a:ext cx="10796954" cy="230944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  <xdr:cxnSp macro="">
              <xdr:nvCxnSpPr>
                <xdr:cNvPr id="90" name="Straight Connector 89">
                  <a:extLst>
                    <a:ext uri="{FF2B5EF4-FFF2-40B4-BE49-F238E27FC236}">
                      <a16:creationId xmlns:a16="http://schemas.microsoft.com/office/drawing/2014/main" id="{2A75DA25-8E8B-60FD-ED41-30B28D946BBB}"/>
                    </a:ext>
                  </a:extLst>
                </xdr:cNvPr>
                <xdr:cNvCxnSpPr>
                  <a:cxnSpLocks/>
                  <a:endCxn id="96" idx="1"/>
                </xdr:cNvCxnSpPr>
              </xdr:nvCxnSpPr>
              <xdr:spPr>
                <a:xfrm>
                  <a:off x="1336431" y="1131231"/>
                  <a:ext cx="4056184" cy="386886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91" name="Straight Connector 90">
                  <a:extLst>
                    <a:ext uri="{FF2B5EF4-FFF2-40B4-BE49-F238E27FC236}">
                      <a16:creationId xmlns:a16="http://schemas.microsoft.com/office/drawing/2014/main" id="{8A646B62-BE8D-B4DA-99D3-FA4929A9E955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5873261" y="1518956"/>
                  <a:ext cx="4976447" cy="12660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92" name="Rectangle 91">
                  <a:extLst>
                    <a:ext uri="{FF2B5EF4-FFF2-40B4-BE49-F238E27FC236}">
                      <a16:creationId xmlns:a16="http://schemas.microsoft.com/office/drawing/2014/main" id="{28011AE2-405E-12AD-6ABF-5B7572ACF3E5}"/>
                    </a:ext>
                  </a:extLst>
                </xdr:cNvPr>
                <xdr:cNvSpPr/>
              </xdr:nvSpPr>
              <xdr:spPr>
                <a:xfrm>
                  <a:off x="5058507" y="1768740"/>
                  <a:ext cx="1148862" cy="27841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63130-2</a:t>
                  </a:r>
                </a:p>
              </xdr:txBody>
            </xdr:sp>
            <xdr:sp macro="" textlink="">
              <xdr:nvSpPr>
                <xdr:cNvPr id="93" name="Rectangle 92">
                  <a:extLst>
                    <a:ext uri="{FF2B5EF4-FFF2-40B4-BE49-F238E27FC236}">
                      <a16:creationId xmlns:a16="http://schemas.microsoft.com/office/drawing/2014/main" id="{E1EE6634-6FB4-607F-B1D6-ADEB5154EDB3}"/>
                    </a:ext>
                  </a:extLst>
                </xdr:cNvPr>
                <xdr:cNvSpPr/>
              </xdr:nvSpPr>
              <xdr:spPr>
                <a:xfrm>
                  <a:off x="1880081" y="868483"/>
                  <a:ext cx="1559169" cy="32486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-40</a:t>
                  </a:r>
                </a:p>
              </xdr:txBody>
            </xdr:sp>
            <xdr:sp macro="" textlink="">
              <xdr:nvSpPr>
                <xdr:cNvPr id="94" name="Rectangle 93">
                  <a:extLst>
                    <a:ext uri="{FF2B5EF4-FFF2-40B4-BE49-F238E27FC236}">
                      <a16:creationId xmlns:a16="http://schemas.microsoft.com/office/drawing/2014/main" id="{49E337DE-1C18-9C69-FFBA-E25E828A6809}"/>
                    </a:ext>
                  </a:extLst>
                </xdr:cNvPr>
                <xdr:cNvSpPr/>
              </xdr:nvSpPr>
              <xdr:spPr>
                <a:xfrm rot="20969726">
                  <a:off x="1166974" y="1897709"/>
                  <a:ext cx="1304199" cy="357952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400">
                      <a:solidFill>
                        <a:sysClr val="windowText" lastClr="000000"/>
                      </a:solidFill>
                    </a:rPr>
                    <a:t>WIRE NO-825</a:t>
                  </a:r>
                </a:p>
              </xdr:txBody>
            </xdr:sp>
            <xdr:sp macro="" textlink="">
              <xdr:nvSpPr>
                <xdr:cNvPr id="95" name="Rectangle 94">
                  <a:extLst>
                    <a:ext uri="{FF2B5EF4-FFF2-40B4-BE49-F238E27FC236}">
                      <a16:creationId xmlns:a16="http://schemas.microsoft.com/office/drawing/2014/main" id="{F7036CC1-9D43-8DC5-39B4-2C6A2D823526}"/>
                    </a:ext>
                  </a:extLst>
                </xdr:cNvPr>
                <xdr:cNvSpPr/>
              </xdr:nvSpPr>
              <xdr:spPr>
                <a:xfrm>
                  <a:off x="4292451" y="444694"/>
                  <a:ext cx="2637692" cy="517383"/>
                </a:xfrm>
                <a:prstGeom prst="rect">
                  <a:avLst/>
                </a:prstGeom>
                <a:noFill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2000" b="1">
                      <a:solidFill>
                        <a:sysClr val="windowText" lastClr="000000"/>
                      </a:solidFill>
                    </a:rPr>
                    <a:t>SPL-DUCT-2</a:t>
                  </a:r>
                </a:p>
              </xdr:txBody>
            </xdr:sp>
            <xdr:sp macro="" textlink="">
              <xdr:nvSpPr>
                <xdr:cNvPr id="96" name="Rectangle 95">
                  <a:extLst>
                    <a:ext uri="{FF2B5EF4-FFF2-40B4-BE49-F238E27FC236}">
                      <a16:creationId xmlns:a16="http://schemas.microsoft.com/office/drawing/2014/main" id="{CF245F2A-28AA-71A0-B9BF-12B464877F88}"/>
                    </a:ext>
                  </a:extLst>
                </xdr:cNvPr>
                <xdr:cNvSpPr/>
              </xdr:nvSpPr>
              <xdr:spPr>
                <a:xfrm>
                  <a:off x="5392615" y="1348142"/>
                  <a:ext cx="480646" cy="339952"/>
                </a:xfrm>
                <a:prstGeom prst="rect">
                  <a:avLst/>
                </a:prstGeom>
                <a:noFill/>
                <a:ln w="381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</xdr:grpSp>
          <xdr:cxnSp macro="">
            <xdr:nvCxnSpPr>
              <xdr:cNvPr id="86" name="Straight Connector 85">
                <a:extLst>
                  <a:ext uri="{FF2B5EF4-FFF2-40B4-BE49-F238E27FC236}">
                    <a16:creationId xmlns:a16="http://schemas.microsoft.com/office/drawing/2014/main" id="{B62EAF42-AFB0-10AF-82FD-F2DD8EBDCA58}"/>
                  </a:ext>
                </a:extLst>
              </xdr:cNvPr>
              <xdr:cNvCxnSpPr>
                <a:cxnSpLocks/>
              </xdr:cNvCxnSpPr>
            </xdr:nvCxnSpPr>
            <xdr:spPr>
              <a:xfrm flipV="1">
                <a:off x="1225061" y="1382813"/>
                <a:ext cx="4056184" cy="792103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87" name="Rectangle 86">
                <a:extLst>
                  <a:ext uri="{FF2B5EF4-FFF2-40B4-BE49-F238E27FC236}">
                    <a16:creationId xmlns:a16="http://schemas.microsoft.com/office/drawing/2014/main" id="{2699D175-9372-E652-D073-B300988AAA96}"/>
                  </a:ext>
                </a:extLst>
              </xdr:cNvPr>
              <xdr:cNvSpPr/>
            </xdr:nvSpPr>
            <xdr:spPr>
              <a:xfrm>
                <a:off x="8181242" y="918751"/>
                <a:ext cx="1559169" cy="281015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WIRE NO -822</a:t>
                </a:r>
              </a:p>
            </xdr:txBody>
          </xdr:sp>
          <xdr:sp macro="" textlink="">
            <xdr:nvSpPr>
              <xdr:cNvPr id="88" name="Rectangle 87">
                <a:extLst>
                  <a:ext uri="{FF2B5EF4-FFF2-40B4-BE49-F238E27FC236}">
                    <a16:creationId xmlns:a16="http://schemas.microsoft.com/office/drawing/2014/main" id="{FA2F2569-E9F2-09ED-BD82-FABA07B232A2}"/>
                  </a:ext>
                </a:extLst>
              </xdr:cNvPr>
              <xdr:cNvSpPr/>
            </xdr:nvSpPr>
            <xdr:spPr>
              <a:xfrm>
                <a:off x="8261837" y="671430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1744423-1</a:t>
                </a:r>
              </a:p>
            </xdr:txBody>
          </xdr:sp>
        </xdr:grpSp>
        <xdr:sp macro="" textlink="">
          <xdr:nvSpPr>
            <xdr:cNvPr id="84" name="Rectangle 83">
              <a:extLst>
                <a:ext uri="{FF2B5EF4-FFF2-40B4-BE49-F238E27FC236}">
                  <a16:creationId xmlns:a16="http://schemas.microsoft.com/office/drawing/2014/main" id="{50517BDA-9600-9D57-972D-5A56F21A67FD}"/>
                </a:ext>
              </a:extLst>
            </xdr:cNvPr>
            <xdr:cNvSpPr/>
          </xdr:nvSpPr>
          <xdr:spPr>
            <a:xfrm>
              <a:off x="2005368" y="534915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39000048</a:t>
              </a:r>
            </a:p>
          </xdr:txBody>
        </xdr:sp>
      </xdr:grpSp>
      <xdr:sp macro="" textlink="">
        <xdr:nvSpPr>
          <xdr:cNvPr id="82" name="Rectangle 81">
            <a:extLst>
              <a:ext uri="{FF2B5EF4-FFF2-40B4-BE49-F238E27FC236}">
                <a16:creationId xmlns:a16="http://schemas.microsoft.com/office/drawing/2014/main" id="{3D45EF5F-4B79-3ED2-0AD7-20308012FE56}"/>
              </a:ext>
            </a:extLst>
          </xdr:cNvPr>
          <xdr:cNvSpPr/>
        </xdr:nvSpPr>
        <xdr:spPr>
          <a:xfrm rot="20875432">
            <a:off x="1035973" y="1496847"/>
            <a:ext cx="1148862" cy="24355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63130-2</a:t>
            </a:r>
          </a:p>
        </xdr:txBody>
      </xdr:sp>
    </xdr:grpSp>
    <xdr:clientData/>
  </xdr:twoCellAnchor>
  <xdr:twoCellAnchor>
    <xdr:from>
      <xdr:col>3</xdr:col>
      <xdr:colOff>63500</xdr:colOff>
      <xdr:row>45</xdr:row>
      <xdr:rowOff>190500</xdr:rowOff>
    </xdr:from>
    <xdr:to>
      <xdr:col>13</xdr:col>
      <xdr:colOff>0</xdr:colOff>
      <xdr:row>52</xdr:row>
      <xdr:rowOff>31750</xdr:rowOff>
    </xdr:to>
    <xdr:grpSp>
      <xdr:nvGrpSpPr>
        <xdr:cNvPr id="97" name="Group 96">
          <a:extLst>
            <a:ext uri="{FF2B5EF4-FFF2-40B4-BE49-F238E27FC236}">
              <a16:creationId xmlns:a16="http://schemas.microsoft.com/office/drawing/2014/main" id="{771479AE-C9ED-95A5-07C4-FFE9ECB628F3}"/>
            </a:ext>
          </a:extLst>
        </xdr:cNvPr>
        <xdr:cNvGrpSpPr/>
      </xdr:nvGrpSpPr>
      <xdr:grpSpPr>
        <a:xfrm>
          <a:off x="698500" y="20177125"/>
          <a:ext cx="17986375" cy="2952750"/>
          <a:chOff x="586153" y="396895"/>
          <a:chExt cx="10796954" cy="2041485"/>
        </a:xfrm>
      </xdr:grpSpPr>
      <xdr:grpSp>
        <xdr:nvGrpSpPr>
          <xdr:cNvPr id="98" name="Group 97">
            <a:extLst>
              <a:ext uri="{FF2B5EF4-FFF2-40B4-BE49-F238E27FC236}">
                <a16:creationId xmlns:a16="http://schemas.microsoft.com/office/drawing/2014/main" id="{C8D73A7C-492C-366F-DBAB-E070EC0EE32E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102" name="Group 101">
              <a:extLst>
                <a:ext uri="{FF2B5EF4-FFF2-40B4-BE49-F238E27FC236}">
                  <a16:creationId xmlns:a16="http://schemas.microsoft.com/office/drawing/2014/main" id="{BAA88348-D0EF-8C75-992E-71A416A782E2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104" name="Group 103">
                <a:extLst>
                  <a:ext uri="{FF2B5EF4-FFF2-40B4-BE49-F238E27FC236}">
                    <a16:creationId xmlns:a16="http://schemas.microsoft.com/office/drawing/2014/main" id="{D33863BF-E9E8-5B94-897F-B80585F8AA2E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586153" y="396895"/>
                <a:chExt cx="10796954" cy="2041485"/>
              </a:xfrm>
            </xdr:grpSpPr>
            <xdr:grpSp>
              <xdr:nvGrpSpPr>
                <xdr:cNvPr id="106" name="Group 105">
                  <a:extLst>
                    <a:ext uri="{FF2B5EF4-FFF2-40B4-BE49-F238E27FC236}">
                      <a16:creationId xmlns:a16="http://schemas.microsoft.com/office/drawing/2014/main" id="{68C3DFC1-F5ED-78F9-B22C-BA0DAD16E775}"/>
                    </a:ext>
                  </a:extLst>
                </xdr:cNvPr>
                <xdr:cNvGrpSpPr/>
              </xdr:nvGrpSpPr>
              <xdr:grpSpPr>
                <a:xfrm>
                  <a:off x="586153" y="396895"/>
                  <a:ext cx="10796954" cy="2041485"/>
                  <a:chOff x="697523" y="444694"/>
                  <a:chExt cx="10796954" cy="2333674"/>
                </a:xfrm>
              </xdr:grpSpPr>
              <xdr:sp macro="" textlink="">
                <xdr:nvSpPr>
                  <xdr:cNvPr id="110" name="Rectangle 109">
                    <a:extLst>
                      <a:ext uri="{FF2B5EF4-FFF2-40B4-BE49-F238E27FC236}">
                        <a16:creationId xmlns:a16="http://schemas.microsoft.com/office/drawing/2014/main" id="{44B363EF-F258-6D61-8B1F-16A9B279DF48}"/>
                      </a:ext>
                    </a:extLst>
                  </xdr:cNvPr>
                  <xdr:cNvSpPr/>
                </xdr:nvSpPr>
                <xdr:spPr>
                  <a:xfrm>
                    <a:off x="697523" y="468922"/>
                    <a:ext cx="10796954" cy="230944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  <xdr:cxnSp macro="">
                <xdr:nvCxnSpPr>
                  <xdr:cNvPr id="111" name="Straight Connector 110">
                    <a:extLst>
                      <a:ext uri="{FF2B5EF4-FFF2-40B4-BE49-F238E27FC236}">
                        <a16:creationId xmlns:a16="http://schemas.microsoft.com/office/drawing/2014/main" id="{2A75DA25-8E8B-60FD-ED41-30B28D946BBB}"/>
                      </a:ext>
                    </a:extLst>
                  </xdr:cNvPr>
                  <xdr:cNvCxnSpPr>
                    <a:cxnSpLocks/>
                    <a:endCxn id="117" idx="1"/>
                  </xdr:cNvCxnSpPr>
                </xdr:nvCxnSpPr>
                <xdr:spPr>
                  <a:xfrm>
                    <a:off x="1336431" y="1131231"/>
                    <a:ext cx="4056184" cy="386886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12" name="Straight Connector 111">
                    <a:extLst>
                      <a:ext uri="{FF2B5EF4-FFF2-40B4-BE49-F238E27FC236}">
                        <a16:creationId xmlns:a16="http://schemas.microsoft.com/office/drawing/2014/main" id="{8A646B62-BE8D-B4DA-99D3-FA4929A9E955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>
                    <a:off x="5873261" y="1518956"/>
                    <a:ext cx="4976447" cy="12660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113" name="Rectangle 112">
                    <a:extLst>
                      <a:ext uri="{FF2B5EF4-FFF2-40B4-BE49-F238E27FC236}">
                        <a16:creationId xmlns:a16="http://schemas.microsoft.com/office/drawing/2014/main" id="{28011AE2-405E-12AD-6ABF-5B7572ACF3E5}"/>
                      </a:ext>
                    </a:extLst>
                  </xdr:cNvPr>
                  <xdr:cNvSpPr/>
                </xdr:nvSpPr>
                <xdr:spPr>
                  <a:xfrm>
                    <a:off x="5058507" y="1768740"/>
                    <a:ext cx="1148862" cy="27841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63130-2</a:t>
                    </a:r>
                  </a:p>
                </xdr:txBody>
              </xdr:sp>
              <xdr:sp macro="" textlink="">
                <xdr:nvSpPr>
                  <xdr:cNvPr id="114" name="Rectangle 113">
                    <a:extLst>
                      <a:ext uri="{FF2B5EF4-FFF2-40B4-BE49-F238E27FC236}">
                        <a16:creationId xmlns:a16="http://schemas.microsoft.com/office/drawing/2014/main" id="{E1EE6634-6FB4-607F-B1D6-ADEB5154EDB3}"/>
                      </a:ext>
                    </a:extLst>
                  </xdr:cNvPr>
                  <xdr:cNvSpPr/>
                </xdr:nvSpPr>
                <xdr:spPr>
                  <a:xfrm>
                    <a:off x="1880081" y="868483"/>
                    <a:ext cx="1559169" cy="32486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WIRE NO -651</a:t>
                    </a:r>
                  </a:p>
                </xdr:txBody>
              </xdr:sp>
              <xdr:sp macro="" textlink="">
                <xdr:nvSpPr>
                  <xdr:cNvPr id="115" name="Rectangle 114">
                    <a:extLst>
                      <a:ext uri="{FF2B5EF4-FFF2-40B4-BE49-F238E27FC236}">
                        <a16:creationId xmlns:a16="http://schemas.microsoft.com/office/drawing/2014/main" id="{49E337DE-1C18-9C69-FFBA-E25E828A6809}"/>
                      </a:ext>
                    </a:extLst>
                  </xdr:cNvPr>
                  <xdr:cNvSpPr/>
                </xdr:nvSpPr>
                <xdr:spPr>
                  <a:xfrm>
                    <a:off x="1154724" y="1488895"/>
                    <a:ext cx="1304199" cy="357952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400">
                        <a:solidFill>
                          <a:sysClr val="windowText" lastClr="000000"/>
                        </a:solidFill>
                      </a:rPr>
                      <a:t>WIRE NO-280</a:t>
                    </a:r>
                  </a:p>
                </xdr:txBody>
              </xdr:sp>
              <xdr:sp macro="" textlink="">
                <xdr:nvSpPr>
                  <xdr:cNvPr id="116" name="Rectangle 115">
                    <a:extLst>
                      <a:ext uri="{FF2B5EF4-FFF2-40B4-BE49-F238E27FC236}">
                        <a16:creationId xmlns:a16="http://schemas.microsoft.com/office/drawing/2014/main" id="{F7036CC1-9D43-8DC5-39B4-2C6A2D823526}"/>
                      </a:ext>
                    </a:extLst>
                  </xdr:cNvPr>
                  <xdr:cNvSpPr/>
                </xdr:nvSpPr>
                <xdr:spPr>
                  <a:xfrm>
                    <a:off x="4292451" y="444694"/>
                    <a:ext cx="2637692" cy="517383"/>
                  </a:xfrm>
                  <a:prstGeom prst="rect">
                    <a:avLst/>
                  </a:prstGeom>
                  <a:no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2000" b="1">
                        <a:solidFill>
                          <a:sysClr val="windowText" lastClr="000000"/>
                        </a:solidFill>
                      </a:rPr>
                      <a:t>SPL-7</a:t>
                    </a:r>
                  </a:p>
                </xdr:txBody>
              </xdr:sp>
              <xdr:sp macro="" textlink="">
                <xdr:nvSpPr>
                  <xdr:cNvPr id="117" name="Rectangle 116">
                    <a:extLst>
                      <a:ext uri="{FF2B5EF4-FFF2-40B4-BE49-F238E27FC236}">
                        <a16:creationId xmlns:a16="http://schemas.microsoft.com/office/drawing/2014/main" id="{CF245F2A-28AA-71A0-B9BF-12B464877F88}"/>
                      </a:ext>
                    </a:extLst>
                  </xdr:cNvPr>
                  <xdr:cNvSpPr/>
                </xdr:nvSpPr>
                <xdr:spPr>
                  <a:xfrm>
                    <a:off x="5392615" y="1348142"/>
                    <a:ext cx="480646" cy="339952"/>
                  </a:xfrm>
                  <a:prstGeom prst="rect">
                    <a:avLst/>
                  </a:prstGeom>
                  <a:noFill/>
                  <a:ln w="381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</xdr:grpSp>
            <xdr:cxnSp macro="">
              <xdr:nvCxnSpPr>
                <xdr:cNvPr id="107" name="Straight Connector 106">
                  <a:extLst>
                    <a:ext uri="{FF2B5EF4-FFF2-40B4-BE49-F238E27FC236}">
                      <a16:creationId xmlns:a16="http://schemas.microsoft.com/office/drawing/2014/main" id="{B62EAF42-AFB0-10AF-82FD-F2DD8EBDCA58}"/>
                    </a:ext>
                  </a:extLst>
                </xdr:cNvPr>
                <xdr:cNvCxnSpPr>
                  <a:cxnSpLocks/>
                  <a:endCxn id="117" idx="1"/>
                </xdr:cNvCxnSpPr>
              </xdr:nvCxnSpPr>
              <xdr:spPr>
                <a:xfrm flipV="1">
                  <a:off x="1043354" y="1335920"/>
                  <a:ext cx="4237891" cy="308765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08" name="Rectangle 107">
                  <a:extLst>
                    <a:ext uri="{FF2B5EF4-FFF2-40B4-BE49-F238E27FC236}">
                      <a16:creationId xmlns:a16="http://schemas.microsoft.com/office/drawing/2014/main" id="{2699D175-9372-E652-D073-B300988AAA96}"/>
                    </a:ext>
                  </a:extLst>
                </xdr:cNvPr>
                <xdr:cNvSpPr/>
              </xdr:nvSpPr>
              <xdr:spPr>
                <a:xfrm>
                  <a:off x="8181242" y="918751"/>
                  <a:ext cx="1559169" cy="28101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-772</a:t>
                  </a:r>
                </a:p>
              </xdr:txBody>
            </xdr:sp>
            <xdr:sp macro="" textlink="">
              <xdr:nvSpPr>
                <xdr:cNvPr id="109" name="Rectangle 108">
                  <a:extLst>
                    <a:ext uri="{FF2B5EF4-FFF2-40B4-BE49-F238E27FC236}">
                      <a16:creationId xmlns:a16="http://schemas.microsoft.com/office/drawing/2014/main" id="{FA2F2569-E9F2-09ED-BD82-FABA07B232A2}"/>
                    </a:ext>
                  </a:extLst>
                </xdr:cNvPr>
                <xdr:cNvSpPr/>
              </xdr:nvSpPr>
              <xdr:spPr>
                <a:xfrm>
                  <a:off x="8261837" y="671430"/>
                  <a:ext cx="1148862" cy="243551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1744423-1</a:t>
                  </a:r>
                </a:p>
              </xdr:txBody>
            </xdr:sp>
          </xdr:grpSp>
          <xdr:sp macro="" textlink="">
            <xdr:nvSpPr>
              <xdr:cNvPr id="105" name="Rectangle 104">
                <a:extLst>
                  <a:ext uri="{FF2B5EF4-FFF2-40B4-BE49-F238E27FC236}">
                    <a16:creationId xmlns:a16="http://schemas.microsoft.com/office/drawing/2014/main" id="{50517BDA-9600-9D57-972D-5A56F21A67FD}"/>
                  </a:ext>
                </a:extLst>
              </xdr:cNvPr>
              <xdr:cNvSpPr/>
            </xdr:nvSpPr>
            <xdr:spPr>
              <a:xfrm>
                <a:off x="2005368" y="534915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39000048</a:t>
                </a:r>
              </a:p>
            </xdr:txBody>
          </xdr:sp>
        </xdr:grpSp>
        <xdr:sp macro="" textlink="">
          <xdr:nvSpPr>
            <xdr:cNvPr id="103" name="Rectangle 102">
              <a:extLst>
                <a:ext uri="{FF2B5EF4-FFF2-40B4-BE49-F238E27FC236}">
                  <a16:creationId xmlns:a16="http://schemas.microsoft.com/office/drawing/2014/main" id="{3D45EF5F-4B79-3ED2-0AD7-20308012FE56}"/>
                </a:ext>
              </a:extLst>
            </xdr:cNvPr>
            <xdr:cNvSpPr/>
          </xdr:nvSpPr>
          <xdr:spPr>
            <a:xfrm>
              <a:off x="1182485" y="1176479"/>
              <a:ext cx="1148862" cy="243552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39000048</a:t>
              </a:r>
            </a:p>
          </xdr:txBody>
        </xdr:sp>
      </xdr:grpSp>
      <xdr:cxnSp macro="">
        <xdr:nvCxnSpPr>
          <xdr:cNvPr id="99" name="Straight Connector 98">
            <a:extLst>
              <a:ext uri="{FF2B5EF4-FFF2-40B4-BE49-F238E27FC236}">
                <a16:creationId xmlns:a16="http://schemas.microsoft.com/office/drawing/2014/main" id="{25D09F87-E09E-1E49-326A-2170C37703B5}"/>
              </a:ext>
            </a:extLst>
          </xdr:cNvPr>
          <xdr:cNvCxnSpPr>
            <a:cxnSpLocks/>
            <a:endCxn id="117" idx="1"/>
          </xdr:cNvCxnSpPr>
        </xdr:nvCxnSpPr>
        <xdr:spPr>
          <a:xfrm flipV="1">
            <a:off x="1225061" y="1335920"/>
            <a:ext cx="4056184" cy="1040960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0" name="Rectangle 99">
            <a:extLst>
              <a:ext uri="{FF2B5EF4-FFF2-40B4-BE49-F238E27FC236}">
                <a16:creationId xmlns:a16="http://schemas.microsoft.com/office/drawing/2014/main" id="{59C2E9A0-639E-5427-7C21-E266244EFB66}"/>
              </a:ext>
            </a:extLst>
          </xdr:cNvPr>
          <xdr:cNvSpPr/>
        </xdr:nvSpPr>
        <xdr:spPr>
          <a:xfrm rot="20429602">
            <a:off x="967592" y="1781641"/>
            <a:ext cx="1367977" cy="2646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227028-8400</a:t>
            </a:r>
          </a:p>
        </xdr:txBody>
      </xdr:sp>
      <xdr:sp macro="" textlink="">
        <xdr:nvSpPr>
          <xdr:cNvPr id="101" name="Rectangle 100">
            <a:extLst>
              <a:ext uri="{FF2B5EF4-FFF2-40B4-BE49-F238E27FC236}">
                <a16:creationId xmlns:a16="http://schemas.microsoft.com/office/drawing/2014/main" id="{04209461-4502-E0EA-BB8A-C3EEA8ECE815}"/>
              </a:ext>
            </a:extLst>
          </xdr:cNvPr>
          <xdr:cNvSpPr/>
        </xdr:nvSpPr>
        <xdr:spPr>
          <a:xfrm rot="20441721">
            <a:off x="1200992" y="1912566"/>
            <a:ext cx="1304199" cy="31313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400">
                <a:solidFill>
                  <a:sysClr val="windowText" lastClr="000000"/>
                </a:solidFill>
              </a:rPr>
              <a:t>WIRE NO-417</a:t>
            </a:r>
          </a:p>
        </xdr:txBody>
      </xdr:sp>
    </xdr:grpSp>
    <xdr:clientData/>
  </xdr:twoCellAnchor>
  <xdr:twoCellAnchor>
    <xdr:from>
      <xdr:col>3</xdr:col>
      <xdr:colOff>285749</xdr:colOff>
      <xdr:row>54</xdr:row>
      <xdr:rowOff>15875</xdr:rowOff>
    </xdr:from>
    <xdr:to>
      <xdr:col>13</xdr:col>
      <xdr:colOff>0</xdr:colOff>
      <xdr:row>60</xdr:row>
      <xdr:rowOff>222250</xdr:rowOff>
    </xdr:to>
    <xdr:grpSp>
      <xdr:nvGrpSpPr>
        <xdr:cNvPr id="118" name="Group 117">
          <a:extLst>
            <a:ext uri="{FF2B5EF4-FFF2-40B4-BE49-F238E27FC236}">
              <a16:creationId xmlns:a16="http://schemas.microsoft.com/office/drawing/2014/main" id="{771479AE-C9ED-95A5-07C4-FFE9ECB628F3}"/>
            </a:ext>
          </a:extLst>
        </xdr:cNvPr>
        <xdr:cNvGrpSpPr/>
      </xdr:nvGrpSpPr>
      <xdr:grpSpPr>
        <a:xfrm>
          <a:off x="920749" y="24003000"/>
          <a:ext cx="17764126" cy="2873375"/>
          <a:chOff x="586153" y="396895"/>
          <a:chExt cx="10796954" cy="2041485"/>
        </a:xfrm>
      </xdr:grpSpPr>
      <xdr:grpSp>
        <xdr:nvGrpSpPr>
          <xdr:cNvPr id="119" name="Group 118">
            <a:extLst>
              <a:ext uri="{FF2B5EF4-FFF2-40B4-BE49-F238E27FC236}">
                <a16:creationId xmlns:a16="http://schemas.microsoft.com/office/drawing/2014/main" id="{BAA88348-D0EF-8C75-992E-71A416A782E2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123" name="Group 122">
              <a:extLst>
                <a:ext uri="{FF2B5EF4-FFF2-40B4-BE49-F238E27FC236}">
                  <a16:creationId xmlns:a16="http://schemas.microsoft.com/office/drawing/2014/main" id="{D33863BF-E9E8-5B94-897F-B80585F8AA2E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125" name="Group 124">
                <a:extLst>
                  <a:ext uri="{FF2B5EF4-FFF2-40B4-BE49-F238E27FC236}">
                    <a16:creationId xmlns:a16="http://schemas.microsoft.com/office/drawing/2014/main" id="{68C3DFC1-F5ED-78F9-B22C-BA0DAD16E775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697523" y="444694"/>
                <a:chExt cx="10796954" cy="2333674"/>
              </a:xfrm>
            </xdr:grpSpPr>
            <xdr:sp macro="" textlink="">
              <xdr:nvSpPr>
                <xdr:cNvPr id="128" name="Rectangle 127">
                  <a:extLst>
                    <a:ext uri="{FF2B5EF4-FFF2-40B4-BE49-F238E27FC236}">
                      <a16:creationId xmlns:a16="http://schemas.microsoft.com/office/drawing/2014/main" id="{44B363EF-F258-6D61-8B1F-16A9B279DF48}"/>
                    </a:ext>
                  </a:extLst>
                </xdr:cNvPr>
                <xdr:cNvSpPr/>
              </xdr:nvSpPr>
              <xdr:spPr>
                <a:xfrm>
                  <a:off x="697523" y="468922"/>
                  <a:ext cx="10796954" cy="230944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  <xdr:cxnSp macro="">
              <xdr:nvCxnSpPr>
                <xdr:cNvPr id="129" name="Straight Connector 128">
                  <a:extLst>
                    <a:ext uri="{FF2B5EF4-FFF2-40B4-BE49-F238E27FC236}">
                      <a16:creationId xmlns:a16="http://schemas.microsoft.com/office/drawing/2014/main" id="{2A75DA25-8E8B-60FD-ED41-30B28D946BBB}"/>
                    </a:ext>
                  </a:extLst>
                </xdr:cNvPr>
                <xdr:cNvCxnSpPr>
                  <a:cxnSpLocks/>
                  <a:endCxn id="134" idx="1"/>
                </xdr:cNvCxnSpPr>
              </xdr:nvCxnSpPr>
              <xdr:spPr>
                <a:xfrm>
                  <a:off x="1336431" y="1131231"/>
                  <a:ext cx="4056184" cy="386886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30" name="Straight Connector 129">
                  <a:extLst>
                    <a:ext uri="{FF2B5EF4-FFF2-40B4-BE49-F238E27FC236}">
                      <a16:creationId xmlns:a16="http://schemas.microsoft.com/office/drawing/2014/main" id="{8A646B62-BE8D-B4DA-99D3-FA4929A9E955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5873261" y="1518956"/>
                  <a:ext cx="4976447" cy="12660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31" name="Rectangle 130">
                  <a:extLst>
                    <a:ext uri="{FF2B5EF4-FFF2-40B4-BE49-F238E27FC236}">
                      <a16:creationId xmlns:a16="http://schemas.microsoft.com/office/drawing/2014/main" id="{28011AE2-405E-12AD-6ABF-5B7572ACF3E5}"/>
                    </a:ext>
                  </a:extLst>
                </xdr:cNvPr>
                <xdr:cNvSpPr/>
              </xdr:nvSpPr>
              <xdr:spPr>
                <a:xfrm>
                  <a:off x="5058507" y="1768740"/>
                  <a:ext cx="1148862" cy="27841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63130-2</a:t>
                  </a:r>
                </a:p>
              </xdr:txBody>
            </xdr:sp>
            <xdr:sp macro="" textlink="">
              <xdr:nvSpPr>
                <xdr:cNvPr id="132" name="Rectangle 131">
                  <a:extLst>
                    <a:ext uri="{FF2B5EF4-FFF2-40B4-BE49-F238E27FC236}">
                      <a16:creationId xmlns:a16="http://schemas.microsoft.com/office/drawing/2014/main" id="{E1EE6634-6FB4-607F-B1D6-ADEB5154EDB3}"/>
                    </a:ext>
                  </a:extLst>
                </xdr:cNvPr>
                <xdr:cNvSpPr/>
              </xdr:nvSpPr>
              <xdr:spPr>
                <a:xfrm>
                  <a:off x="1880081" y="868483"/>
                  <a:ext cx="1559169" cy="32486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-458</a:t>
                  </a:r>
                </a:p>
              </xdr:txBody>
            </xdr:sp>
            <xdr:sp macro="" textlink="">
              <xdr:nvSpPr>
                <xdr:cNvPr id="133" name="Rectangle 132">
                  <a:extLst>
                    <a:ext uri="{FF2B5EF4-FFF2-40B4-BE49-F238E27FC236}">
                      <a16:creationId xmlns:a16="http://schemas.microsoft.com/office/drawing/2014/main" id="{F7036CC1-9D43-8DC5-39B4-2C6A2D823526}"/>
                    </a:ext>
                  </a:extLst>
                </xdr:cNvPr>
                <xdr:cNvSpPr/>
              </xdr:nvSpPr>
              <xdr:spPr>
                <a:xfrm>
                  <a:off x="4292451" y="444694"/>
                  <a:ext cx="2637692" cy="517383"/>
                </a:xfrm>
                <a:prstGeom prst="rect">
                  <a:avLst/>
                </a:prstGeom>
                <a:noFill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2000" b="1">
                      <a:solidFill>
                        <a:sysClr val="windowText" lastClr="000000"/>
                      </a:solidFill>
                    </a:rPr>
                    <a:t>SPL-GND-1</a:t>
                  </a:r>
                </a:p>
              </xdr:txBody>
            </xdr:sp>
            <xdr:sp macro="" textlink="">
              <xdr:nvSpPr>
                <xdr:cNvPr id="134" name="Rectangle 133">
                  <a:extLst>
                    <a:ext uri="{FF2B5EF4-FFF2-40B4-BE49-F238E27FC236}">
                      <a16:creationId xmlns:a16="http://schemas.microsoft.com/office/drawing/2014/main" id="{CF245F2A-28AA-71A0-B9BF-12B464877F88}"/>
                    </a:ext>
                  </a:extLst>
                </xdr:cNvPr>
                <xdr:cNvSpPr/>
              </xdr:nvSpPr>
              <xdr:spPr>
                <a:xfrm>
                  <a:off x="5392615" y="1348142"/>
                  <a:ext cx="480646" cy="339952"/>
                </a:xfrm>
                <a:prstGeom prst="rect">
                  <a:avLst/>
                </a:prstGeom>
                <a:noFill/>
                <a:ln w="381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</xdr:grpSp>
          <xdr:sp macro="" textlink="">
            <xdr:nvSpPr>
              <xdr:cNvPr id="126" name="Rectangle 125">
                <a:extLst>
                  <a:ext uri="{FF2B5EF4-FFF2-40B4-BE49-F238E27FC236}">
                    <a16:creationId xmlns:a16="http://schemas.microsoft.com/office/drawing/2014/main" id="{2699D175-9372-E652-D073-B300988AAA96}"/>
                  </a:ext>
                </a:extLst>
              </xdr:cNvPr>
              <xdr:cNvSpPr/>
            </xdr:nvSpPr>
            <xdr:spPr>
              <a:xfrm>
                <a:off x="8181242" y="918751"/>
                <a:ext cx="1559169" cy="281015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WIRE NO -457</a:t>
                </a:r>
              </a:p>
            </xdr:txBody>
          </xdr:sp>
          <xdr:sp macro="" textlink="">
            <xdr:nvSpPr>
              <xdr:cNvPr id="127" name="Rectangle 126">
                <a:extLst>
                  <a:ext uri="{FF2B5EF4-FFF2-40B4-BE49-F238E27FC236}">
                    <a16:creationId xmlns:a16="http://schemas.microsoft.com/office/drawing/2014/main" id="{FA2F2569-E9F2-09ED-BD82-FABA07B232A2}"/>
                  </a:ext>
                </a:extLst>
              </xdr:cNvPr>
              <xdr:cNvSpPr/>
            </xdr:nvSpPr>
            <xdr:spPr>
              <a:xfrm>
                <a:off x="8261837" y="671430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39000040</a:t>
                </a:r>
              </a:p>
            </xdr:txBody>
          </xdr:sp>
        </xdr:grpSp>
        <xdr:sp macro="" textlink="">
          <xdr:nvSpPr>
            <xdr:cNvPr id="124" name="Rectangle 123">
              <a:extLst>
                <a:ext uri="{FF2B5EF4-FFF2-40B4-BE49-F238E27FC236}">
                  <a16:creationId xmlns:a16="http://schemas.microsoft.com/office/drawing/2014/main" id="{50517BDA-9600-9D57-972D-5A56F21A67FD}"/>
                </a:ext>
              </a:extLst>
            </xdr:cNvPr>
            <xdr:cNvSpPr/>
          </xdr:nvSpPr>
          <xdr:spPr>
            <a:xfrm>
              <a:off x="2005368" y="534915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39000048</a:t>
              </a:r>
            </a:p>
          </xdr:txBody>
        </xdr:sp>
      </xdr:grpSp>
      <xdr:cxnSp macro="">
        <xdr:nvCxnSpPr>
          <xdr:cNvPr id="120" name="Straight Connector 119">
            <a:extLst>
              <a:ext uri="{FF2B5EF4-FFF2-40B4-BE49-F238E27FC236}">
                <a16:creationId xmlns:a16="http://schemas.microsoft.com/office/drawing/2014/main" id="{25D09F87-E09E-1E49-326A-2170C37703B5}"/>
              </a:ext>
            </a:extLst>
          </xdr:cNvPr>
          <xdr:cNvCxnSpPr>
            <a:cxnSpLocks/>
            <a:endCxn id="134" idx="1"/>
          </xdr:cNvCxnSpPr>
        </xdr:nvCxnSpPr>
        <xdr:spPr>
          <a:xfrm flipV="1">
            <a:off x="1225061" y="1335920"/>
            <a:ext cx="4056184" cy="1040960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1" name="Rectangle 120">
            <a:extLst>
              <a:ext uri="{FF2B5EF4-FFF2-40B4-BE49-F238E27FC236}">
                <a16:creationId xmlns:a16="http://schemas.microsoft.com/office/drawing/2014/main" id="{59C2E9A0-639E-5427-7C21-E266244EFB66}"/>
              </a:ext>
            </a:extLst>
          </xdr:cNvPr>
          <xdr:cNvSpPr/>
        </xdr:nvSpPr>
        <xdr:spPr>
          <a:xfrm rot="20429602">
            <a:off x="967592" y="1781641"/>
            <a:ext cx="1367977" cy="2646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35745-0110</a:t>
            </a:r>
          </a:p>
        </xdr:txBody>
      </xdr:sp>
      <xdr:sp macro="" textlink="">
        <xdr:nvSpPr>
          <xdr:cNvPr id="122" name="Rectangle 121">
            <a:extLst>
              <a:ext uri="{FF2B5EF4-FFF2-40B4-BE49-F238E27FC236}">
                <a16:creationId xmlns:a16="http://schemas.microsoft.com/office/drawing/2014/main" id="{04209461-4502-E0EA-BB8A-C3EEA8ECE815}"/>
              </a:ext>
            </a:extLst>
          </xdr:cNvPr>
          <xdr:cNvSpPr/>
        </xdr:nvSpPr>
        <xdr:spPr>
          <a:xfrm rot="20441721">
            <a:off x="1200992" y="1912566"/>
            <a:ext cx="1304199" cy="31313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400">
                <a:solidFill>
                  <a:sysClr val="windowText" lastClr="000000"/>
                </a:solidFill>
              </a:rPr>
              <a:t>WIRE NO-857</a:t>
            </a:r>
          </a:p>
        </xdr:txBody>
      </xdr:sp>
    </xdr:grpSp>
    <xdr:clientData/>
  </xdr:twoCellAnchor>
  <xdr:twoCellAnchor>
    <xdr:from>
      <xdr:col>3</xdr:col>
      <xdr:colOff>492126</xdr:colOff>
      <xdr:row>60</xdr:row>
      <xdr:rowOff>238125</xdr:rowOff>
    </xdr:from>
    <xdr:to>
      <xdr:col>13</xdr:col>
      <xdr:colOff>0</xdr:colOff>
      <xdr:row>66</xdr:row>
      <xdr:rowOff>111125</xdr:rowOff>
    </xdr:to>
    <xdr:grpSp>
      <xdr:nvGrpSpPr>
        <xdr:cNvPr id="135" name="Group 134">
          <a:extLst>
            <a:ext uri="{FF2B5EF4-FFF2-40B4-BE49-F238E27FC236}">
              <a16:creationId xmlns:a16="http://schemas.microsoft.com/office/drawing/2014/main" id="{047EC5C6-1E11-27AE-BA64-511061DDF240}"/>
            </a:ext>
          </a:extLst>
        </xdr:cNvPr>
        <xdr:cNvGrpSpPr/>
      </xdr:nvGrpSpPr>
      <xdr:grpSpPr>
        <a:xfrm>
          <a:off x="1127126" y="26892250"/>
          <a:ext cx="17557749" cy="2540000"/>
          <a:chOff x="586153" y="396895"/>
          <a:chExt cx="10796954" cy="2056776"/>
        </a:xfrm>
      </xdr:grpSpPr>
      <xdr:grpSp>
        <xdr:nvGrpSpPr>
          <xdr:cNvPr id="136" name="Group 135">
            <a:extLst>
              <a:ext uri="{FF2B5EF4-FFF2-40B4-BE49-F238E27FC236}">
                <a16:creationId xmlns:a16="http://schemas.microsoft.com/office/drawing/2014/main" id="{771479AE-C9ED-95A5-07C4-FFE9ECB628F3}"/>
              </a:ext>
            </a:extLst>
          </xdr:cNvPr>
          <xdr:cNvGrpSpPr/>
        </xdr:nvGrpSpPr>
        <xdr:grpSpPr>
          <a:xfrm>
            <a:off x="586153" y="396895"/>
            <a:ext cx="10796954" cy="2056776"/>
            <a:chOff x="586153" y="396895"/>
            <a:chExt cx="10796954" cy="2056776"/>
          </a:xfrm>
        </xdr:grpSpPr>
        <xdr:grpSp>
          <xdr:nvGrpSpPr>
            <xdr:cNvPr id="141" name="Group 140">
              <a:extLst>
                <a:ext uri="{FF2B5EF4-FFF2-40B4-BE49-F238E27FC236}">
                  <a16:creationId xmlns:a16="http://schemas.microsoft.com/office/drawing/2014/main" id="{BAA88348-D0EF-8C75-992E-71A416A782E2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144" name="Group 143">
                <a:extLst>
                  <a:ext uri="{FF2B5EF4-FFF2-40B4-BE49-F238E27FC236}">
                    <a16:creationId xmlns:a16="http://schemas.microsoft.com/office/drawing/2014/main" id="{D33863BF-E9E8-5B94-897F-B80585F8AA2E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586153" y="396895"/>
                <a:chExt cx="10796954" cy="2041485"/>
              </a:xfrm>
            </xdr:grpSpPr>
            <xdr:grpSp>
              <xdr:nvGrpSpPr>
                <xdr:cNvPr id="146" name="Group 145">
                  <a:extLst>
                    <a:ext uri="{FF2B5EF4-FFF2-40B4-BE49-F238E27FC236}">
                      <a16:creationId xmlns:a16="http://schemas.microsoft.com/office/drawing/2014/main" id="{68C3DFC1-F5ED-78F9-B22C-BA0DAD16E775}"/>
                    </a:ext>
                  </a:extLst>
                </xdr:cNvPr>
                <xdr:cNvGrpSpPr/>
              </xdr:nvGrpSpPr>
              <xdr:grpSpPr>
                <a:xfrm>
                  <a:off x="586153" y="396895"/>
                  <a:ext cx="10796954" cy="2041485"/>
                  <a:chOff x="697523" y="444694"/>
                  <a:chExt cx="10796954" cy="2333674"/>
                </a:xfrm>
              </xdr:grpSpPr>
              <xdr:sp macro="" textlink="">
                <xdr:nvSpPr>
                  <xdr:cNvPr id="149" name="Rectangle 148">
                    <a:extLst>
                      <a:ext uri="{FF2B5EF4-FFF2-40B4-BE49-F238E27FC236}">
                        <a16:creationId xmlns:a16="http://schemas.microsoft.com/office/drawing/2014/main" id="{44B363EF-F258-6D61-8B1F-16A9B279DF48}"/>
                      </a:ext>
                    </a:extLst>
                  </xdr:cNvPr>
                  <xdr:cNvSpPr/>
                </xdr:nvSpPr>
                <xdr:spPr>
                  <a:xfrm>
                    <a:off x="697523" y="468922"/>
                    <a:ext cx="10796954" cy="230944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  <xdr:cxnSp macro="">
                <xdr:nvCxnSpPr>
                  <xdr:cNvPr id="150" name="Straight Connector 149">
                    <a:extLst>
                      <a:ext uri="{FF2B5EF4-FFF2-40B4-BE49-F238E27FC236}">
                        <a16:creationId xmlns:a16="http://schemas.microsoft.com/office/drawing/2014/main" id="{2A75DA25-8E8B-60FD-ED41-30B28D946BBB}"/>
                      </a:ext>
                    </a:extLst>
                  </xdr:cNvPr>
                  <xdr:cNvCxnSpPr>
                    <a:cxnSpLocks/>
                    <a:endCxn id="155" idx="1"/>
                  </xdr:cNvCxnSpPr>
                </xdr:nvCxnSpPr>
                <xdr:spPr>
                  <a:xfrm>
                    <a:off x="1336431" y="1131231"/>
                    <a:ext cx="4056184" cy="386886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51" name="Straight Connector 150">
                    <a:extLst>
                      <a:ext uri="{FF2B5EF4-FFF2-40B4-BE49-F238E27FC236}">
                        <a16:creationId xmlns:a16="http://schemas.microsoft.com/office/drawing/2014/main" id="{8A646B62-BE8D-B4DA-99D3-FA4929A9E955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 flipV="1">
                    <a:off x="5873261" y="885535"/>
                    <a:ext cx="5088890" cy="633420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152" name="Rectangle 151">
                    <a:extLst>
                      <a:ext uri="{FF2B5EF4-FFF2-40B4-BE49-F238E27FC236}">
                        <a16:creationId xmlns:a16="http://schemas.microsoft.com/office/drawing/2014/main" id="{28011AE2-405E-12AD-6ABF-5B7572ACF3E5}"/>
                      </a:ext>
                    </a:extLst>
                  </xdr:cNvPr>
                  <xdr:cNvSpPr/>
                </xdr:nvSpPr>
                <xdr:spPr>
                  <a:xfrm>
                    <a:off x="5058507" y="1768740"/>
                    <a:ext cx="1148862" cy="27841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63130-2</a:t>
                    </a:r>
                  </a:p>
                </xdr:txBody>
              </xdr:sp>
              <xdr:sp macro="" textlink="">
                <xdr:nvSpPr>
                  <xdr:cNvPr id="153" name="Rectangle 152">
                    <a:extLst>
                      <a:ext uri="{FF2B5EF4-FFF2-40B4-BE49-F238E27FC236}">
                        <a16:creationId xmlns:a16="http://schemas.microsoft.com/office/drawing/2014/main" id="{E1EE6634-6FB4-607F-B1D6-ADEB5154EDB3}"/>
                      </a:ext>
                    </a:extLst>
                  </xdr:cNvPr>
                  <xdr:cNvSpPr/>
                </xdr:nvSpPr>
                <xdr:spPr>
                  <a:xfrm>
                    <a:off x="1880081" y="868483"/>
                    <a:ext cx="1559169" cy="32486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WIRE NO -754</a:t>
                    </a:r>
                  </a:p>
                </xdr:txBody>
              </xdr:sp>
              <xdr:sp macro="" textlink="">
                <xdr:nvSpPr>
                  <xdr:cNvPr id="154" name="Rectangle 153">
                    <a:extLst>
                      <a:ext uri="{FF2B5EF4-FFF2-40B4-BE49-F238E27FC236}">
                        <a16:creationId xmlns:a16="http://schemas.microsoft.com/office/drawing/2014/main" id="{F7036CC1-9D43-8DC5-39B4-2C6A2D823526}"/>
                      </a:ext>
                    </a:extLst>
                  </xdr:cNvPr>
                  <xdr:cNvSpPr/>
                </xdr:nvSpPr>
                <xdr:spPr>
                  <a:xfrm>
                    <a:off x="4292451" y="444694"/>
                    <a:ext cx="2637692" cy="517383"/>
                  </a:xfrm>
                  <a:prstGeom prst="rect">
                    <a:avLst/>
                  </a:prstGeom>
                  <a:no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2000" b="1">
                        <a:solidFill>
                          <a:sysClr val="windowText" lastClr="000000"/>
                        </a:solidFill>
                      </a:rPr>
                      <a:t>SPL-GND</a:t>
                    </a:r>
                  </a:p>
                </xdr:txBody>
              </xdr:sp>
              <xdr:sp macro="" textlink="">
                <xdr:nvSpPr>
                  <xdr:cNvPr id="155" name="Rectangle 154">
                    <a:extLst>
                      <a:ext uri="{FF2B5EF4-FFF2-40B4-BE49-F238E27FC236}">
                        <a16:creationId xmlns:a16="http://schemas.microsoft.com/office/drawing/2014/main" id="{CF245F2A-28AA-71A0-B9BF-12B464877F88}"/>
                      </a:ext>
                    </a:extLst>
                  </xdr:cNvPr>
                  <xdr:cNvSpPr/>
                </xdr:nvSpPr>
                <xdr:spPr>
                  <a:xfrm>
                    <a:off x="5392615" y="1348142"/>
                    <a:ext cx="480646" cy="339952"/>
                  </a:xfrm>
                  <a:prstGeom prst="rect">
                    <a:avLst/>
                  </a:prstGeom>
                  <a:noFill/>
                  <a:ln w="381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</xdr:grpSp>
            <xdr:sp macro="" textlink="">
              <xdr:nvSpPr>
                <xdr:cNvPr id="147" name="Rectangle 146">
                  <a:extLst>
                    <a:ext uri="{FF2B5EF4-FFF2-40B4-BE49-F238E27FC236}">
                      <a16:creationId xmlns:a16="http://schemas.microsoft.com/office/drawing/2014/main" id="{2699D175-9372-E652-D073-B300988AAA96}"/>
                    </a:ext>
                  </a:extLst>
                </xdr:cNvPr>
                <xdr:cNvSpPr/>
              </xdr:nvSpPr>
              <xdr:spPr>
                <a:xfrm>
                  <a:off x="7939452" y="728864"/>
                  <a:ext cx="1559169" cy="28101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-749</a:t>
                  </a:r>
                </a:p>
              </xdr:txBody>
            </xdr:sp>
            <xdr:sp macro="" textlink="">
              <xdr:nvSpPr>
                <xdr:cNvPr id="148" name="Rectangle 147">
                  <a:extLst>
                    <a:ext uri="{FF2B5EF4-FFF2-40B4-BE49-F238E27FC236}">
                      <a16:creationId xmlns:a16="http://schemas.microsoft.com/office/drawing/2014/main" id="{FA2F2569-E9F2-09ED-BD82-FABA07B232A2}"/>
                    </a:ext>
                  </a:extLst>
                </xdr:cNvPr>
                <xdr:cNvSpPr/>
              </xdr:nvSpPr>
              <xdr:spPr>
                <a:xfrm>
                  <a:off x="8144606" y="581180"/>
                  <a:ext cx="1148862" cy="243551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177916-1</a:t>
                  </a:r>
                </a:p>
              </xdr:txBody>
            </xdr:sp>
          </xdr:grpSp>
          <xdr:sp macro="" textlink="">
            <xdr:nvSpPr>
              <xdr:cNvPr id="145" name="Rectangle 144">
                <a:extLst>
                  <a:ext uri="{FF2B5EF4-FFF2-40B4-BE49-F238E27FC236}">
                    <a16:creationId xmlns:a16="http://schemas.microsoft.com/office/drawing/2014/main" id="{50517BDA-9600-9D57-972D-5A56F21A67FD}"/>
                  </a:ext>
                </a:extLst>
              </xdr:cNvPr>
              <xdr:cNvSpPr/>
            </xdr:nvSpPr>
            <xdr:spPr>
              <a:xfrm>
                <a:off x="2005368" y="534915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39000048</a:t>
                </a:r>
              </a:p>
            </xdr:txBody>
          </xdr:sp>
        </xdr:grpSp>
        <xdr:cxnSp macro="">
          <xdr:nvCxnSpPr>
            <xdr:cNvPr id="142" name="Straight Connector 141">
              <a:extLst>
                <a:ext uri="{FF2B5EF4-FFF2-40B4-BE49-F238E27FC236}">
                  <a16:creationId xmlns:a16="http://schemas.microsoft.com/office/drawing/2014/main" id="{25D09F87-E09E-1E49-326A-2170C37703B5}"/>
                </a:ext>
              </a:extLst>
            </xdr:cNvPr>
            <xdr:cNvCxnSpPr>
              <a:cxnSpLocks/>
            </xdr:cNvCxnSpPr>
          </xdr:nvCxnSpPr>
          <xdr:spPr>
            <a:xfrm flipV="1">
              <a:off x="1225061" y="1387087"/>
              <a:ext cx="4056184" cy="1066584"/>
            </a:xfrm>
            <a:prstGeom prst="line">
              <a:avLst/>
            </a:prstGeom>
            <a:ln w="3810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3" name="Rectangle 142">
              <a:extLst>
                <a:ext uri="{FF2B5EF4-FFF2-40B4-BE49-F238E27FC236}">
                  <a16:creationId xmlns:a16="http://schemas.microsoft.com/office/drawing/2014/main" id="{04209461-4502-E0EA-BB8A-C3EEA8ECE815}"/>
                </a:ext>
              </a:extLst>
            </xdr:cNvPr>
            <xdr:cNvSpPr/>
          </xdr:nvSpPr>
          <xdr:spPr>
            <a:xfrm rot="20441721">
              <a:off x="1200992" y="1912566"/>
              <a:ext cx="1304199" cy="313134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400">
                  <a:solidFill>
                    <a:sysClr val="windowText" lastClr="000000"/>
                  </a:solidFill>
                </a:rPr>
                <a:t>WIRE NO-846</a:t>
              </a:r>
            </a:p>
          </xdr:txBody>
        </xdr:sp>
      </xdr:grpSp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BDF851AB-C2A5-B426-5389-4F37D702E754}"/>
              </a:ext>
            </a:extLst>
          </xdr:cNvPr>
          <xdr:cNvCxnSpPr>
            <a:cxnSpLocks/>
          </xdr:cNvCxnSpPr>
        </xdr:nvCxnSpPr>
        <xdr:spPr>
          <a:xfrm>
            <a:off x="5778016" y="1347605"/>
            <a:ext cx="5096941" cy="566339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8" name="Rectangle 137">
            <a:extLst>
              <a:ext uri="{FF2B5EF4-FFF2-40B4-BE49-F238E27FC236}">
                <a16:creationId xmlns:a16="http://schemas.microsoft.com/office/drawing/2014/main" id="{F2945733-C6F2-6E3C-6241-DA4128EEF615}"/>
              </a:ext>
            </a:extLst>
          </xdr:cNvPr>
          <xdr:cNvSpPr/>
        </xdr:nvSpPr>
        <xdr:spPr>
          <a:xfrm>
            <a:off x="8666281" y="1215232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1744144-1</a:t>
            </a:r>
          </a:p>
        </xdr:txBody>
      </xdr:sp>
      <xdr:sp macro="" textlink="">
        <xdr:nvSpPr>
          <xdr:cNvPr id="139" name="Rectangle 138">
            <a:extLst>
              <a:ext uri="{FF2B5EF4-FFF2-40B4-BE49-F238E27FC236}">
                <a16:creationId xmlns:a16="http://schemas.microsoft.com/office/drawing/2014/main" id="{441FD30A-7AEB-7B05-4AE6-0CCD87B401C6}"/>
              </a:ext>
            </a:extLst>
          </xdr:cNvPr>
          <xdr:cNvSpPr/>
        </xdr:nvSpPr>
        <xdr:spPr>
          <a:xfrm>
            <a:off x="8431820" y="1410786"/>
            <a:ext cx="1559169" cy="28101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WIRE NO -393</a:t>
            </a:r>
          </a:p>
        </xdr:txBody>
      </xdr:sp>
      <xdr:sp macro="" textlink="">
        <xdr:nvSpPr>
          <xdr:cNvPr id="140" name="Rectangle 139">
            <a:extLst>
              <a:ext uri="{FF2B5EF4-FFF2-40B4-BE49-F238E27FC236}">
                <a16:creationId xmlns:a16="http://schemas.microsoft.com/office/drawing/2014/main" id="{8AC6E2FA-1365-83BD-105A-1E5C0888D6FA}"/>
              </a:ext>
            </a:extLst>
          </xdr:cNvPr>
          <xdr:cNvSpPr/>
        </xdr:nvSpPr>
        <xdr:spPr>
          <a:xfrm rot="20403099">
            <a:off x="1192979" y="1754447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39000048</a:t>
            </a:r>
          </a:p>
        </xdr:txBody>
      </xdr:sp>
    </xdr:grpSp>
    <xdr:clientData/>
  </xdr:twoCellAnchor>
  <xdr:twoCellAnchor>
    <xdr:from>
      <xdr:col>3</xdr:col>
      <xdr:colOff>539750</xdr:colOff>
      <xdr:row>68</xdr:row>
      <xdr:rowOff>254000</xdr:rowOff>
    </xdr:from>
    <xdr:to>
      <xdr:col>13</xdr:col>
      <xdr:colOff>0</xdr:colOff>
      <xdr:row>74</xdr:row>
      <xdr:rowOff>333375</xdr:rowOff>
    </xdr:to>
    <xdr:grpSp>
      <xdr:nvGrpSpPr>
        <xdr:cNvPr id="157" name="Group 156">
          <a:extLst>
            <a:ext uri="{FF2B5EF4-FFF2-40B4-BE49-F238E27FC236}">
              <a16:creationId xmlns:a16="http://schemas.microsoft.com/office/drawing/2014/main" id="{047EC5C6-1E11-27AE-BA64-511061DDF240}"/>
            </a:ext>
          </a:extLst>
        </xdr:cNvPr>
        <xdr:cNvGrpSpPr/>
      </xdr:nvGrpSpPr>
      <xdr:grpSpPr>
        <a:xfrm>
          <a:off x="1174750" y="30464125"/>
          <a:ext cx="17510125" cy="2746375"/>
          <a:chOff x="586153" y="396895"/>
          <a:chExt cx="10796954" cy="2041485"/>
        </a:xfrm>
      </xdr:grpSpPr>
      <xdr:grpSp>
        <xdr:nvGrpSpPr>
          <xdr:cNvPr id="158" name="Group 157">
            <a:extLst>
              <a:ext uri="{FF2B5EF4-FFF2-40B4-BE49-F238E27FC236}">
                <a16:creationId xmlns:a16="http://schemas.microsoft.com/office/drawing/2014/main" id="{BAA88348-D0EF-8C75-992E-71A416A782E2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162" name="Group 161">
              <a:extLst>
                <a:ext uri="{FF2B5EF4-FFF2-40B4-BE49-F238E27FC236}">
                  <a16:creationId xmlns:a16="http://schemas.microsoft.com/office/drawing/2014/main" id="{D33863BF-E9E8-5B94-897F-B80585F8AA2E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164" name="Group 163">
                <a:extLst>
                  <a:ext uri="{FF2B5EF4-FFF2-40B4-BE49-F238E27FC236}">
                    <a16:creationId xmlns:a16="http://schemas.microsoft.com/office/drawing/2014/main" id="{68C3DFC1-F5ED-78F9-B22C-BA0DAD16E775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697523" y="444694"/>
                <a:chExt cx="10796954" cy="2333674"/>
              </a:xfrm>
            </xdr:grpSpPr>
            <xdr:sp macro="" textlink="">
              <xdr:nvSpPr>
                <xdr:cNvPr id="167" name="Rectangle 166">
                  <a:extLst>
                    <a:ext uri="{FF2B5EF4-FFF2-40B4-BE49-F238E27FC236}">
                      <a16:creationId xmlns:a16="http://schemas.microsoft.com/office/drawing/2014/main" id="{44B363EF-F258-6D61-8B1F-16A9B279DF48}"/>
                    </a:ext>
                  </a:extLst>
                </xdr:cNvPr>
                <xdr:cNvSpPr/>
              </xdr:nvSpPr>
              <xdr:spPr>
                <a:xfrm>
                  <a:off x="697523" y="468922"/>
                  <a:ext cx="10796954" cy="230944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  <xdr:cxnSp macro="">
              <xdr:nvCxnSpPr>
                <xdr:cNvPr id="168" name="Straight Connector 167">
                  <a:extLst>
                    <a:ext uri="{FF2B5EF4-FFF2-40B4-BE49-F238E27FC236}">
                      <a16:creationId xmlns:a16="http://schemas.microsoft.com/office/drawing/2014/main" id="{2A75DA25-8E8B-60FD-ED41-30B28D946BBB}"/>
                    </a:ext>
                  </a:extLst>
                </xdr:cNvPr>
                <xdr:cNvCxnSpPr>
                  <a:cxnSpLocks/>
                  <a:endCxn id="173" idx="1"/>
                </xdr:cNvCxnSpPr>
              </xdr:nvCxnSpPr>
              <xdr:spPr>
                <a:xfrm flipV="1">
                  <a:off x="1166447" y="1518118"/>
                  <a:ext cx="4226168" cy="105528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69" name="Straight Connector 168">
                  <a:extLst>
                    <a:ext uri="{FF2B5EF4-FFF2-40B4-BE49-F238E27FC236}">
                      <a16:creationId xmlns:a16="http://schemas.microsoft.com/office/drawing/2014/main" id="{8A646B62-BE8D-B4DA-99D3-FA4929A9E955}"/>
                    </a:ext>
                  </a:extLst>
                </xdr:cNvPr>
                <xdr:cNvCxnSpPr>
                  <a:cxnSpLocks/>
                </xdr:cNvCxnSpPr>
              </xdr:nvCxnSpPr>
              <xdr:spPr>
                <a:xfrm flipV="1">
                  <a:off x="5873261" y="849377"/>
                  <a:ext cx="5032493" cy="669579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70" name="Rectangle 169">
                  <a:extLst>
                    <a:ext uri="{FF2B5EF4-FFF2-40B4-BE49-F238E27FC236}">
                      <a16:creationId xmlns:a16="http://schemas.microsoft.com/office/drawing/2014/main" id="{28011AE2-405E-12AD-6ABF-5B7572ACF3E5}"/>
                    </a:ext>
                  </a:extLst>
                </xdr:cNvPr>
                <xdr:cNvSpPr/>
              </xdr:nvSpPr>
              <xdr:spPr>
                <a:xfrm>
                  <a:off x="5058507" y="1768740"/>
                  <a:ext cx="1148862" cy="27841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63130-2</a:t>
                  </a:r>
                </a:p>
              </xdr:txBody>
            </xdr:sp>
            <xdr:sp macro="" textlink="">
              <xdr:nvSpPr>
                <xdr:cNvPr id="171" name="Rectangle 170">
                  <a:extLst>
                    <a:ext uri="{FF2B5EF4-FFF2-40B4-BE49-F238E27FC236}">
                      <a16:creationId xmlns:a16="http://schemas.microsoft.com/office/drawing/2014/main" id="{E1EE6634-6FB4-607F-B1D6-ADEB5154EDB3}"/>
                    </a:ext>
                  </a:extLst>
                </xdr:cNvPr>
                <xdr:cNvSpPr/>
              </xdr:nvSpPr>
              <xdr:spPr>
                <a:xfrm>
                  <a:off x="1911584" y="1133378"/>
                  <a:ext cx="1559169" cy="32486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-756</a:t>
                  </a:r>
                </a:p>
              </xdr:txBody>
            </xdr:sp>
            <xdr:sp macro="" textlink="">
              <xdr:nvSpPr>
                <xdr:cNvPr id="172" name="Rectangle 171">
                  <a:extLst>
                    <a:ext uri="{FF2B5EF4-FFF2-40B4-BE49-F238E27FC236}">
                      <a16:creationId xmlns:a16="http://schemas.microsoft.com/office/drawing/2014/main" id="{F7036CC1-9D43-8DC5-39B4-2C6A2D823526}"/>
                    </a:ext>
                  </a:extLst>
                </xdr:cNvPr>
                <xdr:cNvSpPr/>
              </xdr:nvSpPr>
              <xdr:spPr>
                <a:xfrm>
                  <a:off x="4292451" y="444694"/>
                  <a:ext cx="2637692" cy="517383"/>
                </a:xfrm>
                <a:prstGeom prst="rect">
                  <a:avLst/>
                </a:prstGeom>
                <a:noFill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2000" b="1">
                      <a:solidFill>
                        <a:sysClr val="windowText" lastClr="000000"/>
                      </a:solidFill>
                    </a:rPr>
                    <a:t>SPL-100 CH</a:t>
                  </a:r>
                </a:p>
              </xdr:txBody>
            </xdr:sp>
            <xdr:sp macro="" textlink="">
              <xdr:nvSpPr>
                <xdr:cNvPr id="173" name="Rectangle 172">
                  <a:extLst>
                    <a:ext uri="{FF2B5EF4-FFF2-40B4-BE49-F238E27FC236}">
                      <a16:creationId xmlns:a16="http://schemas.microsoft.com/office/drawing/2014/main" id="{CF245F2A-28AA-71A0-B9BF-12B464877F88}"/>
                    </a:ext>
                  </a:extLst>
                </xdr:cNvPr>
                <xdr:cNvSpPr/>
              </xdr:nvSpPr>
              <xdr:spPr>
                <a:xfrm>
                  <a:off x="5392615" y="1348142"/>
                  <a:ext cx="480646" cy="339952"/>
                </a:xfrm>
                <a:prstGeom prst="rect">
                  <a:avLst/>
                </a:prstGeom>
                <a:noFill/>
                <a:ln w="381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</xdr:grpSp>
          <xdr:sp macro="" textlink="">
            <xdr:nvSpPr>
              <xdr:cNvPr id="165" name="Rectangle 164">
                <a:extLst>
                  <a:ext uri="{FF2B5EF4-FFF2-40B4-BE49-F238E27FC236}">
                    <a16:creationId xmlns:a16="http://schemas.microsoft.com/office/drawing/2014/main" id="{2699D175-9372-E652-D073-B300988AAA96}"/>
                  </a:ext>
                </a:extLst>
              </xdr:cNvPr>
              <xdr:cNvSpPr/>
            </xdr:nvSpPr>
            <xdr:spPr>
              <a:xfrm>
                <a:off x="7939452" y="728864"/>
                <a:ext cx="1559169" cy="281015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WIRE NO -842</a:t>
                </a:r>
              </a:p>
            </xdr:txBody>
          </xdr:sp>
          <xdr:sp macro="" textlink="">
            <xdr:nvSpPr>
              <xdr:cNvPr id="166" name="Rectangle 165">
                <a:extLst>
                  <a:ext uri="{FF2B5EF4-FFF2-40B4-BE49-F238E27FC236}">
                    <a16:creationId xmlns:a16="http://schemas.microsoft.com/office/drawing/2014/main" id="{FA2F2569-E9F2-09ED-BD82-FABA07B232A2}"/>
                  </a:ext>
                </a:extLst>
              </xdr:cNvPr>
              <xdr:cNvSpPr/>
            </xdr:nvSpPr>
            <xdr:spPr>
              <a:xfrm>
                <a:off x="8144605" y="557919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39000048</a:t>
                </a:r>
              </a:p>
            </xdr:txBody>
          </xdr:sp>
        </xdr:grpSp>
        <xdr:sp macro="" textlink="">
          <xdr:nvSpPr>
            <xdr:cNvPr id="163" name="Rectangle 162">
              <a:extLst>
                <a:ext uri="{FF2B5EF4-FFF2-40B4-BE49-F238E27FC236}">
                  <a16:creationId xmlns:a16="http://schemas.microsoft.com/office/drawing/2014/main" id="{50517BDA-9600-9D57-972D-5A56F21A67FD}"/>
                </a:ext>
              </a:extLst>
            </xdr:cNvPr>
            <xdr:cNvSpPr/>
          </xdr:nvSpPr>
          <xdr:spPr>
            <a:xfrm>
              <a:off x="2005367" y="755801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1744423-1</a:t>
              </a:r>
            </a:p>
          </xdr:txBody>
        </xdr:sp>
      </xdr:grpSp>
      <xdr:cxnSp macro="">
        <xdr:nvCxnSpPr>
          <xdr:cNvPr id="159" name="Straight Connector 158">
            <a:extLst>
              <a:ext uri="{FF2B5EF4-FFF2-40B4-BE49-F238E27FC236}">
                <a16:creationId xmlns:a16="http://schemas.microsoft.com/office/drawing/2014/main" id="{BDF851AB-C2A5-B426-5389-4F37D702E754}"/>
              </a:ext>
            </a:extLst>
          </xdr:cNvPr>
          <xdr:cNvCxnSpPr>
            <a:cxnSpLocks/>
          </xdr:cNvCxnSpPr>
        </xdr:nvCxnSpPr>
        <xdr:spPr>
          <a:xfrm>
            <a:off x="5778016" y="1347605"/>
            <a:ext cx="5096941" cy="566339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0" name="Rectangle 159">
            <a:extLst>
              <a:ext uri="{FF2B5EF4-FFF2-40B4-BE49-F238E27FC236}">
                <a16:creationId xmlns:a16="http://schemas.microsoft.com/office/drawing/2014/main" id="{F2945733-C6F2-6E3C-6241-DA4128EEF615}"/>
              </a:ext>
            </a:extLst>
          </xdr:cNvPr>
          <xdr:cNvSpPr/>
        </xdr:nvSpPr>
        <xdr:spPr>
          <a:xfrm>
            <a:off x="8666281" y="1215232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39000048</a:t>
            </a:r>
          </a:p>
        </xdr:txBody>
      </xdr:sp>
      <xdr:sp macro="" textlink="">
        <xdr:nvSpPr>
          <xdr:cNvPr id="161" name="Rectangle 160">
            <a:extLst>
              <a:ext uri="{FF2B5EF4-FFF2-40B4-BE49-F238E27FC236}">
                <a16:creationId xmlns:a16="http://schemas.microsoft.com/office/drawing/2014/main" id="{441FD30A-7AEB-7B05-4AE6-0CCD87B401C6}"/>
              </a:ext>
            </a:extLst>
          </xdr:cNvPr>
          <xdr:cNvSpPr/>
        </xdr:nvSpPr>
        <xdr:spPr>
          <a:xfrm>
            <a:off x="8431820" y="1410786"/>
            <a:ext cx="1559169" cy="28101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WIRE NO -921</a:t>
            </a:r>
          </a:p>
        </xdr:txBody>
      </xdr:sp>
    </xdr:grpSp>
    <xdr:clientData/>
  </xdr:twoCellAnchor>
  <xdr:twoCellAnchor>
    <xdr:from>
      <xdr:col>3</xdr:col>
      <xdr:colOff>222251</xdr:colOff>
      <xdr:row>75</xdr:row>
      <xdr:rowOff>79375</xdr:rowOff>
    </xdr:from>
    <xdr:to>
      <xdr:col>13</xdr:col>
      <xdr:colOff>269875</xdr:colOff>
      <xdr:row>82</xdr:row>
      <xdr:rowOff>222250</xdr:rowOff>
    </xdr:to>
    <xdr:grpSp>
      <xdr:nvGrpSpPr>
        <xdr:cNvPr id="175" name="Group 174">
          <a:extLst>
            <a:ext uri="{FF2B5EF4-FFF2-40B4-BE49-F238E27FC236}">
              <a16:creationId xmlns:a16="http://schemas.microsoft.com/office/drawing/2014/main" id="{8312F5B0-35DA-BD45-18CE-BE37231F2775}"/>
            </a:ext>
          </a:extLst>
        </xdr:cNvPr>
        <xdr:cNvGrpSpPr/>
      </xdr:nvGrpSpPr>
      <xdr:grpSpPr>
        <a:xfrm>
          <a:off x="857251" y="33401000"/>
          <a:ext cx="17906999" cy="3254375"/>
          <a:chOff x="586153" y="396895"/>
          <a:chExt cx="10796954" cy="2041485"/>
        </a:xfrm>
      </xdr:grpSpPr>
      <xdr:grpSp>
        <xdr:nvGrpSpPr>
          <xdr:cNvPr id="176" name="Group 175">
            <a:extLst>
              <a:ext uri="{FF2B5EF4-FFF2-40B4-BE49-F238E27FC236}">
                <a16:creationId xmlns:a16="http://schemas.microsoft.com/office/drawing/2014/main" id="{047EC5C6-1E11-27AE-BA64-511061DDF240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178" name="Group 177">
              <a:extLst>
                <a:ext uri="{FF2B5EF4-FFF2-40B4-BE49-F238E27FC236}">
                  <a16:creationId xmlns:a16="http://schemas.microsoft.com/office/drawing/2014/main" id="{BAA88348-D0EF-8C75-992E-71A416A782E2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182" name="Group 181">
                <a:extLst>
                  <a:ext uri="{FF2B5EF4-FFF2-40B4-BE49-F238E27FC236}">
                    <a16:creationId xmlns:a16="http://schemas.microsoft.com/office/drawing/2014/main" id="{D33863BF-E9E8-5B94-897F-B80585F8AA2E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586153" y="396895"/>
                <a:chExt cx="10796954" cy="2041485"/>
              </a:xfrm>
            </xdr:grpSpPr>
            <xdr:grpSp>
              <xdr:nvGrpSpPr>
                <xdr:cNvPr id="184" name="Group 183">
                  <a:extLst>
                    <a:ext uri="{FF2B5EF4-FFF2-40B4-BE49-F238E27FC236}">
                      <a16:creationId xmlns:a16="http://schemas.microsoft.com/office/drawing/2014/main" id="{68C3DFC1-F5ED-78F9-B22C-BA0DAD16E775}"/>
                    </a:ext>
                  </a:extLst>
                </xdr:cNvPr>
                <xdr:cNvGrpSpPr/>
              </xdr:nvGrpSpPr>
              <xdr:grpSpPr>
                <a:xfrm>
                  <a:off x="586153" y="396895"/>
                  <a:ext cx="10796954" cy="2041485"/>
                  <a:chOff x="697523" y="444694"/>
                  <a:chExt cx="10796954" cy="2333674"/>
                </a:xfrm>
              </xdr:grpSpPr>
              <xdr:sp macro="" textlink="">
                <xdr:nvSpPr>
                  <xdr:cNvPr id="186" name="Rectangle 185">
                    <a:extLst>
                      <a:ext uri="{FF2B5EF4-FFF2-40B4-BE49-F238E27FC236}">
                        <a16:creationId xmlns:a16="http://schemas.microsoft.com/office/drawing/2014/main" id="{44B363EF-F258-6D61-8B1F-16A9B279DF48}"/>
                      </a:ext>
                    </a:extLst>
                  </xdr:cNvPr>
                  <xdr:cNvSpPr/>
                </xdr:nvSpPr>
                <xdr:spPr>
                  <a:xfrm>
                    <a:off x="697523" y="468922"/>
                    <a:ext cx="10796954" cy="230944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  <xdr:cxnSp macro="">
                <xdr:nvCxnSpPr>
                  <xdr:cNvPr id="187" name="Straight Connector 186">
                    <a:extLst>
                      <a:ext uri="{FF2B5EF4-FFF2-40B4-BE49-F238E27FC236}">
                        <a16:creationId xmlns:a16="http://schemas.microsoft.com/office/drawing/2014/main" id="{2A75DA25-8E8B-60FD-ED41-30B28D946BBB}"/>
                      </a:ext>
                    </a:extLst>
                  </xdr:cNvPr>
                  <xdr:cNvCxnSpPr>
                    <a:cxnSpLocks/>
                    <a:endCxn id="192" idx="1"/>
                  </xdr:cNvCxnSpPr>
                </xdr:nvCxnSpPr>
                <xdr:spPr>
                  <a:xfrm flipV="1">
                    <a:off x="1166447" y="1518118"/>
                    <a:ext cx="4226168" cy="105528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88" name="Straight Connector 187">
                    <a:extLst>
                      <a:ext uri="{FF2B5EF4-FFF2-40B4-BE49-F238E27FC236}">
                        <a16:creationId xmlns:a16="http://schemas.microsoft.com/office/drawing/2014/main" id="{8A646B62-BE8D-B4DA-99D3-FA4929A9E955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 flipV="1">
                    <a:off x="5873261" y="797591"/>
                    <a:ext cx="4974442" cy="721365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189" name="Rectangle 188">
                    <a:extLst>
                      <a:ext uri="{FF2B5EF4-FFF2-40B4-BE49-F238E27FC236}">
                        <a16:creationId xmlns:a16="http://schemas.microsoft.com/office/drawing/2014/main" id="{28011AE2-405E-12AD-6ABF-5B7572ACF3E5}"/>
                      </a:ext>
                    </a:extLst>
                  </xdr:cNvPr>
                  <xdr:cNvSpPr/>
                </xdr:nvSpPr>
                <xdr:spPr>
                  <a:xfrm>
                    <a:off x="5058507" y="1768740"/>
                    <a:ext cx="1148862" cy="27841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63130-2</a:t>
                    </a:r>
                  </a:p>
                </xdr:txBody>
              </xdr:sp>
              <xdr:sp macro="" textlink="">
                <xdr:nvSpPr>
                  <xdr:cNvPr id="190" name="Rectangle 189">
                    <a:extLst>
                      <a:ext uri="{FF2B5EF4-FFF2-40B4-BE49-F238E27FC236}">
                        <a16:creationId xmlns:a16="http://schemas.microsoft.com/office/drawing/2014/main" id="{E1EE6634-6FB4-607F-B1D6-ADEB5154EDB3}"/>
                      </a:ext>
                    </a:extLst>
                  </xdr:cNvPr>
                  <xdr:cNvSpPr/>
                </xdr:nvSpPr>
                <xdr:spPr>
                  <a:xfrm>
                    <a:off x="1911584" y="1133378"/>
                    <a:ext cx="1559169" cy="32486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WIRE NO -752</a:t>
                    </a:r>
                  </a:p>
                </xdr:txBody>
              </xdr:sp>
              <xdr:sp macro="" textlink="">
                <xdr:nvSpPr>
                  <xdr:cNvPr id="191" name="Rectangle 190">
                    <a:extLst>
                      <a:ext uri="{FF2B5EF4-FFF2-40B4-BE49-F238E27FC236}">
                        <a16:creationId xmlns:a16="http://schemas.microsoft.com/office/drawing/2014/main" id="{F7036CC1-9D43-8DC5-39B4-2C6A2D823526}"/>
                      </a:ext>
                    </a:extLst>
                  </xdr:cNvPr>
                  <xdr:cNvSpPr/>
                </xdr:nvSpPr>
                <xdr:spPr>
                  <a:xfrm>
                    <a:off x="4292451" y="444694"/>
                    <a:ext cx="2114211" cy="517383"/>
                  </a:xfrm>
                  <a:prstGeom prst="rect">
                    <a:avLst/>
                  </a:prstGeom>
                  <a:no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2000" b="1">
                        <a:solidFill>
                          <a:sysClr val="windowText" lastClr="000000"/>
                        </a:solidFill>
                      </a:rPr>
                      <a:t>SPL-CH</a:t>
                    </a:r>
                  </a:p>
                </xdr:txBody>
              </xdr:sp>
              <xdr:sp macro="" textlink="">
                <xdr:nvSpPr>
                  <xdr:cNvPr id="192" name="Rectangle 191">
                    <a:extLst>
                      <a:ext uri="{FF2B5EF4-FFF2-40B4-BE49-F238E27FC236}">
                        <a16:creationId xmlns:a16="http://schemas.microsoft.com/office/drawing/2014/main" id="{CF245F2A-28AA-71A0-B9BF-12B464877F88}"/>
                      </a:ext>
                    </a:extLst>
                  </xdr:cNvPr>
                  <xdr:cNvSpPr/>
                </xdr:nvSpPr>
                <xdr:spPr>
                  <a:xfrm>
                    <a:off x="5392615" y="1348142"/>
                    <a:ext cx="480646" cy="339952"/>
                  </a:xfrm>
                  <a:prstGeom prst="rect">
                    <a:avLst/>
                  </a:prstGeom>
                  <a:noFill/>
                  <a:ln w="381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</xdr:grpSp>
            <xdr:sp macro="" textlink="">
              <xdr:nvSpPr>
                <xdr:cNvPr id="185" name="Rectangle 184">
                  <a:extLst>
                    <a:ext uri="{FF2B5EF4-FFF2-40B4-BE49-F238E27FC236}">
                      <a16:creationId xmlns:a16="http://schemas.microsoft.com/office/drawing/2014/main" id="{2699D175-9372-E652-D073-B300988AAA96}"/>
                    </a:ext>
                  </a:extLst>
                </xdr:cNvPr>
                <xdr:cNvSpPr/>
              </xdr:nvSpPr>
              <xdr:spPr>
                <a:xfrm>
                  <a:off x="7939452" y="728864"/>
                  <a:ext cx="1559169" cy="28101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-445</a:t>
                  </a:r>
                </a:p>
              </xdr:txBody>
            </xdr:sp>
          </xdr:grpSp>
          <xdr:sp macro="" textlink="">
            <xdr:nvSpPr>
              <xdr:cNvPr id="183" name="Rectangle 182">
                <a:extLst>
                  <a:ext uri="{FF2B5EF4-FFF2-40B4-BE49-F238E27FC236}">
                    <a16:creationId xmlns:a16="http://schemas.microsoft.com/office/drawing/2014/main" id="{50517BDA-9600-9D57-972D-5A56F21A67FD}"/>
                  </a:ext>
                </a:extLst>
              </xdr:cNvPr>
              <xdr:cNvSpPr/>
            </xdr:nvSpPr>
            <xdr:spPr>
              <a:xfrm>
                <a:off x="8634040" y="1248779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177916-1</a:t>
                </a:r>
              </a:p>
            </xdr:txBody>
          </xdr:sp>
        </xdr:grpSp>
        <xdr:cxnSp macro="">
          <xdr:nvCxnSpPr>
            <xdr:cNvPr id="179" name="Straight Connector 178">
              <a:extLst>
                <a:ext uri="{FF2B5EF4-FFF2-40B4-BE49-F238E27FC236}">
                  <a16:creationId xmlns:a16="http://schemas.microsoft.com/office/drawing/2014/main" id="{BDF851AB-C2A5-B426-5389-4F37D702E754}"/>
                </a:ext>
              </a:extLst>
            </xdr:cNvPr>
            <xdr:cNvCxnSpPr>
              <a:cxnSpLocks/>
            </xdr:cNvCxnSpPr>
          </xdr:nvCxnSpPr>
          <xdr:spPr>
            <a:xfrm>
              <a:off x="5778016" y="1347605"/>
              <a:ext cx="5096941" cy="566339"/>
            </a:xfrm>
            <a:prstGeom prst="line">
              <a:avLst/>
            </a:prstGeom>
            <a:ln w="3810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0" name="Rectangle 179">
              <a:extLst>
                <a:ext uri="{FF2B5EF4-FFF2-40B4-BE49-F238E27FC236}">
                  <a16:creationId xmlns:a16="http://schemas.microsoft.com/office/drawing/2014/main" id="{F2945733-C6F2-6E3C-6241-DA4128EEF615}"/>
                </a:ext>
              </a:extLst>
            </xdr:cNvPr>
            <xdr:cNvSpPr/>
          </xdr:nvSpPr>
          <xdr:spPr>
            <a:xfrm>
              <a:off x="2005367" y="805802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39000048</a:t>
              </a:r>
            </a:p>
          </xdr:txBody>
        </xdr:sp>
        <xdr:sp macro="" textlink="">
          <xdr:nvSpPr>
            <xdr:cNvPr id="181" name="Rectangle 180">
              <a:extLst>
                <a:ext uri="{FF2B5EF4-FFF2-40B4-BE49-F238E27FC236}">
                  <a16:creationId xmlns:a16="http://schemas.microsoft.com/office/drawing/2014/main" id="{441FD30A-7AEB-7B05-4AE6-0CCD87B401C6}"/>
                </a:ext>
              </a:extLst>
            </xdr:cNvPr>
            <xdr:cNvSpPr/>
          </xdr:nvSpPr>
          <xdr:spPr>
            <a:xfrm>
              <a:off x="8431820" y="1410786"/>
              <a:ext cx="1559169" cy="28101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WIRE NO -751</a:t>
              </a:r>
            </a:p>
          </xdr:txBody>
        </xdr:sp>
      </xdr:grpSp>
      <xdr:sp macro="" textlink="">
        <xdr:nvSpPr>
          <xdr:cNvPr id="177" name="Rectangle 176">
            <a:extLst>
              <a:ext uri="{FF2B5EF4-FFF2-40B4-BE49-F238E27FC236}">
                <a16:creationId xmlns:a16="http://schemas.microsoft.com/office/drawing/2014/main" id="{C7DA4C77-9B67-B08E-0C3A-E3E80A6F4FD4}"/>
              </a:ext>
            </a:extLst>
          </xdr:cNvPr>
          <xdr:cNvSpPr/>
        </xdr:nvSpPr>
        <xdr:spPr>
          <a:xfrm>
            <a:off x="8144605" y="574354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1744144-1</a:t>
            </a:r>
          </a:p>
        </xdr:txBody>
      </xdr:sp>
    </xdr:grpSp>
    <xdr:clientData/>
  </xdr:twoCellAnchor>
  <xdr:twoCellAnchor>
    <xdr:from>
      <xdr:col>3</xdr:col>
      <xdr:colOff>396874</xdr:colOff>
      <xdr:row>83</xdr:row>
      <xdr:rowOff>222250</xdr:rowOff>
    </xdr:from>
    <xdr:to>
      <xdr:col>13</xdr:col>
      <xdr:colOff>0</xdr:colOff>
      <xdr:row>91</xdr:row>
      <xdr:rowOff>222250</xdr:rowOff>
    </xdr:to>
    <xdr:grpSp>
      <xdr:nvGrpSpPr>
        <xdr:cNvPr id="194" name="Group 193">
          <a:extLst>
            <a:ext uri="{FF2B5EF4-FFF2-40B4-BE49-F238E27FC236}">
              <a16:creationId xmlns:a16="http://schemas.microsoft.com/office/drawing/2014/main" id="{EEDEA5F1-F8D7-6211-31E4-C25B9A4F91D8}"/>
            </a:ext>
          </a:extLst>
        </xdr:cNvPr>
        <xdr:cNvGrpSpPr/>
      </xdr:nvGrpSpPr>
      <xdr:grpSpPr>
        <a:xfrm>
          <a:off x="1031874" y="37099875"/>
          <a:ext cx="17653001" cy="3556000"/>
          <a:chOff x="586153" y="396895"/>
          <a:chExt cx="10796954" cy="2041485"/>
        </a:xfrm>
      </xdr:grpSpPr>
      <xdr:grpSp>
        <xdr:nvGrpSpPr>
          <xdr:cNvPr id="195" name="Group 194">
            <a:extLst>
              <a:ext uri="{FF2B5EF4-FFF2-40B4-BE49-F238E27FC236}">
                <a16:creationId xmlns:a16="http://schemas.microsoft.com/office/drawing/2014/main" id="{8312F5B0-35DA-BD45-18CE-BE37231F2775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197" name="Group 196">
              <a:extLst>
                <a:ext uri="{FF2B5EF4-FFF2-40B4-BE49-F238E27FC236}">
                  <a16:creationId xmlns:a16="http://schemas.microsoft.com/office/drawing/2014/main" id="{047EC5C6-1E11-27AE-BA64-511061DDF240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199" name="Group 198">
                <a:extLst>
                  <a:ext uri="{FF2B5EF4-FFF2-40B4-BE49-F238E27FC236}">
                    <a16:creationId xmlns:a16="http://schemas.microsoft.com/office/drawing/2014/main" id="{D33863BF-E9E8-5B94-897F-B80585F8AA2E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586153" y="396895"/>
                <a:chExt cx="10796954" cy="2041485"/>
              </a:xfrm>
            </xdr:grpSpPr>
            <xdr:grpSp>
              <xdr:nvGrpSpPr>
                <xdr:cNvPr id="203" name="Group 202">
                  <a:extLst>
                    <a:ext uri="{FF2B5EF4-FFF2-40B4-BE49-F238E27FC236}">
                      <a16:creationId xmlns:a16="http://schemas.microsoft.com/office/drawing/2014/main" id="{68C3DFC1-F5ED-78F9-B22C-BA0DAD16E775}"/>
                    </a:ext>
                  </a:extLst>
                </xdr:cNvPr>
                <xdr:cNvGrpSpPr/>
              </xdr:nvGrpSpPr>
              <xdr:grpSpPr>
                <a:xfrm>
                  <a:off x="586153" y="396895"/>
                  <a:ext cx="10796954" cy="2041485"/>
                  <a:chOff x="697523" y="444694"/>
                  <a:chExt cx="10796954" cy="2333674"/>
                </a:xfrm>
              </xdr:grpSpPr>
              <xdr:sp macro="" textlink="">
                <xdr:nvSpPr>
                  <xdr:cNvPr id="205" name="Rectangle 204">
                    <a:extLst>
                      <a:ext uri="{FF2B5EF4-FFF2-40B4-BE49-F238E27FC236}">
                        <a16:creationId xmlns:a16="http://schemas.microsoft.com/office/drawing/2014/main" id="{44B363EF-F258-6D61-8B1F-16A9B279DF48}"/>
                      </a:ext>
                    </a:extLst>
                  </xdr:cNvPr>
                  <xdr:cNvSpPr/>
                </xdr:nvSpPr>
                <xdr:spPr>
                  <a:xfrm>
                    <a:off x="697523" y="468922"/>
                    <a:ext cx="10796954" cy="230944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  <xdr:cxnSp macro="">
                <xdr:nvCxnSpPr>
                  <xdr:cNvPr id="206" name="Straight Connector 205">
                    <a:extLst>
                      <a:ext uri="{FF2B5EF4-FFF2-40B4-BE49-F238E27FC236}">
                        <a16:creationId xmlns:a16="http://schemas.microsoft.com/office/drawing/2014/main" id="{2A75DA25-8E8B-60FD-ED41-30B28D946BBB}"/>
                      </a:ext>
                    </a:extLst>
                  </xdr:cNvPr>
                  <xdr:cNvCxnSpPr>
                    <a:cxnSpLocks/>
                    <a:endCxn id="211" idx="1"/>
                  </xdr:cNvCxnSpPr>
                </xdr:nvCxnSpPr>
                <xdr:spPr>
                  <a:xfrm flipV="1">
                    <a:off x="1166447" y="1518118"/>
                    <a:ext cx="4226168" cy="105528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207" name="Straight Connector 206">
                    <a:extLst>
                      <a:ext uri="{FF2B5EF4-FFF2-40B4-BE49-F238E27FC236}">
                        <a16:creationId xmlns:a16="http://schemas.microsoft.com/office/drawing/2014/main" id="{8A646B62-BE8D-B4DA-99D3-FA4929A9E955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 flipV="1">
                    <a:off x="5873261" y="767658"/>
                    <a:ext cx="5138916" cy="751299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208" name="Rectangle 207">
                    <a:extLst>
                      <a:ext uri="{FF2B5EF4-FFF2-40B4-BE49-F238E27FC236}">
                        <a16:creationId xmlns:a16="http://schemas.microsoft.com/office/drawing/2014/main" id="{28011AE2-405E-12AD-6ABF-5B7572ACF3E5}"/>
                      </a:ext>
                    </a:extLst>
                  </xdr:cNvPr>
                  <xdr:cNvSpPr/>
                </xdr:nvSpPr>
                <xdr:spPr>
                  <a:xfrm>
                    <a:off x="5058507" y="1768740"/>
                    <a:ext cx="1148862" cy="27841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63130-2</a:t>
                    </a:r>
                  </a:p>
                </xdr:txBody>
              </xdr:sp>
              <xdr:sp macro="" textlink="">
                <xdr:nvSpPr>
                  <xdr:cNvPr id="209" name="Rectangle 208">
                    <a:extLst>
                      <a:ext uri="{FF2B5EF4-FFF2-40B4-BE49-F238E27FC236}">
                        <a16:creationId xmlns:a16="http://schemas.microsoft.com/office/drawing/2014/main" id="{E1EE6634-6FB4-607F-B1D6-ADEB5154EDB3}"/>
                      </a:ext>
                    </a:extLst>
                  </xdr:cNvPr>
                  <xdr:cNvSpPr/>
                </xdr:nvSpPr>
                <xdr:spPr>
                  <a:xfrm>
                    <a:off x="1911584" y="1133378"/>
                    <a:ext cx="1559169" cy="32486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WIRE NO -811</a:t>
                    </a:r>
                  </a:p>
                </xdr:txBody>
              </xdr:sp>
              <xdr:sp macro="" textlink="">
                <xdr:nvSpPr>
                  <xdr:cNvPr id="210" name="Rectangle 209">
                    <a:extLst>
                      <a:ext uri="{FF2B5EF4-FFF2-40B4-BE49-F238E27FC236}">
                        <a16:creationId xmlns:a16="http://schemas.microsoft.com/office/drawing/2014/main" id="{F7036CC1-9D43-8DC5-39B4-2C6A2D823526}"/>
                      </a:ext>
                    </a:extLst>
                  </xdr:cNvPr>
                  <xdr:cNvSpPr/>
                </xdr:nvSpPr>
                <xdr:spPr>
                  <a:xfrm>
                    <a:off x="4292451" y="444694"/>
                    <a:ext cx="2114211" cy="517383"/>
                  </a:xfrm>
                  <a:prstGeom prst="rect">
                    <a:avLst/>
                  </a:prstGeom>
                  <a:no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2000" b="1">
                        <a:solidFill>
                          <a:sysClr val="windowText" lastClr="000000"/>
                        </a:solidFill>
                      </a:rPr>
                      <a:t>SPL-VCC</a:t>
                    </a:r>
                  </a:p>
                </xdr:txBody>
              </xdr:sp>
              <xdr:sp macro="" textlink="">
                <xdr:nvSpPr>
                  <xdr:cNvPr id="211" name="Rectangle 210">
                    <a:extLst>
                      <a:ext uri="{FF2B5EF4-FFF2-40B4-BE49-F238E27FC236}">
                        <a16:creationId xmlns:a16="http://schemas.microsoft.com/office/drawing/2014/main" id="{CF245F2A-28AA-71A0-B9BF-12B464877F88}"/>
                      </a:ext>
                    </a:extLst>
                  </xdr:cNvPr>
                  <xdr:cNvSpPr/>
                </xdr:nvSpPr>
                <xdr:spPr>
                  <a:xfrm>
                    <a:off x="5392615" y="1348142"/>
                    <a:ext cx="480646" cy="339952"/>
                  </a:xfrm>
                  <a:prstGeom prst="rect">
                    <a:avLst/>
                  </a:prstGeom>
                  <a:noFill/>
                  <a:ln w="381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</xdr:grpSp>
            <xdr:sp macro="" textlink="">
              <xdr:nvSpPr>
                <xdr:cNvPr id="204" name="Rectangle 203">
                  <a:extLst>
                    <a:ext uri="{FF2B5EF4-FFF2-40B4-BE49-F238E27FC236}">
                      <a16:creationId xmlns:a16="http://schemas.microsoft.com/office/drawing/2014/main" id="{2699D175-9372-E652-D073-B300988AAA96}"/>
                    </a:ext>
                  </a:extLst>
                </xdr:cNvPr>
                <xdr:cNvSpPr/>
              </xdr:nvSpPr>
              <xdr:spPr>
                <a:xfrm>
                  <a:off x="7939452" y="728864"/>
                  <a:ext cx="1559169" cy="28101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-812</a:t>
                  </a:r>
                </a:p>
              </xdr:txBody>
            </xdr:sp>
          </xdr:grpSp>
          <xdr:cxnSp macro="">
            <xdr:nvCxnSpPr>
              <xdr:cNvPr id="200" name="Straight Connector 199">
                <a:extLst>
                  <a:ext uri="{FF2B5EF4-FFF2-40B4-BE49-F238E27FC236}">
                    <a16:creationId xmlns:a16="http://schemas.microsoft.com/office/drawing/2014/main" id="{BDF851AB-C2A5-B426-5389-4F37D702E754}"/>
                  </a:ext>
                </a:extLst>
              </xdr:cNvPr>
              <xdr:cNvCxnSpPr>
                <a:cxnSpLocks/>
              </xdr:cNvCxnSpPr>
            </xdr:nvCxnSpPr>
            <xdr:spPr>
              <a:xfrm>
                <a:off x="5778016" y="1347605"/>
                <a:ext cx="5096941" cy="566339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201" name="Rectangle 200">
                <a:extLst>
                  <a:ext uri="{FF2B5EF4-FFF2-40B4-BE49-F238E27FC236}">
                    <a16:creationId xmlns:a16="http://schemas.microsoft.com/office/drawing/2014/main" id="{F2945733-C6F2-6E3C-6241-DA4128EEF615}"/>
                  </a:ext>
                </a:extLst>
              </xdr:cNvPr>
              <xdr:cNvSpPr/>
            </xdr:nvSpPr>
            <xdr:spPr>
              <a:xfrm>
                <a:off x="2005367" y="805802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1744423-1</a:t>
                </a:r>
              </a:p>
            </xdr:txBody>
          </xdr:sp>
          <xdr:sp macro="" textlink="">
            <xdr:nvSpPr>
              <xdr:cNvPr id="202" name="Rectangle 201">
                <a:extLst>
                  <a:ext uri="{FF2B5EF4-FFF2-40B4-BE49-F238E27FC236}">
                    <a16:creationId xmlns:a16="http://schemas.microsoft.com/office/drawing/2014/main" id="{441FD30A-7AEB-7B05-4AE6-0CCD87B401C6}"/>
                  </a:ext>
                </a:extLst>
              </xdr:cNvPr>
              <xdr:cNvSpPr/>
            </xdr:nvSpPr>
            <xdr:spPr>
              <a:xfrm>
                <a:off x="8431820" y="1410786"/>
                <a:ext cx="1559169" cy="281015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WIRE NO -813</a:t>
                </a:r>
              </a:p>
            </xdr:txBody>
          </xdr:sp>
        </xdr:grpSp>
        <xdr:sp macro="" textlink="">
          <xdr:nvSpPr>
            <xdr:cNvPr id="198" name="Rectangle 197">
              <a:extLst>
                <a:ext uri="{FF2B5EF4-FFF2-40B4-BE49-F238E27FC236}">
                  <a16:creationId xmlns:a16="http://schemas.microsoft.com/office/drawing/2014/main" id="{C7DA4C77-9B67-B08E-0C3A-E3E80A6F4FD4}"/>
                </a:ext>
              </a:extLst>
            </xdr:cNvPr>
            <xdr:cNvSpPr/>
          </xdr:nvSpPr>
          <xdr:spPr>
            <a:xfrm>
              <a:off x="8144605" y="574354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2329911-1</a:t>
              </a:r>
            </a:p>
          </xdr:txBody>
        </xdr:sp>
      </xdr:grpSp>
      <xdr:sp macro="" textlink="">
        <xdr:nvSpPr>
          <xdr:cNvPr id="196" name="Rectangle 195">
            <a:extLst>
              <a:ext uri="{FF2B5EF4-FFF2-40B4-BE49-F238E27FC236}">
                <a16:creationId xmlns:a16="http://schemas.microsoft.com/office/drawing/2014/main" id="{7C2FF0B9-7E71-9754-C033-48CE3D7BE3EA}"/>
              </a:ext>
            </a:extLst>
          </xdr:cNvPr>
          <xdr:cNvSpPr/>
        </xdr:nvSpPr>
        <xdr:spPr>
          <a:xfrm>
            <a:off x="8695024" y="1243096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2329911-1</a:t>
            </a:r>
          </a:p>
        </xdr:txBody>
      </xdr:sp>
    </xdr:grpSp>
    <xdr:clientData/>
  </xdr:twoCellAnchor>
  <xdr:twoCellAnchor>
    <xdr:from>
      <xdr:col>9</xdr:col>
      <xdr:colOff>1920875</xdr:colOff>
      <xdr:row>15</xdr:row>
      <xdr:rowOff>174625</xdr:rowOff>
    </xdr:from>
    <xdr:to>
      <xdr:col>11</xdr:col>
      <xdr:colOff>1349375</xdr:colOff>
      <xdr:row>18</xdr:row>
      <xdr:rowOff>428625</xdr:rowOff>
    </xdr:to>
    <xdr:cxnSp macro="">
      <xdr:nvCxnSpPr>
        <xdr:cNvPr id="212" name="Straight Connector 211">
          <a:extLst>
            <a:ext uri="{FF2B5EF4-FFF2-40B4-BE49-F238E27FC236}">
              <a16:creationId xmlns:a16="http://schemas.microsoft.com/office/drawing/2014/main" id="{4E2F940F-33B2-BFA6-180D-4B8B44D7DD5B}"/>
            </a:ext>
          </a:extLst>
        </xdr:cNvPr>
        <xdr:cNvCxnSpPr>
          <a:cxnSpLocks/>
        </xdr:cNvCxnSpPr>
      </xdr:nvCxnSpPr>
      <xdr:spPr>
        <a:xfrm>
          <a:off x="9286875" y="6826250"/>
          <a:ext cx="6873875" cy="1587500"/>
        </a:xfrm>
        <a:prstGeom prst="line">
          <a:avLst/>
        </a:prstGeom>
        <a:ln w="3810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5000625</xdr:colOff>
      <xdr:row>17</xdr:row>
      <xdr:rowOff>428624</xdr:rowOff>
    </xdr:from>
    <xdr:to>
      <xdr:col>10</xdr:col>
      <xdr:colOff>2068868</xdr:colOff>
      <xdr:row>18</xdr:row>
      <xdr:rowOff>275921</xdr:rowOff>
    </xdr:to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26DE4FB1-B42C-BC65-5610-BE2FF58C7017}"/>
            </a:ext>
          </a:extLst>
        </xdr:cNvPr>
        <xdr:cNvSpPr/>
      </xdr:nvSpPr>
      <xdr:spPr>
        <a:xfrm rot="974108">
          <a:off x="12366625" y="7969249"/>
          <a:ext cx="2195868" cy="2917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400">
              <a:solidFill>
                <a:sysClr val="windowText" lastClr="000000"/>
              </a:solidFill>
            </a:rPr>
            <a:t>WIRE NO -839</a:t>
          </a:r>
        </a:p>
      </xdr:txBody>
    </xdr:sp>
    <xdr:clientData/>
  </xdr:twoCellAnchor>
  <xdr:twoCellAnchor>
    <xdr:from>
      <xdr:col>10</xdr:col>
      <xdr:colOff>206375</xdr:colOff>
      <xdr:row>18</xdr:row>
      <xdr:rowOff>412750</xdr:rowOff>
    </xdr:from>
    <xdr:to>
      <xdr:col>10</xdr:col>
      <xdr:colOff>2132060</xdr:colOff>
      <xdr:row>19</xdr:row>
      <xdr:rowOff>250437</xdr:rowOff>
    </xdr:to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E8A999AE-4925-8551-5971-311C11822F01}"/>
            </a:ext>
          </a:extLst>
        </xdr:cNvPr>
        <xdr:cNvSpPr/>
      </xdr:nvSpPr>
      <xdr:spPr>
        <a:xfrm rot="377697">
          <a:off x="12700000" y="8397875"/>
          <a:ext cx="1925685" cy="28218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600">
              <a:solidFill>
                <a:sysClr val="windowText" lastClr="000000"/>
              </a:solidFill>
            </a:rPr>
            <a:t>39000040</a:t>
          </a:r>
        </a:p>
      </xdr:txBody>
    </xdr:sp>
    <xdr:clientData/>
  </xdr:twoCellAnchor>
  <xdr:twoCellAnchor>
    <xdr:from>
      <xdr:col>2</xdr:col>
      <xdr:colOff>0</xdr:colOff>
      <xdr:row>93</xdr:row>
      <xdr:rowOff>0</xdr:rowOff>
    </xdr:from>
    <xdr:to>
      <xdr:col>12</xdr:col>
      <xdr:colOff>1381126</xdr:colOff>
      <xdr:row>101</xdr:row>
      <xdr:rowOff>0</xdr:rowOff>
    </xdr:to>
    <xdr:grpSp>
      <xdr:nvGrpSpPr>
        <xdr:cNvPr id="218" name="Group 217">
          <a:extLst>
            <a:ext uri="{FF2B5EF4-FFF2-40B4-BE49-F238E27FC236}">
              <a16:creationId xmlns:a16="http://schemas.microsoft.com/office/drawing/2014/main" id="{047EC5C6-1E11-27AE-BA64-511061DDF240}"/>
            </a:ext>
          </a:extLst>
        </xdr:cNvPr>
        <xdr:cNvGrpSpPr/>
      </xdr:nvGrpSpPr>
      <xdr:grpSpPr>
        <a:xfrm>
          <a:off x="127000" y="41322625"/>
          <a:ext cx="17653001" cy="3556000"/>
          <a:chOff x="586153" y="396895"/>
          <a:chExt cx="10796954" cy="2041485"/>
        </a:xfrm>
      </xdr:grpSpPr>
      <xdr:grpSp>
        <xdr:nvGrpSpPr>
          <xdr:cNvPr id="220" name="Group 219">
            <a:extLst>
              <a:ext uri="{FF2B5EF4-FFF2-40B4-BE49-F238E27FC236}">
                <a16:creationId xmlns:a16="http://schemas.microsoft.com/office/drawing/2014/main" id="{D33863BF-E9E8-5B94-897F-B80585F8AA2E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224" name="Group 223">
              <a:extLst>
                <a:ext uri="{FF2B5EF4-FFF2-40B4-BE49-F238E27FC236}">
                  <a16:creationId xmlns:a16="http://schemas.microsoft.com/office/drawing/2014/main" id="{68C3DFC1-F5ED-78F9-B22C-BA0DAD16E775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697523" y="444694"/>
              <a:chExt cx="10796954" cy="2333674"/>
            </a:xfrm>
          </xdr:grpSpPr>
          <xdr:sp macro="" textlink="">
            <xdr:nvSpPr>
              <xdr:cNvPr id="226" name="Rectangle 225">
                <a:extLst>
                  <a:ext uri="{FF2B5EF4-FFF2-40B4-BE49-F238E27FC236}">
                    <a16:creationId xmlns:a16="http://schemas.microsoft.com/office/drawing/2014/main" id="{44B363EF-F258-6D61-8B1F-16A9B279DF48}"/>
                  </a:ext>
                </a:extLst>
              </xdr:cNvPr>
              <xdr:cNvSpPr/>
            </xdr:nvSpPr>
            <xdr:spPr>
              <a:xfrm>
                <a:off x="697523" y="468922"/>
                <a:ext cx="10796954" cy="2309446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IN" sz="1600"/>
              </a:p>
            </xdr:txBody>
          </xdr:sp>
          <xdr:cxnSp macro="">
            <xdr:nvCxnSpPr>
              <xdr:cNvPr id="227" name="Straight Connector 226">
                <a:extLst>
                  <a:ext uri="{FF2B5EF4-FFF2-40B4-BE49-F238E27FC236}">
                    <a16:creationId xmlns:a16="http://schemas.microsoft.com/office/drawing/2014/main" id="{2A75DA25-8E8B-60FD-ED41-30B28D946BBB}"/>
                  </a:ext>
                </a:extLst>
              </xdr:cNvPr>
              <xdr:cNvCxnSpPr>
                <a:cxnSpLocks/>
                <a:endCxn id="232" idx="1"/>
              </xdr:cNvCxnSpPr>
            </xdr:nvCxnSpPr>
            <xdr:spPr>
              <a:xfrm>
                <a:off x="2173366" y="767658"/>
                <a:ext cx="3219249" cy="750461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28" name="Straight Connector 227">
                <a:extLst>
                  <a:ext uri="{FF2B5EF4-FFF2-40B4-BE49-F238E27FC236}">
                    <a16:creationId xmlns:a16="http://schemas.microsoft.com/office/drawing/2014/main" id="{8A646B62-BE8D-B4DA-99D3-FA4929A9E955}"/>
                  </a:ext>
                </a:extLst>
              </xdr:cNvPr>
              <xdr:cNvCxnSpPr>
                <a:cxnSpLocks/>
              </xdr:cNvCxnSpPr>
            </xdr:nvCxnSpPr>
            <xdr:spPr>
              <a:xfrm flipV="1">
                <a:off x="5873261" y="767658"/>
                <a:ext cx="5138916" cy="751299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229" name="Rectangle 228">
                <a:extLst>
                  <a:ext uri="{FF2B5EF4-FFF2-40B4-BE49-F238E27FC236}">
                    <a16:creationId xmlns:a16="http://schemas.microsoft.com/office/drawing/2014/main" id="{28011AE2-405E-12AD-6ABF-5B7572ACF3E5}"/>
                  </a:ext>
                </a:extLst>
              </xdr:cNvPr>
              <xdr:cNvSpPr/>
            </xdr:nvSpPr>
            <xdr:spPr>
              <a:xfrm>
                <a:off x="5058507" y="1768740"/>
                <a:ext cx="1148862" cy="278410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63130-2</a:t>
                </a:r>
              </a:p>
            </xdr:txBody>
          </xdr:sp>
          <xdr:sp macro="" textlink="">
            <xdr:nvSpPr>
              <xdr:cNvPr id="230" name="Rectangle 229">
                <a:extLst>
                  <a:ext uri="{FF2B5EF4-FFF2-40B4-BE49-F238E27FC236}">
                    <a16:creationId xmlns:a16="http://schemas.microsoft.com/office/drawing/2014/main" id="{E1EE6634-6FB4-607F-B1D6-ADEB5154EDB3}"/>
                  </a:ext>
                </a:extLst>
              </xdr:cNvPr>
              <xdr:cNvSpPr/>
            </xdr:nvSpPr>
            <xdr:spPr>
              <a:xfrm>
                <a:off x="1911584" y="1133378"/>
                <a:ext cx="1559169" cy="324860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WIRE NO -854</a:t>
                </a:r>
              </a:p>
            </xdr:txBody>
          </xdr:sp>
          <xdr:sp macro="" textlink="">
            <xdr:nvSpPr>
              <xdr:cNvPr id="231" name="Rectangle 230">
                <a:extLst>
                  <a:ext uri="{FF2B5EF4-FFF2-40B4-BE49-F238E27FC236}">
                    <a16:creationId xmlns:a16="http://schemas.microsoft.com/office/drawing/2014/main" id="{F7036CC1-9D43-8DC5-39B4-2C6A2D823526}"/>
                  </a:ext>
                </a:extLst>
              </xdr:cNvPr>
              <xdr:cNvSpPr/>
            </xdr:nvSpPr>
            <xdr:spPr>
              <a:xfrm>
                <a:off x="4292451" y="444694"/>
                <a:ext cx="2114211" cy="517383"/>
              </a:xfrm>
              <a:prstGeom prst="rect">
                <a:avLst/>
              </a:prstGeom>
              <a:noFill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2000" b="1">
                    <a:solidFill>
                      <a:sysClr val="windowText" lastClr="000000"/>
                    </a:solidFill>
                  </a:rPr>
                  <a:t>SPL-D1</a:t>
                </a:r>
              </a:p>
            </xdr:txBody>
          </xdr:sp>
          <xdr:sp macro="" textlink="">
            <xdr:nvSpPr>
              <xdr:cNvPr id="232" name="Rectangle 231">
                <a:extLst>
                  <a:ext uri="{FF2B5EF4-FFF2-40B4-BE49-F238E27FC236}">
                    <a16:creationId xmlns:a16="http://schemas.microsoft.com/office/drawing/2014/main" id="{CF245F2A-28AA-71A0-B9BF-12B464877F88}"/>
                  </a:ext>
                </a:extLst>
              </xdr:cNvPr>
              <xdr:cNvSpPr/>
            </xdr:nvSpPr>
            <xdr:spPr>
              <a:xfrm>
                <a:off x="5392615" y="1348142"/>
                <a:ext cx="480646" cy="339952"/>
              </a:xfrm>
              <a:prstGeom prst="rect">
                <a:avLst/>
              </a:prstGeom>
              <a:noFill/>
              <a:ln w="381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IN" sz="1600"/>
              </a:p>
            </xdr:txBody>
          </xdr:sp>
        </xdr:grpSp>
        <xdr:sp macro="" textlink="">
          <xdr:nvSpPr>
            <xdr:cNvPr id="225" name="Rectangle 224">
              <a:extLst>
                <a:ext uri="{FF2B5EF4-FFF2-40B4-BE49-F238E27FC236}">
                  <a16:creationId xmlns:a16="http://schemas.microsoft.com/office/drawing/2014/main" id="{2699D175-9372-E652-D073-B300988AAA96}"/>
                </a:ext>
              </a:extLst>
            </xdr:cNvPr>
            <xdr:cNvSpPr/>
          </xdr:nvSpPr>
          <xdr:spPr>
            <a:xfrm rot="21059503">
              <a:off x="7939452" y="728864"/>
              <a:ext cx="1559169" cy="28101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WIRE NO -48</a:t>
              </a:r>
            </a:p>
          </xdr:txBody>
        </xdr:sp>
      </xdr:grpSp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BDF851AB-C2A5-B426-5389-4F37D702E754}"/>
              </a:ext>
            </a:extLst>
          </xdr:cNvPr>
          <xdr:cNvCxnSpPr>
            <a:cxnSpLocks/>
          </xdr:cNvCxnSpPr>
        </xdr:nvCxnSpPr>
        <xdr:spPr>
          <a:xfrm>
            <a:off x="5778016" y="1347605"/>
            <a:ext cx="5096941" cy="566339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23" name="Rectangle 222">
            <a:extLst>
              <a:ext uri="{FF2B5EF4-FFF2-40B4-BE49-F238E27FC236}">
                <a16:creationId xmlns:a16="http://schemas.microsoft.com/office/drawing/2014/main" id="{441FD30A-7AEB-7B05-4AE6-0CCD87B401C6}"/>
              </a:ext>
            </a:extLst>
          </xdr:cNvPr>
          <xdr:cNvSpPr/>
        </xdr:nvSpPr>
        <xdr:spPr>
          <a:xfrm rot="524822">
            <a:off x="8276469" y="1766223"/>
            <a:ext cx="1559169" cy="28101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WIRE NO -848</a:t>
            </a:r>
          </a:p>
        </xdr:txBody>
      </xdr:sp>
    </xdr:grpSp>
    <xdr:clientData/>
  </xdr:twoCellAnchor>
  <xdr:twoCellAnchor>
    <xdr:from>
      <xdr:col>3</xdr:col>
      <xdr:colOff>523875</xdr:colOff>
      <xdr:row>96</xdr:row>
      <xdr:rowOff>302160</xdr:rowOff>
    </xdr:from>
    <xdr:to>
      <xdr:col>9</xdr:col>
      <xdr:colOff>437467</xdr:colOff>
      <xdr:row>98</xdr:row>
      <xdr:rowOff>17927</xdr:rowOff>
    </xdr:to>
    <xdr:cxnSp macro="">
      <xdr:nvCxnSpPr>
        <xdr:cNvPr id="233" name="Straight Connector 232">
          <a:extLst>
            <a:ext uri="{FF2B5EF4-FFF2-40B4-BE49-F238E27FC236}">
              <a16:creationId xmlns:a16="http://schemas.microsoft.com/office/drawing/2014/main" id="{2A75DA25-8E8B-60FD-ED41-30B28D946BBB}"/>
            </a:ext>
          </a:extLst>
        </xdr:cNvPr>
        <xdr:cNvCxnSpPr>
          <a:cxnSpLocks/>
          <a:endCxn id="232" idx="1"/>
        </xdr:cNvCxnSpPr>
      </xdr:nvCxnSpPr>
      <xdr:spPr>
        <a:xfrm flipV="1">
          <a:off x="1158875" y="42958285"/>
          <a:ext cx="6644592" cy="604767"/>
        </a:xfrm>
        <a:prstGeom prst="line">
          <a:avLst/>
        </a:prstGeom>
        <a:ln w="3810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79375</xdr:colOff>
      <xdr:row>97</xdr:row>
      <xdr:rowOff>412750</xdr:rowOff>
    </xdr:from>
    <xdr:to>
      <xdr:col>8</xdr:col>
      <xdr:colOff>596614</xdr:colOff>
      <xdr:row>99</xdr:row>
      <xdr:rowOff>18764</xdr:rowOff>
    </xdr:to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E1EE6634-6FB4-607F-B1D6-ADEB5154EDB3}"/>
            </a:ext>
          </a:extLst>
        </xdr:cNvPr>
        <xdr:cNvSpPr/>
      </xdr:nvSpPr>
      <xdr:spPr>
        <a:xfrm rot="21409092">
          <a:off x="2349500" y="43513375"/>
          <a:ext cx="2549239" cy="4950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600">
              <a:solidFill>
                <a:sysClr val="windowText" lastClr="000000"/>
              </a:solidFill>
            </a:rPr>
            <a:t>WIRE NO -852</a:t>
          </a:r>
        </a:p>
      </xdr:txBody>
    </xdr:sp>
    <xdr:clientData/>
  </xdr:twoCellAnchor>
  <xdr:twoCellAnchor>
    <xdr:from>
      <xdr:col>9</xdr:col>
      <xdr:colOff>1254125</xdr:colOff>
      <xdr:row>96</xdr:row>
      <xdr:rowOff>269875</xdr:rowOff>
    </xdr:from>
    <xdr:to>
      <xdr:col>12</xdr:col>
      <xdr:colOff>603250</xdr:colOff>
      <xdr:row>96</xdr:row>
      <xdr:rowOff>317500</xdr:rowOff>
    </xdr:to>
    <xdr:cxnSp macro="">
      <xdr:nvCxnSpPr>
        <xdr:cNvPr id="237" name="Straight Connector 236">
          <a:extLst>
            <a:ext uri="{FF2B5EF4-FFF2-40B4-BE49-F238E27FC236}">
              <a16:creationId xmlns:a16="http://schemas.microsoft.com/office/drawing/2014/main" id="{BDF851AB-C2A5-B426-5389-4F37D702E754}"/>
            </a:ext>
          </a:extLst>
        </xdr:cNvPr>
        <xdr:cNvCxnSpPr>
          <a:cxnSpLocks/>
        </xdr:cNvCxnSpPr>
      </xdr:nvCxnSpPr>
      <xdr:spPr>
        <a:xfrm flipV="1">
          <a:off x="8620125" y="42926000"/>
          <a:ext cx="8382000" cy="47625"/>
        </a:xfrm>
        <a:prstGeom prst="line">
          <a:avLst/>
        </a:prstGeom>
        <a:ln w="3810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4746625</xdr:colOff>
      <xdr:row>96</xdr:row>
      <xdr:rowOff>174625</xdr:rowOff>
    </xdr:from>
    <xdr:to>
      <xdr:col>10</xdr:col>
      <xdr:colOff>2168239</xdr:colOff>
      <xdr:row>97</xdr:row>
      <xdr:rowOff>219616</xdr:rowOff>
    </xdr:to>
    <xdr:sp macro="" textlink="">
      <xdr:nvSpPr>
        <xdr:cNvPr id="239" name="Rectangle 238">
          <a:extLst>
            <a:ext uri="{FF2B5EF4-FFF2-40B4-BE49-F238E27FC236}">
              <a16:creationId xmlns:a16="http://schemas.microsoft.com/office/drawing/2014/main" id="{441FD30A-7AEB-7B05-4AE6-0CCD87B401C6}"/>
            </a:ext>
          </a:extLst>
        </xdr:cNvPr>
        <xdr:cNvSpPr/>
      </xdr:nvSpPr>
      <xdr:spPr>
        <a:xfrm>
          <a:off x="12112625" y="42830750"/>
          <a:ext cx="2549239" cy="48949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600">
              <a:solidFill>
                <a:sysClr val="windowText" lastClr="000000"/>
              </a:solidFill>
            </a:rPr>
            <a:t>WIRE NO -746</a:t>
          </a:r>
        </a:p>
      </xdr:txBody>
    </xdr:sp>
    <xdr:clientData/>
  </xdr:twoCellAnchor>
  <xdr:twoCellAnchor>
    <xdr:from>
      <xdr:col>2</xdr:col>
      <xdr:colOff>0</xdr:colOff>
      <xdr:row>102</xdr:row>
      <xdr:rowOff>0</xdr:rowOff>
    </xdr:from>
    <xdr:to>
      <xdr:col>12</xdr:col>
      <xdr:colOff>1381126</xdr:colOff>
      <xdr:row>110</xdr:row>
      <xdr:rowOff>0</xdr:rowOff>
    </xdr:to>
    <xdr:grpSp>
      <xdr:nvGrpSpPr>
        <xdr:cNvPr id="240" name="Group 239">
          <a:extLst>
            <a:ext uri="{FF2B5EF4-FFF2-40B4-BE49-F238E27FC236}">
              <a16:creationId xmlns:a16="http://schemas.microsoft.com/office/drawing/2014/main" id="{047EC5C6-1E11-27AE-BA64-511061DDF240}"/>
            </a:ext>
          </a:extLst>
        </xdr:cNvPr>
        <xdr:cNvGrpSpPr/>
      </xdr:nvGrpSpPr>
      <xdr:grpSpPr>
        <a:xfrm>
          <a:off x="127000" y="45323125"/>
          <a:ext cx="17653001" cy="3556000"/>
          <a:chOff x="586153" y="396895"/>
          <a:chExt cx="10796954" cy="2041485"/>
        </a:xfrm>
      </xdr:grpSpPr>
      <xdr:grpSp>
        <xdr:nvGrpSpPr>
          <xdr:cNvPr id="241" name="Group 240">
            <a:extLst>
              <a:ext uri="{FF2B5EF4-FFF2-40B4-BE49-F238E27FC236}">
                <a16:creationId xmlns:a16="http://schemas.microsoft.com/office/drawing/2014/main" id="{D33863BF-E9E8-5B94-897F-B80585F8AA2E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245" name="Group 244">
              <a:extLst>
                <a:ext uri="{FF2B5EF4-FFF2-40B4-BE49-F238E27FC236}">
                  <a16:creationId xmlns:a16="http://schemas.microsoft.com/office/drawing/2014/main" id="{68C3DFC1-F5ED-78F9-B22C-BA0DAD16E775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697523" y="444694"/>
              <a:chExt cx="10796954" cy="2333674"/>
            </a:xfrm>
          </xdr:grpSpPr>
          <xdr:sp macro="" textlink="">
            <xdr:nvSpPr>
              <xdr:cNvPr id="247" name="Rectangle 246">
                <a:extLst>
                  <a:ext uri="{FF2B5EF4-FFF2-40B4-BE49-F238E27FC236}">
                    <a16:creationId xmlns:a16="http://schemas.microsoft.com/office/drawing/2014/main" id="{44B363EF-F258-6D61-8B1F-16A9B279DF48}"/>
                  </a:ext>
                </a:extLst>
              </xdr:cNvPr>
              <xdr:cNvSpPr/>
            </xdr:nvSpPr>
            <xdr:spPr>
              <a:xfrm>
                <a:off x="697523" y="468922"/>
                <a:ext cx="10796954" cy="2309446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IN" sz="1600"/>
              </a:p>
            </xdr:txBody>
          </xdr:sp>
          <xdr:cxnSp macro="">
            <xdr:nvCxnSpPr>
              <xdr:cNvPr id="248" name="Straight Connector 247">
                <a:extLst>
                  <a:ext uri="{FF2B5EF4-FFF2-40B4-BE49-F238E27FC236}">
                    <a16:creationId xmlns:a16="http://schemas.microsoft.com/office/drawing/2014/main" id="{2A75DA25-8E8B-60FD-ED41-30B28D946BBB}"/>
                  </a:ext>
                </a:extLst>
              </xdr:cNvPr>
              <xdr:cNvCxnSpPr>
                <a:cxnSpLocks/>
                <a:endCxn id="253" idx="1"/>
              </xdr:cNvCxnSpPr>
            </xdr:nvCxnSpPr>
            <xdr:spPr>
              <a:xfrm>
                <a:off x="2173366" y="767658"/>
                <a:ext cx="3219249" cy="750461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249" name="Straight Connector 248">
                <a:extLst>
                  <a:ext uri="{FF2B5EF4-FFF2-40B4-BE49-F238E27FC236}">
                    <a16:creationId xmlns:a16="http://schemas.microsoft.com/office/drawing/2014/main" id="{8A646B62-BE8D-B4DA-99D3-FA4929A9E955}"/>
                  </a:ext>
                </a:extLst>
              </xdr:cNvPr>
              <xdr:cNvCxnSpPr>
                <a:cxnSpLocks/>
              </xdr:cNvCxnSpPr>
            </xdr:nvCxnSpPr>
            <xdr:spPr>
              <a:xfrm flipV="1">
                <a:off x="5873261" y="767658"/>
                <a:ext cx="5138916" cy="751299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250" name="Rectangle 249">
                <a:extLst>
                  <a:ext uri="{FF2B5EF4-FFF2-40B4-BE49-F238E27FC236}">
                    <a16:creationId xmlns:a16="http://schemas.microsoft.com/office/drawing/2014/main" id="{28011AE2-405E-12AD-6ABF-5B7572ACF3E5}"/>
                  </a:ext>
                </a:extLst>
              </xdr:cNvPr>
              <xdr:cNvSpPr/>
            </xdr:nvSpPr>
            <xdr:spPr>
              <a:xfrm>
                <a:off x="5058507" y="1768740"/>
                <a:ext cx="1148862" cy="278410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63130-2</a:t>
                </a:r>
              </a:p>
            </xdr:txBody>
          </xdr:sp>
          <xdr:sp macro="" textlink="">
            <xdr:nvSpPr>
              <xdr:cNvPr id="251" name="Rectangle 250">
                <a:extLst>
                  <a:ext uri="{FF2B5EF4-FFF2-40B4-BE49-F238E27FC236}">
                    <a16:creationId xmlns:a16="http://schemas.microsoft.com/office/drawing/2014/main" id="{E1EE6634-6FB4-607F-B1D6-ADEB5154EDB3}"/>
                  </a:ext>
                </a:extLst>
              </xdr:cNvPr>
              <xdr:cNvSpPr/>
            </xdr:nvSpPr>
            <xdr:spPr>
              <a:xfrm>
                <a:off x="1911584" y="1133378"/>
                <a:ext cx="1559169" cy="324860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WIRE NO -851</a:t>
                </a:r>
              </a:p>
            </xdr:txBody>
          </xdr:sp>
          <xdr:sp macro="" textlink="">
            <xdr:nvSpPr>
              <xdr:cNvPr id="252" name="Rectangle 251">
                <a:extLst>
                  <a:ext uri="{FF2B5EF4-FFF2-40B4-BE49-F238E27FC236}">
                    <a16:creationId xmlns:a16="http://schemas.microsoft.com/office/drawing/2014/main" id="{F7036CC1-9D43-8DC5-39B4-2C6A2D823526}"/>
                  </a:ext>
                </a:extLst>
              </xdr:cNvPr>
              <xdr:cNvSpPr/>
            </xdr:nvSpPr>
            <xdr:spPr>
              <a:xfrm>
                <a:off x="4292451" y="444694"/>
                <a:ext cx="2114211" cy="517383"/>
              </a:xfrm>
              <a:prstGeom prst="rect">
                <a:avLst/>
              </a:prstGeom>
              <a:noFill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2000" b="1">
                    <a:solidFill>
                      <a:sysClr val="windowText" lastClr="000000"/>
                    </a:solidFill>
                  </a:rPr>
                  <a:t>SPL-D2</a:t>
                </a:r>
              </a:p>
            </xdr:txBody>
          </xdr:sp>
          <xdr:sp macro="" textlink="">
            <xdr:nvSpPr>
              <xdr:cNvPr id="253" name="Rectangle 252">
                <a:extLst>
                  <a:ext uri="{FF2B5EF4-FFF2-40B4-BE49-F238E27FC236}">
                    <a16:creationId xmlns:a16="http://schemas.microsoft.com/office/drawing/2014/main" id="{CF245F2A-28AA-71A0-B9BF-12B464877F88}"/>
                  </a:ext>
                </a:extLst>
              </xdr:cNvPr>
              <xdr:cNvSpPr/>
            </xdr:nvSpPr>
            <xdr:spPr>
              <a:xfrm>
                <a:off x="5392615" y="1348142"/>
                <a:ext cx="480646" cy="339952"/>
              </a:xfrm>
              <a:prstGeom prst="rect">
                <a:avLst/>
              </a:prstGeom>
              <a:noFill/>
              <a:ln w="381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IN" sz="1600"/>
              </a:p>
            </xdr:txBody>
          </xdr:sp>
        </xdr:grpSp>
        <xdr:sp macro="" textlink="">
          <xdr:nvSpPr>
            <xdr:cNvPr id="246" name="Rectangle 245">
              <a:extLst>
                <a:ext uri="{FF2B5EF4-FFF2-40B4-BE49-F238E27FC236}">
                  <a16:creationId xmlns:a16="http://schemas.microsoft.com/office/drawing/2014/main" id="{2699D175-9372-E652-D073-B300988AAA96}"/>
                </a:ext>
              </a:extLst>
            </xdr:cNvPr>
            <xdr:cNvSpPr/>
          </xdr:nvSpPr>
          <xdr:spPr>
            <a:xfrm rot="21059503">
              <a:off x="7939452" y="728864"/>
              <a:ext cx="1559169" cy="28101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WIRE NO -748</a:t>
              </a:r>
            </a:p>
          </xdr:txBody>
        </xdr:sp>
      </xdr:grpSp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BDF851AB-C2A5-B426-5389-4F37D702E754}"/>
              </a:ext>
            </a:extLst>
          </xdr:cNvPr>
          <xdr:cNvCxnSpPr>
            <a:cxnSpLocks/>
          </xdr:cNvCxnSpPr>
        </xdr:nvCxnSpPr>
        <xdr:spPr>
          <a:xfrm>
            <a:off x="5778016" y="1347605"/>
            <a:ext cx="5096941" cy="566339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44" name="Rectangle 243">
            <a:extLst>
              <a:ext uri="{FF2B5EF4-FFF2-40B4-BE49-F238E27FC236}">
                <a16:creationId xmlns:a16="http://schemas.microsoft.com/office/drawing/2014/main" id="{441FD30A-7AEB-7B05-4AE6-0CCD87B401C6}"/>
              </a:ext>
            </a:extLst>
          </xdr:cNvPr>
          <xdr:cNvSpPr/>
        </xdr:nvSpPr>
        <xdr:spPr>
          <a:xfrm rot="524822">
            <a:off x="8276469" y="1766223"/>
            <a:ext cx="1559169" cy="28101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WIRE NO -850</a:t>
            </a:r>
          </a:p>
        </xdr:txBody>
      </xdr:sp>
    </xdr:grpSp>
    <xdr:clientData/>
  </xdr:twoCellAnchor>
  <xdr:twoCellAnchor>
    <xdr:from>
      <xdr:col>3</xdr:col>
      <xdr:colOff>549275</xdr:colOff>
      <xdr:row>105</xdr:row>
      <xdr:rowOff>327560</xdr:rowOff>
    </xdr:from>
    <xdr:to>
      <xdr:col>9</xdr:col>
      <xdr:colOff>462867</xdr:colOff>
      <xdr:row>107</xdr:row>
      <xdr:rowOff>43327</xdr:rowOff>
    </xdr:to>
    <xdr:cxnSp macro="">
      <xdr:nvCxnSpPr>
        <xdr:cNvPr id="254" name="Straight Connector 253">
          <a:extLst>
            <a:ext uri="{FF2B5EF4-FFF2-40B4-BE49-F238E27FC236}">
              <a16:creationId xmlns:a16="http://schemas.microsoft.com/office/drawing/2014/main" id="{2A75DA25-8E8B-60FD-ED41-30B28D946BBB}"/>
            </a:ext>
          </a:extLst>
        </xdr:cNvPr>
        <xdr:cNvCxnSpPr>
          <a:cxnSpLocks/>
        </xdr:cNvCxnSpPr>
      </xdr:nvCxnSpPr>
      <xdr:spPr>
        <a:xfrm flipV="1">
          <a:off x="1184275" y="46984185"/>
          <a:ext cx="6644592" cy="604767"/>
        </a:xfrm>
        <a:prstGeom prst="line">
          <a:avLst/>
        </a:prstGeom>
        <a:ln w="3810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1263650</xdr:colOff>
      <xdr:row>105</xdr:row>
      <xdr:rowOff>231775</xdr:rowOff>
    </xdr:from>
    <xdr:to>
      <xdr:col>12</xdr:col>
      <xdr:colOff>612775</xdr:colOff>
      <xdr:row>105</xdr:row>
      <xdr:rowOff>279400</xdr:rowOff>
    </xdr:to>
    <xdr:cxnSp macro="">
      <xdr:nvCxnSpPr>
        <xdr:cNvPr id="255" name="Straight Connector 254">
          <a:extLst>
            <a:ext uri="{FF2B5EF4-FFF2-40B4-BE49-F238E27FC236}">
              <a16:creationId xmlns:a16="http://schemas.microsoft.com/office/drawing/2014/main" id="{BDF851AB-C2A5-B426-5389-4F37D702E754}"/>
            </a:ext>
          </a:extLst>
        </xdr:cNvPr>
        <xdr:cNvCxnSpPr>
          <a:cxnSpLocks/>
        </xdr:cNvCxnSpPr>
      </xdr:nvCxnSpPr>
      <xdr:spPr>
        <a:xfrm flipV="1">
          <a:off x="8629650" y="46888400"/>
          <a:ext cx="8382000" cy="47625"/>
        </a:xfrm>
        <a:prstGeom prst="line">
          <a:avLst/>
        </a:prstGeom>
        <a:ln w="38100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555625</xdr:colOff>
      <xdr:row>105</xdr:row>
      <xdr:rowOff>206375</xdr:rowOff>
    </xdr:from>
    <xdr:to>
      <xdr:col>11</xdr:col>
      <xdr:colOff>787114</xdr:colOff>
      <xdr:row>106</xdr:row>
      <xdr:rowOff>251366</xdr:rowOff>
    </xdr:to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2699D175-9372-E652-D073-B300988AAA96}"/>
            </a:ext>
          </a:extLst>
        </xdr:cNvPr>
        <xdr:cNvSpPr/>
      </xdr:nvSpPr>
      <xdr:spPr>
        <a:xfrm>
          <a:off x="13049250" y="46863000"/>
          <a:ext cx="2549239" cy="48949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600">
              <a:solidFill>
                <a:sysClr val="windowText" lastClr="000000"/>
              </a:solidFill>
            </a:rPr>
            <a:t>WIRE NO -849</a:t>
          </a:r>
        </a:p>
      </xdr:txBody>
    </xdr:sp>
    <xdr:clientData/>
  </xdr:twoCellAnchor>
  <xdr:twoCellAnchor>
    <xdr:from>
      <xdr:col>6</xdr:col>
      <xdr:colOff>127000</xdr:colOff>
      <xdr:row>107</xdr:row>
      <xdr:rowOff>0</xdr:rowOff>
    </xdr:from>
    <xdr:to>
      <xdr:col>8</xdr:col>
      <xdr:colOff>914114</xdr:colOff>
      <xdr:row>108</xdr:row>
      <xdr:rowOff>50514</xdr:rowOff>
    </xdr:to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E1EE6634-6FB4-607F-B1D6-ADEB5154EDB3}"/>
            </a:ext>
          </a:extLst>
        </xdr:cNvPr>
        <xdr:cNvSpPr/>
      </xdr:nvSpPr>
      <xdr:spPr>
        <a:xfrm>
          <a:off x="2667000" y="47545625"/>
          <a:ext cx="2549239" cy="4950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1600">
              <a:solidFill>
                <a:sysClr val="windowText" lastClr="000000"/>
              </a:solidFill>
            </a:rPr>
            <a:t>WIRE NO -853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N132"/>
  <sheetViews>
    <sheetView view="pageBreakPreview" topLeftCell="I3" zoomScale="85" zoomScaleNormal="85" zoomScaleSheetLayoutView="85" workbookViewId="0">
      <selection activeCell="O7" sqref="A1:XFD1048576"/>
    </sheetView>
  </sheetViews>
  <sheetFormatPr defaultRowHeight="15" x14ac:dyDescent="0.25"/>
  <cols>
    <col min="1" max="1" width="1" customWidth="1"/>
    <col min="2" max="2" width="7.5703125" customWidth="1"/>
    <col min="3" max="3" width="20.42578125" customWidth="1"/>
    <col min="4" max="6" width="4.140625" customWidth="1"/>
    <col min="7" max="7" width="25.140625" customWidth="1"/>
    <col min="8" max="8" width="50" customWidth="1"/>
    <col min="9" max="9" width="39.5703125" customWidth="1"/>
    <col min="10" max="10" width="34.85546875" customWidth="1"/>
    <col min="11" max="11" width="26.5703125" customWidth="1"/>
    <col min="12" max="12" width="34.28515625" customWidth="1"/>
    <col min="13" max="13" width="18.140625" customWidth="1"/>
    <col min="14" max="14" width="43.5703125" customWidth="1"/>
    <col min="15" max="15" width="6.85546875" customWidth="1"/>
  </cols>
  <sheetData>
    <row r="1" spans="2:14" ht="55.5" customHeight="1" thickBot="1" x14ac:dyDescent="0.3">
      <c r="B1" s="71" t="s">
        <v>0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3"/>
    </row>
    <row r="2" spans="2:14" ht="28.35" customHeight="1" x14ac:dyDescent="0.25">
      <c r="B2" s="74" t="s">
        <v>1</v>
      </c>
      <c r="C2" s="75"/>
      <c r="D2" s="75"/>
      <c r="E2" s="75"/>
      <c r="F2" s="75"/>
      <c r="G2" s="76"/>
      <c r="H2" s="76"/>
      <c r="I2" s="76"/>
      <c r="J2" s="76"/>
      <c r="K2" s="76"/>
      <c r="L2" s="76"/>
      <c r="M2" s="76"/>
      <c r="N2" s="77"/>
    </row>
    <row r="3" spans="2:14" ht="15.95" customHeight="1" x14ac:dyDescent="0.25">
      <c r="B3" s="78" t="s">
        <v>2</v>
      </c>
      <c r="C3" s="79"/>
      <c r="D3" s="79"/>
      <c r="E3" s="79"/>
      <c r="F3" s="79"/>
      <c r="G3" s="80"/>
      <c r="H3" s="37" t="s">
        <v>228</v>
      </c>
      <c r="I3" s="10" t="s">
        <v>208</v>
      </c>
      <c r="J3" s="36" t="s">
        <v>299</v>
      </c>
      <c r="K3" s="91" t="s">
        <v>209</v>
      </c>
      <c r="L3" s="80"/>
      <c r="M3" s="91" t="s">
        <v>303</v>
      </c>
      <c r="N3" s="92"/>
    </row>
    <row r="4" spans="2:14" ht="21" customHeight="1" x14ac:dyDescent="0.25">
      <c r="B4" s="84" t="s">
        <v>3</v>
      </c>
      <c r="C4" s="82"/>
      <c r="D4" s="82"/>
      <c r="E4" s="82"/>
      <c r="F4" s="82"/>
      <c r="G4" s="70"/>
      <c r="H4" s="36" t="s">
        <v>4</v>
      </c>
      <c r="I4" s="11" t="s">
        <v>211</v>
      </c>
      <c r="J4" s="36">
        <v>2</v>
      </c>
      <c r="K4" s="81" t="s">
        <v>212</v>
      </c>
      <c r="L4" s="82"/>
      <c r="M4" s="70" t="s">
        <v>304</v>
      </c>
      <c r="N4" s="83"/>
    </row>
    <row r="5" spans="2:14" ht="21" customHeight="1" x14ac:dyDescent="0.25">
      <c r="B5" s="85" t="s">
        <v>5</v>
      </c>
      <c r="C5" s="80"/>
      <c r="D5" s="80"/>
      <c r="E5" s="80"/>
      <c r="F5" s="80"/>
      <c r="G5" s="86"/>
      <c r="H5" s="37" t="s">
        <v>23</v>
      </c>
      <c r="I5" s="11" t="s">
        <v>213</v>
      </c>
      <c r="J5" s="36" t="s">
        <v>297</v>
      </c>
      <c r="K5" s="87" t="s">
        <v>6</v>
      </c>
      <c r="L5" s="88"/>
      <c r="M5" s="89" t="s">
        <v>7</v>
      </c>
      <c r="N5" s="90"/>
    </row>
    <row r="6" spans="2:14" ht="56.25" customHeight="1" x14ac:dyDescent="0.25">
      <c r="B6" s="60" t="s">
        <v>216</v>
      </c>
      <c r="C6" s="60" t="s">
        <v>8</v>
      </c>
      <c r="D6" s="70" t="s">
        <v>9</v>
      </c>
      <c r="E6" s="70"/>
      <c r="F6" s="70"/>
      <c r="G6" s="70"/>
      <c r="H6" s="61" t="s">
        <v>10</v>
      </c>
      <c r="I6" s="36" t="s">
        <v>11</v>
      </c>
      <c r="J6" s="36" t="s">
        <v>12</v>
      </c>
      <c r="K6" s="61" t="s">
        <v>13</v>
      </c>
      <c r="L6" s="61" t="s">
        <v>14</v>
      </c>
      <c r="M6" s="61" t="s">
        <v>13</v>
      </c>
      <c r="N6" s="62" t="s">
        <v>14</v>
      </c>
    </row>
    <row r="7" spans="2:14" ht="40.5" customHeight="1" x14ac:dyDescent="0.25">
      <c r="B7" s="52">
        <v>1</v>
      </c>
      <c r="C7" s="52" t="s">
        <v>119</v>
      </c>
      <c r="D7" s="69" t="s">
        <v>31</v>
      </c>
      <c r="E7" s="69"/>
      <c r="F7" s="69"/>
      <c r="G7" s="69"/>
      <c r="H7" s="53" t="s">
        <v>214</v>
      </c>
      <c r="I7" s="53" t="s">
        <v>32</v>
      </c>
      <c r="J7" s="53">
        <v>980</v>
      </c>
      <c r="K7" s="54">
        <v>5</v>
      </c>
      <c r="L7" s="64" t="s">
        <v>34</v>
      </c>
      <c r="M7" s="54">
        <v>11</v>
      </c>
      <c r="N7" s="55" t="s">
        <v>38</v>
      </c>
    </row>
    <row r="8" spans="2:14" ht="40.5" customHeight="1" x14ac:dyDescent="0.25">
      <c r="B8" s="52">
        <v>2</v>
      </c>
      <c r="C8" s="52" t="s">
        <v>120</v>
      </c>
      <c r="D8" s="69" t="s">
        <v>31</v>
      </c>
      <c r="E8" s="69"/>
      <c r="F8" s="69"/>
      <c r="G8" s="69"/>
      <c r="H8" s="53" t="s">
        <v>214</v>
      </c>
      <c r="I8" s="53" t="s">
        <v>33</v>
      </c>
      <c r="J8" s="53">
        <v>1200</v>
      </c>
      <c r="K8" s="54">
        <v>12</v>
      </c>
      <c r="L8" s="55" t="s">
        <v>305</v>
      </c>
      <c r="M8" s="54">
        <v>5</v>
      </c>
      <c r="N8" s="56" t="s">
        <v>34</v>
      </c>
    </row>
    <row r="9" spans="2:14" ht="40.5" customHeight="1" x14ac:dyDescent="0.25">
      <c r="B9" s="52">
        <v>3</v>
      </c>
      <c r="C9" s="52" t="s">
        <v>225</v>
      </c>
      <c r="D9" s="69" t="s">
        <v>24</v>
      </c>
      <c r="E9" s="69"/>
      <c r="F9" s="69"/>
      <c r="G9" s="69"/>
      <c r="H9" s="53" t="s">
        <v>222</v>
      </c>
      <c r="I9" s="53" t="s">
        <v>100</v>
      </c>
      <c r="J9" s="53">
        <v>1810</v>
      </c>
      <c r="K9" s="54">
        <v>2</v>
      </c>
      <c r="L9" s="64" t="s">
        <v>37</v>
      </c>
      <c r="M9" s="54">
        <v>3.5</v>
      </c>
      <c r="N9" s="55" t="s">
        <v>92</v>
      </c>
    </row>
    <row r="10" spans="2:14" ht="40.5" customHeight="1" x14ac:dyDescent="0.25">
      <c r="B10" s="52">
        <v>4</v>
      </c>
      <c r="C10" s="52" t="s">
        <v>121</v>
      </c>
      <c r="D10" s="69" t="s">
        <v>35</v>
      </c>
      <c r="E10" s="69"/>
      <c r="F10" s="69"/>
      <c r="G10" s="69"/>
      <c r="H10" s="53" t="s">
        <v>215</v>
      </c>
      <c r="I10" s="53" t="s">
        <v>29</v>
      </c>
      <c r="J10" s="53">
        <f>2650+15</f>
        <v>2665</v>
      </c>
      <c r="K10" s="54">
        <v>3</v>
      </c>
      <c r="L10" s="64" t="s">
        <v>36</v>
      </c>
      <c r="M10" s="54">
        <v>3</v>
      </c>
      <c r="N10" s="56">
        <v>39000040</v>
      </c>
    </row>
    <row r="11" spans="2:14" ht="40.5" customHeight="1" x14ac:dyDescent="0.25">
      <c r="B11" s="52">
        <v>5</v>
      </c>
      <c r="C11" s="52" t="s">
        <v>122</v>
      </c>
      <c r="D11" s="69" t="s">
        <v>31</v>
      </c>
      <c r="E11" s="69"/>
      <c r="F11" s="69"/>
      <c r="G11" s="69"/>
      <c r="H11" s="53" t="s">
        <v>214</v>
      </c>
      <c r="I11" s="53" t="s">
        <v>32</v>
      </c>
      <c r="J11" s="53">
        <f>625+25</f>
        <v>650</v>
      </c>
      <c r="K11" s="54">
        <v>3</v>
      </c>
      <c r="L11" s="56">
        <v>39000040</v>
      </c>
      <c r="M11" s="54">
        <v>11</v>
      </c>
      <c r="N11" s="55" t="s">
        <v>200</v>
      </c>
    </row>
    <row r="12" spans="2:14" ht="40.5" customHeight="1" x14ac:dyDescent="0.25">
      <c r="B12" s="52">
        <v>6</v>
      </c>
      <c r="C12" s="52" t="s">
        <v>123</v>
      </c>
      <c r="D12" s="69" t="s">
        <v>24</v>
      </c>
      <c r="E12" s="69"/>
      <c r="F12" s="69"/>
      <c r="G12" s="69"/>
      <c r="H12" s="53" t="s">
        <v>222</v>
      </c>
      <c r="I12" s="53" t="s">
        <v>15</v>
      </c>
      <c r="J12" s="53">
        <v>1610</v>
      </c>
      <c r="K12" s="54">
        <v>2</v>
      </c>
      <c r="L12" s="64" t="s">
        <v>37</v>
      </c>
      <c r="M12" s="54">
        <v>7</v>
      </c>
      <c r="N12" s="55" t="s">
        <v>201</v>
      </c>
    </row>
    <row r="13" spans="2:14" ht="40.5" customHeight="1" x14ac:dyDescent="0.25">
      <c r="B13" s="52">
        <v>7</v>
      </c>
      <c r="C13" s="52" t="s">
        <v>124</v>
      </c>
      <c r="D13" s="69" t="s">
        <v>24</v>
      </c>
      <c r="E13" s="69"/>
      <c r="F13" s="69"/>
      <c r="G13" s="69"/>
      <c r="H13" s="53" t="s">
        <v>222</v>
      </c>
      <c r="I13" s="53" t="s">
        <v>33</v>
      </c>
      <c r="J13" s="34">
        <f>670-10</f>
        <v>660</v>
      </c>
      <c r="K13" s="54">
        <v>3</v>
      </c>
      <c r="L13" s="64">
        <v>39000048</v>
      </c>
      <c r="M13" s="54">
        <v>7</v>
      </c>
      <c r="N13" s="55" t="s">
        <v>202</v>
      </c>
    </row>
    <row r="14" spans="2:14" ht="40.5" customHeight="1" x14ac:dyDescent="0.25">
      <c r="B14" s="52">
        <v>8</v>
      </c>
      <c r="C14" s="52" t="s">
        <v>125</v>
      </c>
      <c r="D14" s="69" t="s">
        <v>24</v>
      </c>
      <c r="E14" s="69"/>
      <c r="F14" s="69"/>
      <c r="G14" s="69"/>
      <c r="H14" s="53" t="s">
        <v>222</v>
      </c>
      <c r="I14" s="53" t="s">
        <v>15</v>
      </c>
      <c r="J14" s="53">
        <v>1440</v>
      </c>
      <c r="K14" s="54">
        <v>2</v>
      </c>
      <c r="L14" s="64" t="s">
        <v>40</v>
      </c>
      <c r="M14" s="54">
        <v>3</v>
      </c>
      <c r="N14" s="56">
        <v>39000048</v>
      </c>
    </row>
    <row r="15" spans="2:14" ht="40.5" customHeight="1" x14ac:dyDescent="0.25">
      <c r="B15" s="52">
        <v>9</v>
      </c>
      <c r="C15" s="52" t="s">
        <v>126</v>
      </c>
      <c r="D15" s="69" t="s">
        <v>24</v>
      </c>
      <c r="E15" s="69"/>
      <c r="F15" s="69"/>
      <c r="G15" s="69"/>
      <c r="H15" s="53" t="s">
        <v>222</v>
      </c>
      <c r="I15" s="53" t="s">
        <v>17</v>
      </c>
      <c r="J15" s="53">
        <v>1450</v>
      </c>
      <c r="K15" s="54">
        <v>3</v>
      </c>
      <c r="L15" s="64">
        <v>39000048</v>
      </c>
      <c r="M15" s="54">
        <v>2</v>
      </c>
      <c r="N15" s="55" t="s">
        <v>40</v>
      </c>
    </row>
    <row r="16" spans="2:14" ht="40.5" customHeight="1" x14ac:dyDescent="0.25">
      <c r="B16" s="52">
        <v>10</v>
      </c>
      <c r="C16" s="52" t="s">
        <v>127</v>
      </c>
      <c r="D16" s="69" t="s">
        <v>35</v>
      </c>
      <c r="E16" s="69"/>
      <c r="F16" s="69"/>
      <c r="G16" s="69"/>
      <c r="H16" s="53" t="s">
        <v>215</v>
      </c>
      <c r="I16" s="53" t="s">
        <v>16</v>
      </c>
      <c r="J16" s="53">
        <v>1230</v>
      </c>
      <c r="K16" s="54">
        <v>3.5</v>
      </c>
      <c r="L16" s="64" t="s">
        <v>36</v>
      </c>
      <c r="M16" s="54">
        <v>7</v>
      </c>
      <c r="N16" s="55" t="s">
        <v>41</v>
      </c>
    </row>
    <row r="17" spans="2:14" ht="40.5" customHeight="1" x14ac:dyDescent="0.25">
      <c r="B17" s="52">
        <v>11</v>
      </c>
      <c r="C17" s="52" t="s">
        <v>217</v>
      </c>
      <c r="D17" s="69" t="s">
        <v>24</v>
      </c>
      <c r="E17" s="69"/>
      <c r="F17" s="69"/>
      <c r="G17" s="69"/>
      <c r="H17" s="53" t="s">
        <v>222</v>
      </c>
      <c r="I17" s="53" t="s">
        <v>17</v>
      </c>
      <c r="J17" s="53">
        <v>830</v>
      </c>
      <c r="K17" s="54">
        <v>2</v>
      </c>
      <c r="L17" s="64" t="s">
        <v>40</v>
      </c>
      <c r="M17" s="54">
        <v>7</v>
      </c>
      <c r="N17" s="55" t="s">
        <v>229</v>
      </c>
    </row>
    <row r="18" spans="2:14" ht="40.5" customHeight="1" x14ac:dyDescent="0.25">
      <c r="B18" s="52">
        <v>12</v>
      </c>
      <c r="C18" s="52" t="s">
        <v>128</v>
      </c>
      <c r="D18" s="69" t="s">
        <v>24</v>
      </c>
      <c r="E18" s="69"/>
      <c r="F18" s="69"/>
      <c r="G18" s="69"/>
      <c r="H18" s="53" t="s">
        <v>222</v>
      </c>
      <c r="I18" s="53" t="s">
        <v>27</v>
      </c>
      <c r="J18" s="53">
        <v>1365</v>
      </c>
      <c r="K18" s="54">
        <v>3</v>
      </c>
      <c r="L18" s="64">
        <v>39000048</v>
      </c>
      <c r="M18" s="54">
        <v>2</v>
      </c>
      <c r="N18" s="56">
        <v>561349000</v>
      </c>
    </row>
    <row r="19" spans="2:14" ht="40.5" customHeight="1" x14ac:dyDescent="0.25">
      <c r="B19" s="52">
        <v>13</v>
      </c>
      <c r="C19" s="52" t="s">
        <v>129</v>
      </c>
      <c r="D19" s="69" t="s">
        <v>31</v>
      </c>
      <c r="E19" s="69"/>
      <c r="F19" s="69"/>
      <c r="G19" s="69"/>
      <c r="H19" s="53" t="s">
        <v>214</v>
      </c>
      <c r="I19" s="53" t="s">
        <v>32</v>
      </c>
      <c r="J19" s="53">
        <v>950</v>
      </c>
      <c r="K19" s="54">
        <v>3.5</v>
      </c>
      <c r="L19" s="64" t="s">
        <v>42</v>
      </c>
      <c r="M19" s="54">
        <v>11</v>
      </c>
      <c r="N19" s="55" t="s">
        <v>43</v>
      </c>
    </row>
    <row r="20" spans="2:14" ht="40.5" customHeight="1" x14ac:dyDescent="0.25">
      <c r="B20" s="52">
        <v>14</v>
      </c>
      <c r="C20" s="52" t="s">
        <v>130</v>
      </c>
      <c r="D20" s="69" t="s">
        <v>35</v>
      </c>
      <c r="E20" s="69"/>
      <c r="F20" s="69"/>
      <c r="G20" s="69"/>
      <c r="H20" s="53" t="s">
        <v>215</v>
      </c>
      <c r="I20" s="53" t="s">
        <v>28</v>
      </c>
      <c r="J20" s="53">
        <f>2590+10</f>
        <v>2600</v>
      </c>
      <c r="K20" s="54">
        <v>3</v>
      </c>
      <c r="L20" s="64" t="s">
        <v>36</v>
      </c>
      <c r="M20" s="54">
        <v>3</v>
      </c>
      <c r="N20" s="56">
        <v>39000048</v>
      </c>
    </row>
    <row r="21" spans="2:14" ht="40.5" customHeight="1" x14ac:dyDescent="0.25">
      <c r="B21" s="52">
        <v>15</v>
      </c>
      <c r="C21" s="52" t="s">
        <v>131</v>
      </c>
      <c r="D21" s="69" t="s">
        <v>24</v>
      </c>
      <c r="E21" s="69"/>
      <c r="F21" s="69"/>
      <c r="G21" s="69"/>
      <c r="H21" s="53" t="s">
        <v>222</v>
      </c>
      <c r="I21" s="53" t="s">
        <v>44</v>
      </c>
      <c r="J21" s="53">
        <v>1440</v>
      </c>
      <c r="K21" s="54">
        <v>2</v>
      </c>
      <c r="L21" s="64" t="s">
        <v>40</v>
      </c>
      <c r="M21" s="54">
        <v>3</v>
      </c>
      <c r="N21" s="56">
        <v>39000048</v>
      </c>
    </row>
    <row r="22" spans="2:14" ht="40.5" customHeight="1" x14ac:dyDescent="0.25">
      <c r="B22" s="52">
        <v>16</v>
      </c>
      <c r="C22" s="52" t="s">
        <v>132</v>
      </c>
      <c r="D22" s="69" t="s">
        <v>31</v>
      </c>
      <c r="E22" s="69"/>
      <c r="F22" s="69"/>
      <c r="G22" s="69"/>
      <c r="H22" s="53" t="s">
        <v>214</v>
      </c>
      <c r="I22" s="53" t="s">
        <v>19</v>
      </c>
      <c r="J22" s="34">
        <f>1165+10</f>
        <v>1175</v>
      </c>
      <c r="K22" s="54">
        <v>3.5</v>
      </c>
      <c r="L22" s="64" t="s">
        <v>42</v>
      </c>
      <c r="M22" s="54">
        <v>4.8</v>
      </c>
      <c r="N22" s="55" t="s">
        <v>45</v>
      </c>
    </row>
    <row r="23" spans="2:14" ht="40.5" customHeight="1" x14ac:dyDescent="0.25">
      <c r="B23" s="52">
        <v>17</v>
      </c>
      <c r="C23" s="52" t="s">
        <v>133</v>
      </c>
      <c r="D23" s="69" t="s">
        <v>24</v>
      </c>
      <c r="E23" s="69"/>
      <c r="F23" s="69"/>
      <c r="G23" s="69"/>
      <c r="H23" s="53" t="s">
        <v>222</v>
      </c>
      <c r="I23" s="53" t="s">
        <v>46</v>
      </c>
      <c r="J23" s="53">
        <v>725</v>
      </c>
      <c r="K23" s="54">
        <v>7</v>
      </c>
      <c r="L23" s="57" t="s">
        <v>203</v>
      </c>
      <c r="M23" s="54">
        <v>3</v>
      </c>
      <c r="N23" s="56">
        <v>39000048</v>
      </c>
    </row>
    <row r="24" spans="2:14" ht="40.5" customHeight="1" x14ac:dyDescent="0.25">
      <c r="B24" s="52">
        <v>18</v>
      </c>
      <c r="C24" s="52" t="s">
        <v>134</v>
      </c>
      <c r="D24" s="69" t="s">
        <v>24</v>
      </c>
      <c r="E24" s="69"/>
      <c r="F24" s="69"/>
      <c r="G24" s="69"/>
      <c r="H24" s="53" t="s">
        <v>222</v>
      </c>
      <c r="I24" s="53" t="s">
        <v>30</v>
      </c>
      <c r="J24" s="53">
        <v>1320</v>
      </c>
      <c r="K24" s="54">
        <v>3</v>
      </c>
      <c r="L24" s="64" t="s">
        <v>48</v>
      </c>
      <c r="M24" s="54">
        <v>2</v>
      </c>
      <c r="N24" s="56" t="s">
        <v>40</v>
      </c>
    </row>
    <row r="25" spans="2:14" ht="40.5" customHeight="1" x14ac:dyDescent="0.25">
      <c r="B25" s="52">
        <v>19</v>
      </c>
      <c r="C25" s="52" t="s">
        <v>135</v>
      </c>
      <c r="D25" s="69" t="s">
        <v>24</v>
      </c>
      <c r="E25" s="69"/>
      <c r="F25" s="69"/>
      <c r="G25" s="69"/>
      <c r="H25" s="53" t="s">
        <v>222</v>
      </c>
      <c r="I25" s="53" t="s">
        <v>47</v>
      </c>
      <c r="J25" s="53">
        <v>1320</v>
      </c>
      <c r="K25" s="54">
        <v>3</v>
      </c>
      <c r="L25" s="64" t="s">
        <v>48</v>
      </c>
      <c r="M25" s="54">
        <v>2</v>
      </c>
      <c r="N25" s="56" t="s">
        <v>40</v>
      </c>
    </row>
    <row r="26" spans="2:14" ht="40.5" customHeight="1" x14ac:dyDescent="0.25">
      <c r="B26" s="52">
        <v>20</v>
      </c>
      <c r="C26" s="52" t="s">
        <v>136</v>
      </c>
      <c r="D26" s="69" t="s">
        <v>35</v>
      </c>
      <c r="E26" s="69"/>
      <c r="F26" s="69"/>
      <c r="G26" s="69"/>
      <c r="H26" s="53" t="s">
        <v>215</v>
      </c>
      <c r="I26" s="53" t="s">
        <v>18</v>
      </c>
      <c r="J26" s="53">
        <v>1235</v>
      </c>
      <c r="K26" s="54">
        <v>3.5</v>
      </c>
      <c r="L26" s="64" t="s">
        <v>36</v>
      </c>
      <c r="M26" s="54">
        <v>7</v>
      </c>
      <c r="N26" s="55" t="s">
        <v>204</v>
      </c>
    </row>
    <row r="27" spans="2:14" ht="40.5" customHeight="1" x14ac:dyDescent="0.25">
      <c r="B27" s="52">
        <v>21</v>
      </c>
      <c r="C27" s="52" t="s">
        <v>137</v>
      </c>
      <c r="D27" s="69" t="s">
        <v>31</v>
      </c>
      <c r="E27" s="69"/>
      <c r="F27" s="69"/>
      <c r="G27" s="69"/>
      <c r="H27" s="53" t="s">
        <v>214</v>
      </c>
      <c r="I27" s="53" t="s">
        <v>49</v>
      </c>
      <c r="J27" s="34">
        <f>910-10</f>
        <v>900</v>
      </c>
      <c r="K27" s="54">
        <v>3</v>
      </c>
      <c r="L27" s="64">
        <v>39000040</v>
      </c>
      <c r="M27" s="54">
        <v>12</v>
      </c>
      <c r="N27" s="55" t="s">
        <v>50</v>
      </c>
    </row>
    <row r="28" spans="2:14" ht="40.5" customHeight="1" x14ac:dyDescent="0.25">
      <c r="B28" s="52">
        <v>22</v>
      </c>
      <c r="C28" s="52" t="s">
        <v>138</v>
      </c>
      <c r="D28" s="69" t="s">
        <v>24</v>
      </c>
      <c r="E28" s="69"/>
      <c r="F28" s="69"/>
      <c r="G28" s="69"/>
      <c r="H28" s="53" t="s">
        <v>222</v>
      </c>
      <c r="I28" s="53" t="s">
        <v>44</v>
      </c>
      <c r="J28" s="34">
        <f>295+10</f>
        <v>305</v>
      </c>
      <c r="K28" s="54">
        <v>5</v>
      </c>
      <c r="L28" s="64" t="s">
        <v>51</v>
      </c>
      <c r="M28" s="54">
        <v>7</v>
      </c>
      <c r="N28" s="55" t="s">
        <v>52</v>
      </c>
    </row>
    <row r="29" spans="2:14" ht="40.5" customHeight="1" x14ac:dyDescent="0.25">
      <c r="B29" s="52">
        <v>23</v>
      </c>
      <c r="C29" s="52" t="s">
        <v>139</v>
      </c>
      <c r="D29" s="69" t="s">
        <v>31</v>
      </c>
      <c r="E29" s="69"/>
      <c r="F29" s="69"/>
      <c r="G29" s="69"/>
      <c r="H29" s="53" t="s">
        <v>214</v>
      </c>
      <c r="I29" s="53" t="s">
        <v>19</v>
      </c>
      <c r="J29" s="53">
        <v>650</v>
      </c>
      <c r="K29" s="54">
        <v>3</v>
      </c>
      <c r="L29" s="64">
        <v>39000040</v>
      </c>
      <c r="M29" s="54">
        <v>11</v>
      </c>
      <c r="N29" s="55" t="s">
        <v>53</v>
      </c>
    </row>
    <row r="30" spans="2:14" ht="40.5" customHeight="1" x14ac:dyDescent="0.25">
      <c r="B30" s="52">
        <v>24</v>
      </c>
      <c r="C30" s="52" t="s">
        <v>140</v>
      </c>
      <c r="D30" s="69" t="s">
        <v>35</v>
      </c>
      <c r="E30" s="69"/>
      <c r="F30" s="69"/>
      <c r="G30" s="69"/>
      <c r="H30" s="53" t="s">
        <v>215</v>
      </c>
      <c r="I30" s="53" t="s">
        <v>19</v>
      </c>
      <c r="J30" s="53">
        <v>855</v>
      </c>
      <c r="K30" s="54">
        <v>3.5</v>
      </c>
      <c r="L30" s="64" t="s">
        <v>36</v>
      </c>
      <c r="M30" s="54">
        <v>7</v>
      </c>
      <c r="N30" s="55" t="s">
        <v>54</v>
      </c>
    </row>
    <row r="31" spans="2:14" ht="40.5" customHeight="1" x14ac:dyDescent="0.25">
      <c r="B31" s="52">
        <v>25</v>
      </c>
      <c r="C31" s="52" t="s">
        <v>141</v>
      </c>
      <c r="D31" s="69" t="s">
        <v>31</v>
      </c>
      <c r="E31" s="69"/>
      <c r="F31" s="69"/>
      <c r="G31" s="69"/>
      <c r="H31" s="53" t="s">
        <v>214</v>
      </c>
      <c r="I31" s="53" t="s">
        <v>55</v>
      </c>
      <c r="J31" s="53">
        <v>2210</v>
      </c>
      <c r="K31" s="54">
        <v>3</v>
      </c>
      <c r="L31" s="64">
        <v>39000040</v>
      </c>
      <c r="M31" s="54">
        <v>11</v>
      </c>
      <c r="N31" s="55" t="s">
        <v>56</v>
      </c>
    </row>
    <row r="32" spans="2:14" ht="40.5" customHeight="1" x14ac:dyDescent="0.25">
      <c r="B32" s="52">
        <v>26</v>
      </c>
      <c r="C32" s="52" t="s">
        <v>142</v>
      </c>
      <c r="D32" s="69" t="s">
        <v>31</v>
      </c>
      <c r="E32" s="69"/>
      <c r="F32" s="69"/>
      <c r="G32" s="69"/>
      <c r="H32" s="53" t="s">
        <v>214</v>
      </c>
      <c r="I32" s="53" t="s">
        <v>55</v>
      </c>
      <c r="J32" s="53">
        <v>785</v>
      </c>
      <c r="K32" s="54">
        <v>3</v>
      </c>
      <c r="L32" s="64">
        <v>39000040</v>
      </c>
      <c r="M32" s="54">
        <v>11</v>
      </c>
      <c r="N32" s="55" t="s">
        <v>57</v>
      </c>
    </row>
    <row r="33" spans="2:14" ht="40.5" customHeight="1" x14ac:dyDescent="0.25">
      <c r="B33" s="52">
        <v>27</v>
      </c>
      <c r="C33" s="52" t="s">
        <v>143</v>
      </c>
      <c r="D33" s="69" t="s">
        <v>24</v>
      </c>
      <c r="E33" s="69"/>
      <c r="F33" s="69"/>
      <c r="G33" s="69"/>
      <c r="H33" s="53" t="s">
        <v>222</v>
      </c>
      <c r="I33" s="53" t="s">
        <v>29</v>
      </c>
      <c r="J33" s="34">
        <f>915-10</f>
        <v>905</v>
      </c>
      <c r="K33" s="54">
        <v>3</v>
      </c>
      <c r="L33" s="55">
        <v>39000048</v>
      </c>
      <c r="M33" s="54">
        <v>7</v>
      </c>
      <c r="N33" s="55" t="s">
        <v>52</v>
      </c>
    </row>
    <row r="34" spans="2:14" ht="40.5" customHeight="1" x14ac:dyDescent="0.25">
      <c r="B34" s="52">
        <v>28</v>
      </c>
      <c r="C34" s="52" t="s">
        <v>145</v>
      </c>
      <c r="D34" s="69" t="s">
        <v>35</v>
      </c>
      <c r="E34" s="69"/>
      <c r="F34" s="69"/>
      <c r="G34" s="69"/>
      <c r="H34" s="53" t="s">
        <v>215</v>
      </c>
      <c r="I34" s="53" t="s">
        <v>49</v>
      </c>
      <c r="J34" s="53">
        <v>2590</v>
      </c>
      <c r="K34" s="54">
        <v>3.5</v>
      </c>
      <c r="L34" s="64" t="s">
        <v>36</v>
      </c>
      <c r="M34" s="54">
        <v>3</v>
      </c>
      <c r="N34" s="56">
        <v>39000040</v>
      </c>
    </row>
    <row r="35" spans="2:14" ht="40.5" customHeight="1" x14ac:dyDescent="0.25">
      <c r="B35" s="52">
        <v>29</v>
      </c>
      <c r="C35" s="52" t="s">
        <v>144</v>
      </c>
      <c r="D35" s="69" t="s">
        <v>24</v>
      </c>
      <c r="E35" s="69"/>
      <c r="F35" s="69"/>
      <c r="G35" s="69"/>
      <c r="H35" s="53" t="s">
        <v>222</v>
      </c>
      <c r="I35" s="53" t="s">
        <v>58</v>
      </c>
      <c r="J35" s="53">
        <v>1450</v>
      </c>
      <c r="K35" s="54">
        <v>2</v>
      </c>
      <c r="L35" s="64" t="s">
        <v>40</v>
      </c>
      <c r="M35" s="54">
        <v>3</v>
      </c>
      <c r="N35" s="55">
        <v>39000048</v>
      </c>
    </row>
    <row r="36" spans="2:14" ht="40.5" customHeight="1" x14ac:dyDescent="0.25">
      <c r="B36" s="52">
        <v>30</v>
      </c>
      <c r="C36" s="52" t="s">
        <v>146</v>
      </c>
      <c r="D36" s="69" t="s">
        <v>31</v>
      </c>
      <c r="E36" s="69"/>
      <c r="F36" s="69"/>
      <c r="G36" s="69"/>
      <c r="H36" s="53" t="s">
        <v>214</v>
      </c>
      <c r="I36" s="53" t="s">
        <v>49</v>
      </c>
      <c r="J36" s="53">
        <v>430</v>
      </c>
      <c r="K36" s="54">
        <v>3</v>
      </c>
      <c r="L36" s="64">
        <v>39000040</v>
      </c>
      <c r="M36" s="54">
        <v>12</v>
      </c>
      <c r="N36" s="55" t="s">
        <v>60</v>
      </c>
    </row>
    <row r="37" spans="2:14" ht="40.5" customHeight="1" x14ac:dyDescent="0.25">
      <c r="B37" s="52">
        <v>31</v>
      </c>
      <c r="C37" s="52" t="s">
        <v>147</v>
      </c>
      <c r="D37" s="69" t="s">
        <v>31</v>
      </c>
      <c r="E37" s="69"/>
      <c r="F37" s="69"/>
      <c r="G37" s="69"/>
      <c r="H37" s="53" t="s">
        <v>214</v>
      </c>
      <c r="I37" s="53" t="s">
        <v>59</v>
      </c>
      <c r="J37" s="53">
        <v>430</v>
      </c>
      <c r="K37" s="54">
        <v>3</v>
      </c>
      <c r="L37" s="64">
        <v>39000040</v>
      </c>
      <c r="M37" s="54">
        <v>12</v>
      </c>
      <c r="N37" s="55" t="s">
        <v>60</v>
      </c>
    </row>
    <row r="38" spans="2:14" ht="40.5" customHeight="1" x14ac:dyDescent="0.25">
      <c r="B38" s="52">
        <v>32</v>
      </c>
      <c r="C38" s="52" t="s">
        <v>226</v>
      </c>
      <c r="D38" s="69" t="s">
        <v>24</v>
      </c>
      <c r="E38" s="69"/>
      <c r="F38" s="69"/>
      <c r="G38" s="69"/>
      <c r="H38" s="53" t="s">
        <v>222</v>
      </c>
      <c r="I38" s="53" t="s">
        <v>106</v>
      </c>
      <c r="J38" s="53">
        <v>1810</v>
      </c>
      <c r="K38" s="54">
        <v>2</v>
      </c>
      <c r="L38" s="64" t="s">
        <v>37</v>
      </c>
      <c r="M38" s="54">
        <v>3.5</v>
      </c>
      <c r="N38" s="55" t="s">
        <v>92</v>
      </c>
    </row>
    <row r="39" spans="2:14" ht="40.5" customHeight="1" x14ac:dyDescent="0.25">
      <c r="B39" s="52">
        <v>33</v>
      </c>
      <c r="C39" s="52" t="s">
        <v>224</v>
      </c>
      <c r="D39" s="69" t="s">
        <v>24</v>
      </c>
      <c r="E39" s="69"/>
      <c r="F39" s="69"/>
      <c r="G39" s="69"/>
      <c r="H39" s="53" t="s">
        <v>222</v>
      </c>
      <c r="I39" s="53" t="s">
        <v>105</v>
      </c>
      <c r="J39" s="53">
        <v>1810</v>
      </c>
      <c r="K39" s="54">
        <v>2</v>
      </c>
      <c r="L39" s="64" t="s">
        <v>37</v>
      </c>
      <c r="M39" s="54">
        <v>3.5</v>
      </c>
      <c r="N39" s="55" t="s">
        <v>92</v>
      </c>
    </row>
    <row r="40" spans="2:14" ht="40.5" customHeight="1" x14ac:dyDescent="0.25">
      <c r="B40" s="52">
        <v>34</v>
      </c>
      <c r="C40" s="52" t="s">
        <v>148</v>
      </c>
      <c r="D40" s="69" t="s">
        <v>35</v>
      </c>
      <c r="E40" s="69"/>
      <c r="F40" s="69"/>
      <c r="G40" s="69"/>
      <c r="H40" s="53" t="s">
        <v>215</v>
      </c>
      <c r="I40" s="53" t="s">
        <v>49</v>
      </c>
      <c r="J40" s="53">
        <f>1505+15</f>
        <v>1520</v>
      </c>
      <c r="K40" s="54">
        <v>3</v>
      </c>
      <c r="L40" s="64">
        <v>39000040</v>
      </c>
      <c r="M40" s="54">
        <v>12</v>
      </c>
      <c r="N40" s="55" t="s">
        <v>60</v>
      </c>
    </row>
    <row r="41" spans="2:14" ht="40.5" customHeight="1" x14ac:dyDescent="0.25">
      <c r="B41" s="52">
        <v>35</v>
      </c>
      <c r="C41" s="52" t="s">
        <v>149</v>
      </c>
      <c r="D41" s="69" t="s">
        <v>24</v>
      </c>
      <c r="E41" s="69"/>
      <c r="F41" s="69"/>
      <c r="G41" s="69"/>
      <c r="H41" s="53" t="s">
        <v>222</v>
      </c>
      <c r="I41" s="53" t="s">
        <v>61</v>
      </c>
      <c r="J41" s="53">
        <v>1450</v>
      </c>
      <c r="K41" s="54">
        <v>2</v>
      </c>
      <c r="L41" s="64" t="s">
        <v>40</v>
      </c>
      <c r="M41" s="54">
        <v>3</v>
      </c>
      <c r="N41" s="55">
        <v>39000048</v>
      </c>
    </row>
    <row r="42" spans="2:14" ht="40.5" customHeight="1" x14ac:dyDescent="0.25">
      <c r="B42" s="52">
        <v>36</v>
      </c>
      <c r="C42" s="52" t="s">
        <v>150</v>
      </c>
      <c r="D42" s="69" t="s">
        <v>24</v>
      </c>
      <c r="E42" s="69"/>
      <c r="F42" s="69"/>
      <c r="G42" s="69"/>
      <c r="H42" s="53" t="s">
        <v>222</v>
      </c>
      <c r="I42" s="53" t="s">
        <v>18</v>
      </c>
      <c r="J42" s="53">
        <v>1355</v>
      </c>
      <c r="K42" s="54">
        <v>3.5</v>
      </c>
      <c r="L42" s="64" t="s">
        <v>62</v>
      </c>
      <c r="M42" s="54">
        <v>7</v>
      </c>
      <c r="N42" s="55" t="s">
        <v>63</v>
      </c>
    </row>
    <row r="43" spans="2:14" ht="40.5" customHeight="1" x14ac:dyDescent="0.25">
      <c r="B43" s="52">
        <v>37</v>
      </c>
      <c r="C43" s="52" t="s">
        <v>151</v>
      </c>
      <c r="D43" s="69" t="s">
        <v>24</v>
      </c>
      <c r="E43" s="69"/>
      <c r="F43" s="69"/>
      <c r="G43" s="69"/>
      <c r="H43" s="53" t="s">
        <v>222</v>
      </c>
      <c r="I43" s="53" t="s">
        <v>16</v>
      </c>
      <c r="J43" s="53">
        <v>1350</v>
      </c>
      <c r="K43" s="54">
        <v>3.5</v>
      </c>
      <c r="L43" s="64" t="s">
        <v>62</v>
      </c>
      <c r="M43" s="54">
        <v>7</v>
      </c>
      <c r="N43" s="55" t="s">
        <v>64</v>
      </c>
    </row>
    <row r="44" spans="2:14" ht="40.5" customHeight="1" x14ac:dyDescent="0.25">
      <c r="B44" s="52">
        <v>38</v>
      </c>
      <c r="C44" s="52" t="s">
        <v>152</v>
      </c>
      <c r="D44" s="69" t="s">
        <v>24</v>
      </c>
      <c r="E44" s="69"/>
      <c r="F44" s="69"/>
      <c r="G44" s="69"/>
      <c r="H44" s="53" t="s">
        <v>222</v>
      </c>
      <c r="I44" s="53" t="s">
        <v>19</v>
      </c>
      <c r="J44" s="53">
        <f>950+20</f>
        <v>970</v>
      </c>
      <c r="K44" s="54">
        <v>3.5</v>
      </c>
      <c r="L44" s="64" t="s">
        <v>62</v>
      </c>
      <c r="M44" s="54">
        <v>7</v>
      </c>
      <c r="N44" s="55" t="s">
        <v>54</v>
      </c>
    </row>
    <row r="45" spans="2:14" ht="40.5" customHeight="1" x14ac:dyDescent="0.25">
      <c r="B45" s="52">
        <v>39</v>
      </c>
      <c r="C45" s="52" t="s">
        <v>153</v>
      </c>
      <c r="D45" s="69" t="s">
        <v>35</v>
      </c>
      <c r="E45" s="69"/>
      <c r="F45" s="69"/>
      <c r="G45" s="69"/>
      <c r="H45" s="53" t="s">
        <v>215</v>
      </c>
      <c r="I45" s="53" t="s">
        <v>65</v>
      </c>
      <c r="J45" s="53">
        <v>1445</v>
      </c>
      <c r="K45" s="54">
        <v>3</v>
      </c>
      <c r="L45" s="64">
        <v>39000040</v>
      </c>
      <c r="M45" s="54">
        <v>7</v>
      </c>
      <c r="N45" s="55" t="s">
        <v>66</v>
      </c>
    </row>
    <row r="46" spans="2:14" ht="40.5" customHeight="1" x14ac:dyDescent="0.25">
      <c r="B46" s="52">
        <v>40</v>
      </c>
      <c r="C46" s="52" t="s">
        <v>154</v>
      </c>
      <c r="D46" s="69" t="s">
        <v>24</v>
      </c>
      <c r="E46" s="69"/>
      <c r="F46" s="69"/>
      <c r="G46" s="69"/>
      <c r="H46" s="53" t="s">
        <v>222</v>
      </c>
      <c r="I46" s="53" t="s">
        <v>16</v>
      </c>
      <c r="J46" s="53">
        <v>1070</v>
      </c>
      <c r="K46" s="54">
        <v>3</v>
      </c>
      <c r="L46" s="64">
        <v>39000048</v>
      </c>
      <c r="M46" s="54">
        <v>7</v>
      </c>
      <c r="N46" s="55" t="s">
        <v>67</v>
      </c>
    </row>
    <row r="47" spans="2:14" ht="40.5" customHeight="1" x14ac:dyDescent="0.25">
      <c r="B47" s="52">
        <v>41</v>
      </c>
      <c r="C47" s="52" t="s">
        <v>155</v>
      </c>
      <c r="D47" s="69" t="s">
        <v>24</v>
      </c>
      <c r="E47" s="69"/>
      <c r="F47" s="69"/>
      <c r="G47" s="69"/>
      <c r="H47" s="53" t="s">
        <v>222</v>
      </c>
      <c r="I47" s="53" t="s">
        <v>18</v>
      </c>
      <c r="J47" s="53">
        <v>1080</v>
      </c>
      <c r="K47" s="54">
        <v>3</v>
      </c>
      <c r="L47" s="64">
        <v>39000048</v>
      </c>
      <c r="M47" s="54">
        <v>7</v>
      </c>
      <c r="N47" s="55" t="s">
        <v>68</v>
      </c>
    </row>
    <row r="48" spans="2:14" ht="40.5" customHeight="1" x14ac:dyDescent="0.25">
      <c r="B48" s="52">
        <v>42</v>
      </c>
      <c r="C48" s="52" t="s">
        <v>156</v>
      </c>
      <c r="D48" s="69" t="s">
        <v>24</v>
      </c>
      <c r="E48" s="69"/>
      <c r="F48" s="69"/>
      <c r="G48" s="69"/>
      <c r="H48" s="53" t="s">
        <v>222</v>
      </c>
      <c r="I48" s="53" t="s">
        <v>19</v>
      </c>
      <c r="J48" s="53">
        <v>1130</v>
      </c>
      <c r="K48" s="54">
        <v>2</v>
      </c>
      <c r="L48" s="64" t="s">
        <v>37</v>
      </c>
      <c r="M48" s="54">
        <v>7</v>
      </c>
      <c r="N48" s="55" t="s">
        <v>287</v>
      </c>
    </row>
    <row r="49" spans="2:14" ht="40.5" customHeight="1" x14ac:dyDescent="0.25">
      <c r="B49" s="52">
        <v>43</v>
      </c>
      <c r="C49" s="52" t="s">
        <v>157</v>
      </c>
      <c r="D49" s="69" t="s">
        <v>24</v>
      </c>
      <c r="E49" s="69"/>
      <c r="F49" s="69"/>
      <c r="G49" s="69"/>
      <c r="H49" s="53" t="s">
        <v>222</v>
      </c>
      <c r="I49" s="53" t="s">
        <v>30</v>
      </c>
      <c r="J49" s="53">
        <v>2070</v>
      </c>
      <c r="K49" s="54">
        <v>2</v>
      </c>
      <c r="L49" s="64">
        <v>561349000</v>
      </c>
      <c r="M49" s="54">
        <v>3</v>
      </c>
      <c r="N49" s="55" t="s">
        <v>25</v>
      </c>
    </row>
    <row r="50" spans="2:14" ht="40.5" customHeight="1" x14ac:dyDescent="0.25">
      <c r="B50" s="52">
        <v>44</v>
      </c>
      <c r="C50" s="52" t="s">
        <v>158</v>
      </c>
      <c r="D50" s="69" t="s">
        <v>24</v>
      </c>
      <c r="E50" s="69"/>
      <c r="F50" s="69"/>
      <c r="G50" s="69"/>
      <c r="H50" s="53" t="s">
        <v>222</v>
      </c>
      <c r="I50" s="53" t="s">
        <v>17</v>
      </c>
      <c r="J50" s="53">
        <v>1020</v>
      </c>
      <c r="K50" s="54">
        <v>3</v>
      </c>
      <c r="L50" s="64">
        <v>39000048</v>
      </c>
      <c r="M50" s="54">
        <v>2</v>
      </c>
      <c r="N50" s="56">
        <v>561349000</v>
      </c>
    </row>
    <row r="51" spans="2:14" ht="40.5" customHeight="1" x14ac:dyDescent="0.25">
      <c r="B51" s="52">
        <v>45</v>
      </c>
      <c r="C51" s="52" t="s">
        <v>159</v>
      </c>
      <c r="D51" s="69" t="s">
        <v>24</v>
      </c>
      <c r="E51" s="69"/>
      <c r="F51" s="69"/>
      <c r="G51" s="69"/>
      <c r="H51" s="53" t="s">
        <v>222</v>
      </c>
      <c r="I51" s="53" t="s">
        <v>33</v>
      </c>
      <c r="J51" s="53">
        <v>1020</v>
      </c>
      <c r="K51" s="54">
        <v>3</v>
      </c>
      <c r="L51" s="64">
        <v>39000048</v>
      </c>
      <c r="M51" s="54">
        <v>2</v>
      </c>
      <c r="N51" s="56">
        <v>561349000</v>
      </c>
    </row>
    <row r="52" spans="2:14" ht="40.5" customHeight="1" x14ac:dyDescent="0.25">
      <c r="B52" s="52">
        <v>46</v>
      </c>
      <c r="C52" s="52" t="s">
        <v>160</v>
      </c>
      <c r="D52" s="69" t="s">
        <v>24</v>
      </c>
      <c r="E52" s="69"/>
      <c r="F52" s="69"/>
      <c r="G52" s="69"/>
      <c r="H52" s="53" t="s">
        <v>222</v>
      </c>
      <c r="I52" s="53" t="s">
        <v>69</v>
      </c>
      <c r="J52" s="34">
        <f>1620-10</f>
        <v>1610</v>
      </c>
      <c r="K52" s="54">
        <v>3</v>
      </c>
      <c r="L52" s="64">
        <v>39000048</v>
      </c>
      <c r="M52" s="54">
        <v>2</v>
      </c>
      <c r="N52" s="56">
        <v>561349000</v>
      </c>
    </row>
    <row r="53" spans="2:14" ht="40.5" customHeight="1" x14ac:dyDescent="0.25">
      <c r="B53" s="52">
        <v>47</v>
      </c>
      <c r="C53" s="52" t="s">
        <v>161</v>
      </c>
      <c r="D53" s="69" t="s">
        <v>24</v>
      </c>
      <c r="E53" s="69"/>
      <c r="F53" s="69"/>
      <c r="G53" s="69"/>
      <c r="H53" s="53" t="s">
        <v>222</v>
      </c>
      <c r="I53" s="53" t="s">
        <v>26</v>
      </c>
      <c r="J53" s="34">
        <f>1620-10</f>
        <v>1610</v>
      </c>
      <c r="K53" s="54">
        <v>3</v>
      </c>
      <c r="L53" s="64">
        <v>39000048</v>
      </c>
      <c r="M53" s="54">
        <v>2</v>
      </c>
      <c r="N53" s="56">
        <v>561349000</v>
      </c>
    </row>
    <row r="54" spans="2:14" ht="40.5" customHeight="1" x14ac:dyDescent="0.25">
      <c r="B54" s="52">
        <v>48</v>
      </c>
      <c r="C54" s="52" t="s">
        <v>162</v>
      </c>
      <c r="D54" s="69" t="s">
        <v>24</v>
      </c>
      <c r="E54" s="69"/>
      <c r="F54" s="69"/>
      <c r="G54" s="69"/>
      <c r="H54" s="53" t="s">
        <v>222</v>
      </c>
      <c r="I54" s="53" t="s">
        <v>70</v>
      </c>
      <c r="J54" s="34">
        <f>990+10</f>
        <v>1000</v>
      </c>
      <c r="K54" s="54">
        <v>5</v>
      </c>
      <c r="L54" s="64" t="s">
        <v>51</v>
      </c>
      <c r="M54" s="54">
        <v>2</v>
      </c>
      <c r="N54" s="56">
        <v>561349000</v>
      </c>
    </row>
    <row r="55" spans="2:14" ht="40.5" customHeight="1" x14ac:dyDescent="0.25">
      <c r="B55" s="52">
        <v>49</v>
      </c>
      <c r="C55" s="52" t="s">
        <v>163</v>
      </c>
      <c r="D55" s="69" t="s">
        <v>24</v>
      </c>
      <c r="E55" s="69"/>
      <c r="F55" s="69"/>
      <c r="G55" s="69"/>
      <c r="H55" s="53" t="s">
        <v>222</v>
      </c>
      <c r="I55" s="53" t="s">
        <v>58</v>
      </c>
      <c r="J55" s="34">
        <f>990+10</f>
        <v>1000</v>
      </c>
      <c r="K55" s="54">
        <v>5</v>
      </c>
      <c r="L55" s="64" t="s">
        <v>51</v>
      </c>
      <c r="M55" s="54">
        <v>2</v>
      </c>
      <c r="N55" s="56">
        <v>561349000</v>
      </c>
    </row>
    <row r="56" spans="2:14" ht="40.5" customHeight="1" x14ac:dyDescent="0.25">
      <c r="B56" s="52">
        <v>50</v>
      </c>
      <c r="C56" s="52" t="s">
        <v>164</v>
      </c>
      <c r="D56" s="69" t="s">
        <v>24</v>
      </c>
      <c r="E56" s="69"/>
      <c r="F56" s="69"/>
      <c r="G56" s="69"/>
      <c r="H56" s="53" t="s">
        <v>222</v>
      </c>
      <c r="I56" s="53" t="s">
        <v>18</v>
      </c>
      <c r="J56" s="53">
        <v>1365</v>
      </c>
      <c r="K56" s="54">
        <v>3</v>
      </c>
      <c r="L56" s="64">
        <v>39000048</v>
      </c>
      <c r="M56" s="54">
        <v>2</v>
      </c>
      <c r="N56" s="56">
        <v>561349000</v>
      </c>
    </row>
    <row r="57" spans="2:14" ht="40.5" customHeight="1" x14ac:dyDescent="0.25">
      <c r="B57" s="52">
        <v>51</v>
      </c>
      <c r="C57" s="52" t="s">
        <v>165</v>
      </c>
      <c r="D57" s="69" t="s">
        <v>24</v>
      </c>
      <c r="E57" s="69"/>
      <c r="F57" s="69"/>
      <c r="G57" s="69"/>
      <c r="H57" s="53" t="s">
        <v>222</v>
      </c>
      <c r="I57" s="53" t="s">
        <v>29</v>
      </c>
      <c r="J57" s="53">
        <v>1365</v>
      </c>
      <c r="K57" s="54">
        <v>2</v>
      </c>
      <c r="L57" s="64">
        <v>561349000</v>
      </c>
      <c r="M57" s="54">
        <v>3</v>
      </c>
      <c r="N57" s="55">
        <v>39000048</v>
      </c>
    </row>
    <row r="58" spans="2:14" ht="40.5" customHeight="1" x14ac:dyDescent="0.25">
      <c r="B58" s="52">
        <v>52</v>
      </c>
      <c r="C58" s="52" t="s">
        <v>166</v>
      </c>
      <c r="D58" s="69" t="s">
        <v>24</v>
      </c>
      <c r="E58" s="69"/>
      <c r="F58" s="69"/>
      <c r="G58" s="69"/>
      <c r="H58" s="53" t="s">
        <v>222</v>
      </c>
      <c r="I58" s="53" t="s">
        <v>29</v>
      </c>
      <c r="J58" s="53">
        <v>520</v>
      </c>
      <c r="K58" s="54">
        <v>2</v>
      </c>
      <c r="L58" s="64" t="s">
        <v>37</v>
      </c>
      <c r="M58" s="54">
        <v>7</v>
      </c>
      <c r="N58" s="55" t="s">
        <v>71</v>
      </c>
    </row>
    <row r="59" spans="2:14" ht="40.5" customHeight="1" x14ac:dyDescent="0.25">
      <c r="B59" s="52">
        <v>53</v>
      </c>
      <c r="C59" s="52" t="s">
        <v>167</v>
      </c>
      <c r="D59" s="69" t="s">
        <v>24</v>
      </c>
      <c r="E59" s="69"/>
      <c r="F59" s="69"/>
      <c r="G59" s="69"/>
      <c r="H59" s="53" t="s">
        <v>222</v>
      </c>
      <c r="I59" s="53" t="s">
        <v>16</v>
      </c>
      <c r="J59" s="34">
        <f>1565-10</f>
        <v>1555</v>
      </c>
      <c r="K59" s="54">
        <v>2</v>
      </c>
      <c r="L59" s="64">
        <v>561349000</v>
      </c>
      <c r="M59" s="54">
        <v>3</v>
      </c>
      <c r="N59" s="55">
        <v>39000048</v>
      </c>
    </row>
    <row r="60" spans="2:14" ht="40.5" customHeight="1" x14ac:dyDescent="0.25">
      <c r="B60" s="52">
        <v>54</v>
      </c>
      <c r="C60" s="52" t="s">
        <v>168</v>
      </c>
      <c r="D60" s="69" t="s">
        <v>24</v>
      </c>
      <c r="E60" s="69"/>
      <c r="F60" s="69"/>
      <c r="G60" s="69"/>
      <c r="H60" s="53" t="s">
        <v>222</v>
      </c>
      <c r="I60" s="53" t="s">
        <v>19</v>
      </c>
      <c r="J60" s="34">
        <f>1565-10</f>
        <v>1555</v>
      </c>
      <c r="K60" s="54">
        <v>2</v>
      </c>
      <c r="L60" s="64">
        <v>561349000</v>
      </c>
      <c r="M60" s="54">
        <v>3</v>
      </c>
      <c r="N60" s="55">
        <v>39000048</v>
      </c>
    </row>
    <row r="61" spans="2:14" ht="40.5" customHeight="1" x14ac:dyDescent="0.25">
      <c r="B61" s="52">
        <v>55</v>
      </c>
      <c r="C61" s="52" t="s">
        <v>199</v>
      </c>
      <c r="D61" s="69" t="s">
        <v>24</v>
      </c>
      <c r="E61" s="69"/>
      <c r="F61" s="69"/>
      <c r="G61" s="69"/>
      <c r="H61" s="53" t="s">
        <v>222</v>
      </c>
      <c r="I61" s="53" t="s">
        <v>30</v>
      </c>
      <c r="J61" s="53">
        <v>1370</v>
      </c>
      <c r="K61" s="54">
        <v>2</v>
      </c>
      <c r="L61" s="64">
        <v>561349000</v>
      </c>
      <c r="M61" s="54">
        <v>3</v>
      </c>
      <c r="N61" s="55">
        <v>39000048</v>
      </c>
    </row>
    <row r="62" spans="2:14" ht="40.5" customHeight="1" x14ac:dyDescent="0.25">
      <c r="B62" s="52">
        <v>56</v>
      </c>
      <c r="C62" s="52" t="s">
        <v>169</v>
      </c>
      <c r="D62" s="69" t="s">
        <v>24</v>
      </c>
      <c r="E62" s="69"/>
      <c r="F62" s="69"/>
      <c r="G62" s="69"/>
      <c r="H62" s="53" t="s">
        <v>222</v>
      </c>
      <c r="I62" s="53" t="s">
        <v>72</v>
      </c>
      <c r="J62" s="34">
        <f>950+10</f>
        <v>960</v>
      </c>
      <c r="K62" s="54">
        <v>2</v>
      </c>
      <c r="L62" s="64">
        <v>561349000</v>
      </c>
      <c r="M62" s="54">
        <v>5</v>
      </c>
      <c r="N62" s="55" t="s">
        <v>74</v>
      </c>
    </row>
    <row r="63" spans="2:14" ht="40.5" customHeight="1" x14ac:dyDescent="0.25">
      <c r="B63" s="52">
        <v>57</v>
      </c>
      <c r="C63" s="52" t="s">
        <v>170</v>
      </c>
      <c r="D63" s="69" t="s">
        <v>24</v>
      </c>
      <c r="E63" s="69"/>
      <c r="F63" s="69"/>
      <c r="G63" s="69"/>
      <c r="H63" s="53" t="s">
        <v>222</v>
      </c>
      <c r="I63" s="53" t="s">
        <v>73</v>
      </c>
      <c r="J63" s="34">
        <f>940+10</f>
        <v>950</v>
      </c>
      <c r="K63" s="54">
        <v>2</v>
      </c>
      <c r="L63" s="64">
        <v>561349000</v>
      </c>
      <c r="M63" s="54">
        <v>5</v>
      </c>
      <c r="N63" s="55" t="s">
        <v>51</v>
      </c>
    </row>
    <row r="64" spans="2:14" ht="40.5" customHeight="1" x14ac:dyDescent="0.25">
      <c r="B64" s="52">
        <v>58</v>
      </c>
      <c r="C64" s="52" t="s">
        <v>171</v>
      </c>
      <c r="D64" s="69" t="s">
        <v>24</v>
      </c>
      <c r="E64" s="69"/>
      <c r="F64" s="69"/>
      <c r="G64" s="69"/>
      <c r="H64" s="53" t="s">
        <v>222</v>
      </c>
      <c r="I64" s="53" t="s">
        <v>75</v>
      </c>
      <c r="J64" s="53">
        <v>1750</v>
      </c>
      <c r="K64" s="54">
        <v>3</v>
      </c>
      <c r="L64" s="64">
        <v>39000048</v>
      </c>
      <c r="M64" s="54">
        <v>2</v>
      </c>
      <c r="N64" s="56">
        <v>561349000</v>
      </c>
    </row>
    <row r="65" spans="2:14" ht="40.5" customHeight="1" x14ac:dyDescent="0.25">
      <c r="B65" s="52">
        <v>59</v>
      </c>
      <c r="C65" s="52" t="s">
        <v>172</v>
      </c>
      <c r="D65" s="69" t="s">
        <v>24</v>
      </c>
      <c r="E65" s="69"/>
      <c r="F65" s="69"/>
      <c r="G65" s="69"/>
      <c r="H65" s="53" t="s">
        <v>222</v>
      </c>
      <c r="I65" s="53" t="s">
        <v>27</v>
      </c>
      <c r="J65" s="53">
        <v>1750</v>
      </c>
      <c r="K65" s="54">
        <v>3</v>
      </c>
      <c r="L65" s="64">
        <v>39000048</v>
      </c>
      <c r="M65" s="54">
        <v>2</v>
      </c>
      <c r="N65" s="56">
        <v>561349000</v>
      </c>
    </row>
    <row r="66" spans="2:14" ht="40.5" customHeight="1" x14ac:dyDescent="0.25">
      <c r="B66" s="52">
        <v>60</v>
      </c>
      <c r="C66" s="52" t="s">
        <v>173</v>
      </c>
      <c r="D66" s="69" t="s">
        <v>24</v>
      </c>
      <c r="E66" s="69"/>
      <c r="F66" s="69"/>
      <c r="G66" s="69"/>
      <c r="H66" s="53" t="s">
        <v>222</v>
      </c>
      <c r="I66" s="53" t="s">
        <v>76</v>
      </c>
      <c r="J66" s="58">
        <v>2440</v>
      </c>
      <c r="K66" s="54">
        <v>3</v>
      </c>
      <c r="L66" s="64">
        <v>39000048</v>
      </c>
      <c r="M66" s="54">
        <v>2</v>
      </c>
      <c r="N66" s="56">
        <v>561349000</v>
      </c>
    </row>
    <row r="67" spans="2:14" ht="40.5" customHeight="1" x14ac:dyDescent="0.25">
      <c r="B67" s="52">
        <v>61</v>
      </c>
      <c r="C67" s="52" t="s">
        <v>174</v>
      </c>
      <c r="D67" s="69" t="s">
        <v>24</v>
      </c>
      <c r="E67" s="69"/>
      <c r="F67" s="69"/>
      <c r="G67" s="69"/>
      <c r="H67" s="53" t="s">
        <v>222</v>
      </c>
      <c r="I67" s="53" t="s">
        <v>77</v>
      </c>
      <c r="J67" s="53">
        <v>2430</v>
      </c>
      <c r="K67" s="54">
        <v>3</v>
      </c>
      <c r="L67" s="64">
        <v>39000048</v>
      </c>
      <c r="M67" s="54">
        <v>2</v>
      </c>
      <c r="N67" s="56">
        <v>561349000</v>
      </c>
    </row>
    <row r="68" spans="2:14" ht="40.5" customHeight="1" x14ac:dyDescent="0.25">
      <c r="B68" s="52">
        <v>62</v>
      </c>
      <c r="C68" s="52" t="s">
        <v>175</v>
      </c>
      <c r="D68" s="69" t="s">
        <v>24</v>
      </c>
      <c r="E68" s="69"/>
      <c r="F68" s="69"/>
      <c r="G68" s="69"/>
      <c r="H68" s="53" t="s">
        <v>222</v>
      </c>
      <c r="I68" s="53" t="s">
        <v>16</v>
      </c>
      <c r="J68" s="34">
        <f>1165+10</f>
        <v>1175</v>
      </c>
      <c r="K68" s="54">
        <v>2</v>
      </c>
      <c r="L68" s="64" t="s">
        <v>37</v>
      </c>
      <c r="M68" s="54">
        <v>3</v>
      </c>
      <c r="N68" s="55" t="s">
        <v>78</v>
      </c>
    </row>
    <row r="69" spans="2:14" ht="40.5" customHeight="1" x14ac:dyDescent="0.25">
      <c r="B69" s="52">
        <v>63</v>
      </c>
      <c r="C69" s="52" t="s">
        <v>176</v>
      </c>
      <c r="D69" s="69" t="s">
        <v>24</v>
      </c>
      <c r="E69" s="69"/>
      <c r="F69" s="69"/>
      <c r="G69" s="69"/>
      <c r="H69" s="53" t="s">
        <v>222</v>
      </c>
      <c r="I69" s="53" t="s">
        <v>33</v>
      </c>
      <c r="J69" s="34">
        <f>1165+10</f>
        <v>1175</v>
      </c>
      <c r="K69" s="54">
        <v>2</v>
      </c>
      <c r="L69" s="64" t="s">
        <v>37</v>
      </c>
      <c r="M69" s="54">
        <v>3</v>
      </c>
      <c r="N69" s="55" t="s">
        <v>78</v>
      </c>
    </row>
    <row r="70" spans="2:14" ht="40.5" customHeight="1" x14ac:dyDescent="0.25">
      <c r="B70" s="52">
        <v>64</v>
      </c>
      <c r="C70" s="52" t="s">
        <v>177</v>
      </c>
      <c r="D70" s="69" t="s">
        <v>24</v>
      </c>
      <c r="E70" s="69"/>
      <c r="F70" s="69"/>
      <c r="G70" s="69"/>
      <c r="H70" s="53" t="s">
        <v>222</v>
      </c>
      <c r="I70" s="53" t="s">
        <v>79</v>
      </c>
      <c r="J70" s="34">
        <f>1165+10</f>
        <v>1175</v>
      </c>
      <c r="K70" s="54">
        <v>2</v>
      </c>
      <c r="L70" s="64" t="s">
        <v>37</v>
      </c>
      <c r="M70" s="54">
        <v>3</v>
      </c>
      <c r="N70" s="55" t="s">
        <v>78</v>
      </c>
    </row>
    <row r="71" spans="2:14" ht="40.5" customHeight="1" x14ac:dyDescent="0.25">
      <c r="B71" s="52">
        <v>65</v>
      </c>
      <c r="C71" s="52" t="s">
        <v>178</v>
      </c>
      <c r="D71" s="69" t="s">
        <v>24</v>
      </c>
      <c r="E71" s="69"/>
      <c r="F71" s="69"/>
      <c r="G71" s="69"/>
      <c r="H71" s="53" t="s">
        <v>222</v>
      </c>
      <c r="I71" s="53" t="s">
        <v>26</v>
      </c>
      <c r="J71" s="34">
        <f>1165+10</f>
        <v>1175</v>
      </c>
      <c r="K71" s="54">
        <v>2</v>
      </c>
      <c r="L71" s="64" t="s">
        <v>37</v>
      </c>
      <c r="M71" s="54">
        <v>3</v>
      </c>
      <c r="N71" s="55" t="s">
        <v>78</v>
      </c>
    </row>
    <row r="72" spans="2:14" ht="40.5" customHeight="1" x14ac:dyDescent="0.25">
      <c r="B72" s="52">
        <v>66</v>
      </c>
      <c r="C72" s="52" t="s">
        <v>179</v>
      </c>
      <c r="D72" s="69" t="s">
        <v>24</v>
      </c>
      <c r="E72" s="69"/>
      <c r="F72" s="69"/>
      <c r="G72" s="69"/>
      <c r="H72" s="53" t="s">
        <v>222</v>
      </c>
      <c r="I72" s="53" t="s">
        <v>72</v>
      </c>
      <c r="J72" s="53">
        <v>1550</v>
      </c>
      <c r="K72" s="54">
        <v>2</v>
      </c>
      <c r="L72" s="64" t="s">
        <v>37</v>
      </c>
      <c r="M72" s="54">
        <v>3</v>
      </c>
      <c r="N72" s="55" t="s">
        <v>78</v>
      </c>
    </row>
    <row r="73" spans="2:14" ht="40.5" customHeight="1" x14ac:dyDescent="0.25">
      <c r="B73" s="52">
        <v>67</v>
      </c>
      <c r="C73" s="52" t="s">
        <v>180</v>
      </c>
      <c r="D73" s="69" t="s">
        <v>24</v>
      </c>
      <c r="E73" s="69"/>
      <c r="F73" s="69"/>
      <c r="G73" s="69"/>
      <c r="H73" s="53" t="s">
        <v>222</v>
      </c>
      <c r="I73" s="53" t="s">
        <v>80</v>
      </c>
      <c r="J73" s="53">
        <v>1555</v>
      </c>
      <c r="K73" s="54">
        <v>2</v>
      </c>
      <c r="L73" s="64" t="s">
        <v>37</v>
      </c>
      <c r="M73" s="54">
        <v>3</v>
      </c>
      <c r="N73" s="55" t="s">
        <v>78</v>
      </c>
    </row>
    <row r="74" spans="2:14" ht="40.5" customHeight="1" x14ac:dyDescent="0.25">
      <c r="B74" s="52">
        <v>68</v>
      </c>
      <c r="C74" s="52" t="s">
        <v>181</v>
      </c>
      <c r="D74" s="69" t="s">
        <v>24</v>
      </c>
      <c r="E74" s="69"/>
      <c r="F74" s="69"/>
      <c r="G74" s="69"/>
      <c r="H74" s="53" t="s">
        <v>222</v>
      </c>
      <c r="I74" s="53" t="s">
        <v>81</v>
      </c>
      <c r="J74" s="53">
        <v>1555</v>
      </c>
      <c r="K74" s="54">
        <v>2</v>
      </c>
      <c r="L74" s="64" t="s">
        <v>37</v>
      </c>
      <c r="M74" s="54">
        <v>3</v>
      </c>
      <c r="N74" s="55" t="s">
        <v>78</v>
      </c>
    </row>
    <row r="75" spans="2:14" ht="40.5" customHeight="1" x14ac:dyDescent="0.25">
      <c r="B75" s="52">
        <v>69</v>
      </c>
      <c r="C75" s="52" t="s">
        <v>182</v>
      </c>
      <c r="D75" s="69" t="s">
        <v>24</v>
      </c>
      <c r="E75" s="69"/>
      <c r="F75" s="69"/>
      <c r="G75" s="69"/>
      <c r="H75" s="53" t="s">
        <v>222</v>
      </c>
      <c r="I75" s="53" t="s">
        <v>44</v>
      </c>
      <c r="J75" s="53">
        <v>1555</v>
      </c>
      <c r="K75" s="54">
        <v>2</v>
      </c>
      <c r="L75" s="64" t="s">
        <v>37</v>
      </c>
      <c r="M75" s="54">
        <v>3</v>
      </c>
      <c r="N75" s="55" t="s">
        <v>78</v>
      </c>
    </row>
    <row r="76" spans="2:14" ht="40.5" customHeight="1" x14ac:dyDescent="0.25">
      <c r="B76" s="52">
        <v>70</v>
      </c>
      <c r="C76" s="52" t="s">
        <v>183</v>
      </c>
      <c r="D76" s="69" t="s">
        <v>24</v>
      </c>
      <c r="E76" s="69"/>
      <c r="F76" s="69"/>
      <c r="G76" s="69"/>
      <c r="H76" s="53" t="s">
        <v>222</v>
      </c>
      <c r="I76" s="53" t="s">
        <v>30</v>
      </c>
      <c r="J76" s="53">
        <v>1695</v>
      </c>
      <c r="K76" s="54">
        <v>3</v>
      </c>
      <c r="L76" s="55" t="s">
        <v>78</v>
      </c>
      <c r="M76" s="54">
        <v>2</v>
      </c>
      <c r="N76" s="55">
        <v>561349000</v>
      </c>
    </row>
    <row r="77" spans="2:14" ht="40.5" customHeight="1" x14ac:dyDescent="0.25">
      <c r="B77" s="52">
        <v>71</v>
      </c>
      <c r="C77" s="52" t="s">
        <v>184</v>
      </c>
      <c r="D77" s="69" t="s">
        <v>24</v>
      </c>
      <c r="E77" s="69"/>
      <c r="F77" s="69"/>
      <c r="G77" s="69"/>
      <c r="H77" s="53" t="s">
        <v>222</v>
      </c>
      <c r="I77" s="53" t="s">
        <v>49</v>
      </c>
      <c r="J77" s="53">
        <v>1695</v>
      </c>
      <c r="K77" s="54">
        <v>3</v>
      </c>
      <c r="L77" s="55" t="s">
        <v>78</v>
      </c>
      <c r="M77" s="54">
        <v>2</v>
      </c>
      <c r="N77" s="55">
        <v>561349000</v>
      </c>
    </row>
    <row r="78" spans="2:14" ht="40.5" customHeight="1" x14ac:dyDescent="0.25">
      <c r="B78" s="52">
        <v>72</v>
      </c>
      <c r="C78" s="52" t="s">
        <v>185</v>
      </c>
      <c r="D78" s="69" t="s">
        <v>24</v>
      </c>
      <c r="E78" s="69"/>
      <c r="F78" s="69"/>
      <c r="G78" s="69"/>
      <c r="H78" s="53" t="s">
        <v>222</v>
      </c>
      <c r="I78" s="53" t="s">
        <v>33</v>
      </c>
      <c r="J78" s="53">
        <v>1695</v>
      </c>
      <c r="K78" s="54">
        <v>3</v>
      </c>
      <c r="L78" s="55" t="s">
        <v>78</v>
      </c>
      <c r="M78" s="54">
        <v>2</v>
      </c>
      <c r="N78" s="55">
        <v>561349000</v>
      </c>
    </row>
    <row r="79" spans="2:14" ht="40.5" customHeight="1" x14ac:dyDescent="0.25">
      <c r="B79" s="52">
        <v>73</v>
      </c>
      <c r="C79" s="52" t="s">
        <v>186</v>
      </c>
      <c r="D79" s="69" t="s">
        <v>24</v>
      </c>
      <c r="E79" s="69"/>
      <c r="F79" s="69"/>
      <c r="G79" s="69"/>
      <c r="H79" s="53" t="s">
        <v>222</v>
      </c>
      <c r="I79" s="53" t="s">
        <v>19</v>
      </c>
      <c r="J79" s="34">
        <f>1305+10</f>
        <v>1315</v>
      </c>
      <c r="K79" s="54">
        <v>3</v>
      </c>
      <c r="L79" s="55" t="s">
        <v>78</v>
      </c>
      <c r="M79" s="54">
        <v>2</v>
      </c>
      <c r="N79" s="55">
        <v>561349000</v>
      </c>
    </row>
    <row r="80" spans="2:14" ht="40.5" customHeight="1" x14ac:dyDescent="0.25">
      <c r="B80" s="52">
        <v>74</v>
      </c>
      <c r="C80" s="52" t="s">
        <v>187</v>
      </c>
      <c r="D80" s="69" t="s">
        <v>24</v>
      </c>
      <c r="E80" s="69"/>
      <c r="F80" s="69"/>
      <c r="G80" s="69"/>
      <c r="H80" s="53" t="s">
        <v>222</v>
      </c>
      <c r="I80" s="53" t="s">
        <v>82</v>
      </c>
      <c r="J80" s="34">
        <f>1305+10</f>
        <v>1315</v>
      </c>
      <c r="K80" s="54">
        <v>3</v>
      </c>
      <c r="L80" s="55" t="s">
        <v>78</v>
      </c>
      <c r="M80" s="54">
        <v>2</v>
      </c>
      <c r="N80" s="55">
        <v>561349000</v>
      </c>
    </row>
    <row r="81" spans="2:14" ht="40.5" customHeight="1" x14ac:dyDescent="0.25">
      <c r="B81" s="52">
        <v>75</v>
      </c>
      <c r="C81" s="52" t="s">
        <v>188</v>
      </c>
      <c r="D81" s="69" t="s">
        <v>24</v>
      </c>
      <c r="E81" s="69"/>
      <c r="F81" s="69"/>
      <c r="G81" s="69"/>
      <c r="H81" s="53" t="s">
        <v>222</v>
      </c>
      <c r="I81" s="53" t="s">
        <v>83</v>
      </c>
      <c r="J81" s="34">
        <f>1305+10</f>
        <v>1315</v>
      </c>
      <c r="K81" s="54">
        <v>3</v>
      </c>
      <c r="L81" s="55" t="s">
        <v>78</v>
      </c>
      <c r="M81" s="54">
        <v>2</v>
      </c>
      <c r="N81" s="55">
        <v>561349000</v>
      </c>
    </row>
    <row r="82" spans="2:14" ht="40.5" customHeight="1" x14ac:dyDescent="0.25">
      <c r="B82" s="52">
        <v>76</v>
      </c>
      <c r="C82" s="52" t="s">
        <v>189</v>
      </c>
      <c r="D82" s="69" t="s">
        <v>24</v>
      </c>
      <c r="E82" s="69"/>
      <c r="F82" s="69"/>
      <c r="G82" s="69"/>
      <c r="H82" s="53" t="s">
        <v>222</v>
      </c>
      <c r="I82" s="53" t="s">
        <v>76</v>
      </c>
      <c r="J82" s="53">
        <v>300</v>
      </c>
      <c r="K82" s="54">
        <v>2</v>
      </c>
      <c r="L82" s="64" t="s">
        <v>37</v>
      </c>
      <c r="M82" s="54">
        <v>7</v>
      </c>
      <c r="N82" s="55" t="s">
        <v>85</v>
      </c>
    </row>
    <row r="83" spans="2:14" ht="40.5" customHeight="1" x14ac:dyDescent="0.25">
      <c r="B83" s="52">
        <v>77</v>
      </c>
      <c r="C83" s="52" t="s">
        <v>190</v>
      </c>
      <c r="D83" s="69" t="s">
        <v>24</v>
      </c>
      <c r="E83" s="69"/>
      <c r="F83" s="69"/>
      <c r="G83" s="69"/>
      <c r="H83" s="53" t="s">
        <v>222</v>
      </c>
      <c r="I83" s="53" t="s">
        <v>76</v>
      </c>
      <c r="J83" s="53">
        <v>845</v>
      </c>
      <c r="K83" s="54">
        <v>3</v>
      </c>
      <c r="L83" s="55" t="s">
        <v>78</v>
      </c>
      <c r="M83" s="54">
        <v>7</v>
      </c>
      <c r="N83" s="55" t="s">
        <v>84</v>
      </c>
    </row>
    <row r="84" spans="2:14" ht="40.5" customHeight="1" x14ac:dyDescent="0.25">
      <c r="B84" s="52">
        <v>78</v>
      </c>
      <c r="C84" s="52" t="s">
        <v>191</v>
      </c>
      <c r="D84" s="69" t="s">
        <v>24</v>
      </c>
      <c r="E84" s="69"/>
      <c r="F84" s="69"/>
      <c r="G84" s="69"/>
      <c r="H84" s="53" t="s">
        <v>222</v>
      </c>
      <c r="I84" s="53" t="s">
        <v>76</v>
      </c>
      <c r="J84" s="53">
        <v>1220</v>
      </c>
      <c r="K84" s="54">
        <v>3</v>
      </c>
      <c r="L84" s="55" t="s">
        <v>78</v>
      </c>
      <c r="M84" s="54">
        <v>7</v>
      </c>
      <c r="N84" s="55" t="s">
        <v>84</v>
      </c>
    </row>
    <row r="85" spans="2:14" ht="40.5" customHeight="1" x14ac:dyDescent="0.25">
      <c r="B85" s="52">
        <v>79</v>
      </c>
      <c r="C85" s="52" t="s">
        <v>192</v>
      </c>
      <c r="D85" s="69" t="s">
        <v>24</v>
      </c>
      <c r="E85" s="69"/>
      <c r="F85" s="69"/>
      <c r="G85" s="69"/>
      <c r="H85" s="53" t="s">
        <v>222</v>
      </c>
      <c r="I85" s="53" t="s">
        <v>49</v>
      </c>
      <c r="J85" s="53">
        <v>1610</v>
      </c>
      <c r="K85" s="54">
        <v>2</v>
      </c>
      <c r="L85" s="64" t="s">
        <v>37</v>
      </c>
      <c r="M85" s="54">
        <v>7</v>
      </c>
      <c r="N85" s="55" t="s">
        <v>86</v>
      </c>
    </row>
    <row r="86" spans="2:14" ht="40.5" customHeight="1" x14ac:dyDescent="0.25">
      <c r="B86" s="52">
        <v>80</v>
      </c>
      <c r="C86" s="52" t="s">
        <v>193</v>
      </c>
      <c r="D86" s="69" t="s">
        <v>24</v>
      </c>
      <c r="E86" s="69"/>
      <c r="F86" s="69"/>
      <c r="G86" s="69"/>
      <c r="H86" s="53" t="s">
        <v>222</v>
      </c>
      <c r="I86" s="53" t="s">
        <v>15</v>
      </c>
      <c r="J86" s="34">
        <f>670-10</f>
        <v>660</v>
      </c>
      <c r="K86" s="54">
        <v>3</v>
      </c>
      <c r="L86" s="64">
        <v>39000048</v>
      </c>
      <c r="M86" s="54">
        <v>7</v>
      </c>
      <c r="N86" s="55" t="s">
        <v>87</v>
      </c>
    </row>
    <row r="87" spans="2:14" ht="40.5" customHeight="1" x14ac:dyDescent="0.25">
      <c r="B87" s="52">
        <v>81</v>
      </c>
      <c r="C87" s="52" t="s">
        <v>194</v>
      </c>
      <c r="D87" s="69" t="s">
        <v>24</v>
      </c>
      <c r="E87" s="69"/>
      <c r="F87" s="69"/>
      <c r="G87" s="69"/>
      <c r="H87" s="53" t="s">
        <v>222</v>
      </c>
      <c r="I87" s="53" t="s">
        <v>15</v>
      </c>
      <c r="J87" s="53">
        <v>615</v>
      </c>
      <c r="K87" s="54">
        <v>7</v>
      </c>
      <c r="L87" s="55" t="s">
        <v>88</v>
      </c>
      <c r="M87" s="54">
        <v>7</v>
      </c>
      <c r="N87" s="55" t="s">
        <v>89</v>
      </c>
    </row>
    <row r="88" spans="2:14" ht="40.5" customHeight="1" x14ac:dyDescent="0.25">
      <c r="B88" s="52">
        <v>82</v>
      </c>
      <c r="C88" s="52" t="s">
        <v>195</v>
      </c>
      <c r="D88" s="69" t="s">
        <v>24</v>
      </c>
      <c r="E88" s="69"/>
      <c r="F88" s="69"/>
      <c r="G88" s="69"/>
      <c r="H88" s="63" t="s">
        <v>222</v>
      </c>
      <c r="I88" s="63" t="s">
        <v>49</v>
      </c>
      <c r="J88" s="63">
        <v>615</v>
      </c>
      <c r="K88" s="54">
        <v>7</v>
      </c>
      <c r="L88" s="55" t="s">
        <v>90</v>
      </c>
      <c r="M88" s="54">
        <v>7</v>
      </c>
      <c r="N88" s="55" t="s">
        <v>91</v>
      </c>
    </row>
    <row r="89" spans="2:14" ht="40.5" customHeight="1" x14ac:dyDescent="0.25">
      <c r="B89" s="52">
        <v>83</v>
      </c>
      <c r="C89" s="52" t="s">
        <v>227</v>
      </c>
      <c r="D89" s="69" t="s">
        <v>24</v>
      </c>
      <c r="E89" s="69"/>
      <c r="F89" s="69"/>
      <c r="G89" s="69"/>
      <c r="H89" s="53" t="s">
        <v>222</v>
      </c>
      <c r="I89" s="53" t="s">
        <v>97</v>
      </c>
      <c r="J89" s="53">
        <v>1810</v>
      </c>
      <c r="K89" s="54">
        <v>2</v>
      </c>
      <c r="L89" s="64" t="s">
        <v>37</v>
      </c>
      <c r="M89" s="54">
        <v>3</v>
      </c>
      <c r="N89" s="55" t="s">
        <v>92</v>
      </c>
    </row>
    <row r="90" spans="2:14" ht="40.5" customHeight="1" x14ac:dyDescent="0.25">
      <c r="B90" s="52">
        <v>84</v>
      </c>
      <c r="C90" s="52" t="s">
        <v>196</v>
      </c>
      <c r="D90" s="69" t="s">
        <v>24</v>
      </c>
      <c r="E90" s="69"/>
      <c r="F90" s="69"/>
      <c r="G90" s="69"/>
      <c r="H90" s="53" t="s">
        <v>222</v>
      </c>
      <c r="I90" s="53" t="s">
        <v>19</v>
      </c>
      <c r="J90" s="53">
        <v>430</v>
      </c>
      <c r="K90" s="54">
        <v>3</v>
      </c>
      <c r="L90" s="64">
        <v>39000048</v>
      </c>
      <c r="M90" s="54">
        <v>7</v>
      </c>
      <c r="N90" s="55" t="s">
        <v>93</v>
      </c>
    </row>
    <row r="91" spans="2:14" ht="40.5" customHeight="1" x14ac:dyDescent="0.25">
      <c r="B91" s="52">
        <v>85</v>
      </c>
      <c r="C91" s="52" t="s">
        <v>197</v>
      </c>
      <c r="D91" s="69" t="s">
        <v>24</v>
      </c>
      <c r="E91" s="69"/>
      <c r="F91" s="69"/>
      <c r="G91" s="69"/>
      <c r="H91" s="53" t="s">
        <v>222</v>
      </c>
      <c r="I91" s="53" t="s">
        <v>16</v>
      </c>
      <c r="J91" s="53">
        <v>385</v>
      </c>
      <c r="K91" s="54">
        <v>3</v>
      </c>
      <c r="L91" s="64">
        <v>39000048</v>
      </c>
      <c r="M91" s="54">
        <v>7</v>
      </c>
      <c r="N91" s="55" t="s">
        <v>94</v>
      </c>
    </row>
    <row r="92" spans="2:14" ht="40.5" customHeight="1" x14ac:dyDescent="0.25">
      <c r="B92" s="52">
        <v>86</v>
      </c>
      <c r="C92" s="52" t="s">
        <v>198</v>
      </c>
      <c r="D92" s="69" t="s">
        <v>24</v>
      </c>
      <c r="E92" s="69"/>
      <c r="F92" s="69"/>
      <c r="G92" s="69"/>
      <c r="H92" s="53" t="s">
        <v>222</v>
      </c>
      <c r="I92" s="53" t="s">
        <v>18</v>
      </c>
      <c r="J92" s="53">
        <v>380</v>
      </c>
      <c r="K92" s="54">
        <v>3</v>
      </c>
      <c r="L92" s="64">
        <v>39000048</v>
      </c>
      <c r="M92" s="54">
        <v>7</v>
      </c>
      <c r="N92" s="55" t="s">
        <v>95</v>
      </c>
    </row>
    <row r="93" spans="2:14" ht="40.5" customHeight="1" x14ac:dyDescent="0.25">
      <c r="B93" s="52">
        <v>87</v>
      </c>
      <c r="C93" s="52" t="s">
        <v>219</v>
      </c>
      <c r="D93" s="69" t="s">
        <v>24</v>
      </c>
      <c r="E93" s="69"/>
      <c r="F93" s="69"/>
      <c r="G93" s="69"/>
      <c r="H93" s="53" t="s">
        <v>222</v>
      </c>
      <c r="I93" s="53" t="s">
        <v>49</v>
      </c>
      <c r="J93" s="34">
        <f>1355-15</f>
        <v>1340</v>
      </c>
      <c r="K93" s="54">
        <v>7</v>
      </c>
      <c r="L93" s="57" t="s">
        <v>306</v>
      </c>
      <c r="M93" s="54">
        <v>3</v>
      </c>
      <c r="N93" s="56" t="s">
        <v>218</v>
      </c>
    </row>
    <row r="94" spans="2:14" ht="40.5" customHeight="1" x14ac:dyDescent="0.25">
      <c r="B94" s="52">
        <v>88</v>
      </c>
      <c r="C94" s="52" t="s">
        <v>108</v>
      </c>
      <c r="D94" s="69" t="s">
        <v>31</v>
      </c>
      <c r="E94" s="69"/>
      <c r="F94" s="69"/>
      <c r="G94" s="69"/>
      <c r="H94" s="53" t="s">
        <v>214</v>
      </c>
      <c r="I94" s="53" t="s">
        <v>96</v>
      </c>
      <c r="J94" s="34">
        <f>360+10</f>
        <v>370</v>
      </c>
      <c r="K94" s="54">
        <v>4.8</v>
      </c>
      <c r="L94" s="64" t="s">
        <v>45</v>
      </c>
      <c r="M94" s="54">
        <v>11</v>
      </c>
      <c r="N94" s="55" t="s">
        <v>206</v>
      </c>
    </row>
    <row r="95" spans="2:14" ht="40.5" customHeight="1" x14ac:dyDescent="0.25">
      <c r="B95" s="52">
        <v>89</v>
      </c>
      <c r="C95" s="52" t="s">
        <v>109</v>
      </c>
      <c r="D95" s="69" t="s">
        <v>24</v>
      </c>
      <c r="E95" s="69"/>
      <c r="F95" s="69"/>
      <c r="G95" s="69"/>
      <c r="H95" s="53" t="s">
        <v>222</v>
      </c>
      <c r="I95" s="53" t="s">
        <v>97</v>
      </c>
      <c r="J95" s="53">
        <v>2070</v>
      </c>
      <c r="K95" s="54">
        <v>2</v>
      </c>
      <c r="L95" s="64">
        <v>561349000</v>
      </c>
      <c r="M95" s="54">
        <v>3</v>
      </c>
      <c r="N95" s="55" t="s">
        <v>25</v>
      </c>
    </row>
    <row r="96" spans="2:14" ht="40.5" customHeight="1" x14ac:dyDescent="0.25">
      <c r="B96" s="52">
        <v>90</v>
      </c>
      <c r="C96" s="52" t="s">
        <v>110</v>
      </c>
      <c r="D96" s="69" t="s">
        <v>24</v>
      </c>
      <c r="E96" s="69"/>
      <c r="F96" s="69"/>
      <c r="G96" s="69"/>
      <c r="H96" s="53" t="s">
        <v>222</v>
      </c>
      <c r="I96" s="53" t="s">
        <v>98</v>
      </c>
      <c r="J96" s="53">
        <v>1765</v>
      </c>
      <c r="K96" s="54">
        <v>2</v>
      </c>
      <c r="L96" s="64">
        <v>561349000</v>
      </c>
      <c r="M96" s="54">
        <v>3</v>
      </c>
      <c r="N96" s="55" t="s">
        <v>107</v>
      </c>
    </row>
    <row r="97" spans="2:14" ht="40.5" customHeight="1" x14ac:dyDescent="0.25">
      <c r="B97" s="52">
        <v>91</v>
      </c>
      <c r="C97" s="52" t="s">
        <v>111</v>
      </c>
      <c r="D97" s="69" t="s">
        <v>24</v>
      </c>
      <c r="E97" s="69"/>
      <c r="F97" s="69"/>
      <c r="G97" s="69"/>
      <c r="H97" s="53" t="s">
        <v>222</v>
      </c>
      <c r="I97" s="53" t="s">
        <v>99</v>
      </c>
      <c r="J97" s="53">
        <v>1765</v>
      </c>
      <c r="K97" s="54">
        <v>2</v>
      </c>
      <c r="L97" s="64">
        <v>561349000</v>
      </c>
      <c r="M97" s="54">
        <v>3</v>
      </c>
      <c r="N97" s="55" t="s">
        <v>107</v>
      </c>
    </row>
    <row r="98" spans="2:14" ht="40.5" customHeight="1" x14ac:dyDescent="0.25">
      <c r="B98" s="52">
        <v>92</v>
      </c>
      <c r="C98" s="52" t="s">
        <v>112</v>
      </c>
      <c r="D98" s="69" t="s">
        <v>24</v>
      </c>
      <c r="E98" s="69"/>
      <c r="F98" s="69"/>
      <c r="G98" s="69"/>
      <c r="H98" s="53" t="s">
        <v>222</v>
      </c>
      <c r="I98" s="53" t="s">
        <v>100</v>
      </c>
      <c r="J98" s="53">
        <v>1765</v>
      </c>
      <c r="K98" s="54">
        <v>2</v>
      </c>
      <c r="L98" s="64">
        <v>561349000</v>
      </c>
      <c r="M98" s="54">
        <v>3</v>
      </c>
      <c r="N98" s="55" t="s">
        <v>107</v>
      </c>
    </row>
    <row r="99" spans="2:14" ht="40.5" customHeight="1" x14ac:dyDescent="0.25">
      <c r="B99" s="52">
        <v>93</v>
      </c>
      <c r="C99" s="52" t="s">
        <v>113</v>
      </c>
      <c r="D99" s="69" t="s">
        <v>24</v>
      </c>
      <c r="E99" s="69"/>
      <c r="F99" s="69"/>
      <c r="G99" s="69"/>
      <c r="H99" s="53" t="s">
        <v>222</v>
      </c>
      <c r="I99" s="53" t="s">
        <v>101</v>
      </c>
      <c r="J99" s="53">
        <v>1745</v>
      </c>
      <c r="K99" s="54">
        <v>2</v>
      </c>
      <c r="L99" s="64">
        <v>561349000</v>
      </c>
      <c r="M99" s="54">
        <v>3</v>
      </c>
      <c r="N99" s="55" t="s">
        <v>107</v>
      </c>
    </row>
    <row r="100" spans="2:14" ht="40.5" customHeight="1" x14ac:dyDescent="0.25">
      <c r="B100" s="52">
        <v>94</v>
      </c>
      <c r="C100" s="52" t="s">
        <v>114</v>
      </c>
      <c r="D100" s="69" t="s">
        <v>24</v>
      </c>
      <c r="E100" s="69"/>
      <c r="F100" s="69"/>
      <c r="G100" s="69"/>
      <c r="H100" s="53" t="s">
        <v>222</v>
      </c>
      <c r="I100" s="53" t="s">
        <v>98</v>
      </c>
      <c r="J100" s="53">
        <v>2430</v>
      </c>
      <c r="K100" s="54">
        <v>3</v>
      </c>
      <c r="L100" s="64" t="s">
        <v>107</v>
      </c>
      <c r="M100" s="54">
        <v>2</v>
      </c>
      <c r="N100" s="55">
        <v>561349000</v>
      </c>
    </row>
    <row r="101" spans="2:14" ht="40.5" customHeight="1" x14ac:dyDescent="0.25">
      <c r="B101" s="52">
        <v>95</v>
      </c>
      <c r="C101" s="52" t="s">
        <v>115</v>
      </c>
      <c r="D101" s="69" t="s">
        <v>24</v>
      </c>
      <c r="E101" s="69"/>
      <c r="F101" s="69"/>
      <c r="G101" s="69"/>
      <c r="H101" s="53" t="s">
        <v>222</v>
      </c>
      <c r="I101" s="53" t="s">
        <v>102</v>
      </c>
      <c r="J101" s="53">
        <v>2430</v>
      </c>
      <c r="K101" s="54">
        <v>3</v>
      </c>
      <c r="L101" s="64" t="s">
        <v>107</v>
      </c>
      <c r="M101" s="54">
        <v>2</v>
      </c>
      <c r="N101" s="55">
        <v>561349000</v>
      </c>
    </row>
    <row r="102" spans="2:14" ht="40.5" customHeight="1" x14ac:dyDescent="0.25">
      <c r="B102" s="52">
        <v>96</v>
      </c>
      <c r="C102" s="52" t="s">
        <v>116</v>
      </c>
      <c r="D102" s="69" t="s">
        <v>24</v>
      </c>
      <c r="E102" s="69"/>
      <c r="F102" s="69"/>
      <c r="G102" s="69"/>
      <c r="H102" s="53" t="s">
        <v>222</v>
      </c>
      <c r="I102" s="53" t="s">
        <v>103</v>
      </c>
      <c r="J102" s="53">
        <v>2430</v>
      </c>
      <c r="K102" s="54">
        <v>2</v>
      </c>
      <c r="L102" s="64">
        <v>561349000</v>
      </c>
      <c r="M102" s="54">
        <v>3</v>
      </c>
      <c r="N102" s="55" t="s">
        <v>107</v>
      </c>
    </row>
    <row r="103" spans="2:14" ht="40.5" customHeight="1" x14ac:dyDescent="0.25">
      <c r="B103" s="52">
        <v>97</v>
      </c>
      <c r="C103" s="52" t="s">
        <v>117</v>
      </c>
      <c r="D103" s="69" t="s">
        <v>24</v>
      </c>
      <c r="E103" s="69"/>
      <c r="F103" s="69"/>
      <c r="G103" s="69"/>
      <c r="H103" s="53" t="s">
        <v>222</v>
      </c>
      <c r="I103" s="53" t="s">
        <v>104</v>
      </c>
      <c r="J103" s="53">
        <v>2430</v>
      </c>
      <c r="K103" s="54">
        <v>2</v>
      </c>
      <c r="L103" s="64">
        <v>561349000</v>
      </c>
      <c r="M103" s="54">
        <v>3</v>
      </c>
      <c r="N103" s="55" t="s">
        <v>107</v>
      </c>
    </row>
    <row r="104" spans="2:14" ht="40.5" customHeight="1" x14ac:dyDescent="0.25">
      <c r="B104" s="52">
        <v>98</v>
      </c>
      <c r="C104" s="52" t="s">
        <v>118</v>
      </c>
      <c r="D104" s="69" t="s">
        <v>24</v>
      </c>
      <c r="E104" s="69"/>
      <c r="F104" s="69"/>
      <c r="G104" s="69"/>
      <c r="H104" s="53" t="s">
        <v>222</v>
      </c>
      <c r="I104" s="53" t="s">
        <v>97</v>
      </c>
      <c r="J104" s="53">
        <v>1115</v>
      </c>
      <c r="K104" s="54">
        <v>3</v>
      </c>
      <c r="L104" s="64" t="s">
        <v>107</v>
      </c>
      <c r="M104" s="54">
        <v>7</v>
      </c>
      <c r="N104" s="55" t="s">
        <v>207</v>
      </c>
    </row>
    <row r="105" spans="2:14" ht="40.5" customHeight="1" x14ac:dyDescent="0.25">
      <c r="B105" s="52">
        <v>99</v>
      </c>
      <c r="C105" s="52" t="s">
        <v>231</v>
      </c>
      <c r="D105" s="69" t="s">
        <v>24</v>
      </c>
      <c r="E105" s="69"/>
      <c r="F105" s="69"/>
      <c r="G105" s="69"/>
      <c r="H105" s="53" t="s">
        <v>222</v>
      </c>
      <c r="I105" s="53" t="s">
        <v>73</v>
      </c>
      <c r="J105" s="53">
        <v>1570</v>
      </c>
      <c r="K105" s="54">
        <v>3</v>
      </c>
      <c r="L105" s="64" t="s">
        <v>107</v>
      </c>
      <c r="M105" s="54">
        <v>2</v>
      </c>
      <c r="N105" s="56" t="s">
        <v>37</v>
      </c>
    </row>
    <row r="106" spans="2:14" ht="40.5" customHeight="1" x14ac:dyDescent="0.25">
      <c r="B106" s="52">
        <v>100</v>
      </c>
      <c r="C106" s="52" t="s">
        <v>232</v>
      </c>
      <c r="D106" s="69" t="s">
        <v>24</v>
      </c>
      <c r="E106" s="69"/>
      <c r="F106" s="69"/>
      <c r="G106" s="69"/>
      <c r="H106" s="53" t="s">
        <v>222</v>
      </c>
      <c r="I106" s="53" t="s">
        <v>77</v>
      </c>
      <c r="J106" s="53">
        <v>1570</v>
      </c>
      <c r="K106" s="54">
        <v>3</v>
      </c>
      <c r="L106" s="64" t="s">
        <v>107</v>
      </c>
      <c r="M106" s="54">
        <v>2</v>
      </c>
      <c r="N106" s="56" t="s">
        <v>37</v>
      </c>
    </row>
    <row r="107" spans="2:14" ht="40.5" customHeight="1" x14ac:dyDescent="0.25">
      <c r="B107" s="52">
        <v>101</v>
      </c>
      <c r="C107" s="52" t="s">
        <v>233</v>
      </c>
      <c r="D107" s="69" t="s">
        <v>24</v>
      </c>
      <c r="E107" s="69"/>
      <c r="F107" s="69"/>
      <c r="G107" s="69"/>
      <c r="H107" s="53" t="s">
        <v>222</v>
      </c>
      <c r="I107" s="53" t="s">
        <v>49</v>
      </c>
      <c r="J107" s="53">
        <v>1365</v>
      </c>
      <c r="K107" s="54">
        <v>3</v>
      </c>
      <c r="L107" s="64" t="s">
        <v>107</v>
      </c>
      <c r="M107" s="54">
        <v>2</v>
      </c>
      <c r="N107" s="56">
        <v>561349000</v>
      </c>
    </row>
    <row r="108" spans="2:14" ht="40.5" customHeight="1" x14ac:dyDescent="0.25">
      <c r="B108" s="52">
        <v>102</v>
      </c>
      <c r="C108" s="52" t="s">
        <v>234</v>
      </c>
      <c r="D108" s="69" t="s">
        <v>24</v>
      </c>
      <c r="E108" s="69"/>
      <c r="F108" s="69"/>
      <c r="G108" s="69"/>
      <c r="H108" s="53" t="s">
        <v>222</v>
      </c>
      <c r="I108" s="57" t="s">
        <v>240</v>
      </c>
      <c r="J108" s="53">
        <v>1580</v>
      </c>
      <c r="K108" s="54">
        <v>3</v>
      </c>
      <c r="L108" s="64" t="s">
        <v>107</v>
      </c>
      <c r="M108" s="54">
        <v>2</v>
      </c>
      <c r="N108" s="56" t="s">
        <v>37</v>
      </c>
    </row>
    <row r="109" spans="2:14" ht="40.5" customHeight="1" x14ac:dyDescent="0.25">
      <c r="B109" s="52">
        <v>103</v>
      </c>
      <c r="C109" s="52" t="s">
        <v>235</v>
      </c>
      <c r="D109" s="69" t="s">
        <v>24</v>
      </c>
      <c r="E109" s="69"/>
      <c r="F109" s="69"/>
      <c r="G109" s="69"/>
      <c r="H109" s="53" t="s">
        <v>222</v>
      </c>
      <c r="I109" s="53" t="s">
        <v>30</v>
      </c>
      <c r="J109" s="53">
        <v>1580</v>
      </c>
      <c r="K109" s="54">
        <v>3</v>
      </c>
      <c r="L109" s="64" t="s">
        <v>107</v>
      </c>
      <c r="M109" s="54">
        <v>2</v>
      </c>
      <c r="N109" s="56" t="s">
        <v>37</v>
      </c>
    </row>
    <row r="110" spans="2:14" ht="40.5" customHeight="1" x14ac:dyDescent="0.25">
      <c r="B110" s="52">
        <v>104</v>
      </c>
      <c r="C110" s="52" t="s">
        <v>236</v>
      </c>
      <c r="D110" s="69" t="s">
        <v>24</v>
      </c>
      <c r="E110" s="69"/>
      <c r="F110" s="69"/>
      <c r="G110" s="69"/>
      <c r="H110" s="53" t="s">
        <v>222</v>
      </c>
      <c r="I110" s="53" t="s">
        <v>17</v>
      </c>
      <c r="J110" s="34">
        <f>2905-15</f>
        <v>2890</v>
      </c>
      <c r="K110" s="54">
        <v>2</v>
      </c>
      <c r="L110" s="64" t="s">
        <v>40</v>
      </c>
      <c r="M110" s="54">
        <v>7</v>
      </c>
      <c r="N110" s="55" t="s">
        <v>300</v>
      </c>
    </row>
    <row r="111" spans="2:14" ht="40.5" customHeight="1" x14ac:dyDescent="0.25">
      <c r="B111" s="52">
        <v>105</v>
      </c>
      <c r="C111" s="52" t="s">
        <v>237</v>
      </c>
      <c r="D111" s="69" t="s">
        <v>24</v>
      </c>
      <c r="E111" s="69"/>
      <c r="F111" s="69"/>
      <c r="G111" s="69"/>
      <c r="H111" s="53" t="s">
        <v>222</v>
      </c>
      <c r="I111" s="53" t="s">
        <v>18</v>
      </c>
      <c r="J111" s="53">
        <v>830</v>
      </c>
      <c r="K111" s="54">
        <v>2</v>
      </c>
      <c r="L111" s="64" t="s">
        <v>40</v>
      </c>
      <c r="M111" s="54">
        <v>7</v>
      </c>
      <c r="N111" s="55" t="s">
        <v>242</v>
      </c>
    </row>
    <row r="112" spans="2:14" ht="40.5" customHeight="1" x14ac:dyDescent="0.25">
      <c r="B112" s="52">
        <v>106</v>
      </c>
      <c r="C112" s="52" t="s">
        <v>238</v>
      </c>
      <c r="D112" s="69" t="s">
        <v>24</v>
      </c>
      <c r="E112" s="69"/>
      <c r="F112" s="69"/>
      <c r="G112" s="69"/>
      <c r="H112" s="53" t="s">
        <v>222</v>
      </c>
      <c r="I112" s="53" t="s">
        <v>29</v>
      </c>
      <c r="J112" s="53">
        <v>1360</v>
      </c>
      <c r="K112" s="54">
        <v>3</v>
      </c>
      <c r="L112" s="64" t="s">
        <v>107</v>
      </c>
      <c r="M112" s="54">
        <v>2</v>
      </c>
      <c r="N112" s="56">
        <v>561349000</v>
      </c>
    </row>
    <row r="113" spans="2:14" ht="40.5" customHeight="1" x14ac:dyDescent="0.25">
      <c r="B113" s="52">
        <v>107</v>
      </c>
      <c r="C113" s="52" t="s">
        <v>239</v>
      </c>
      <c r="D113" s="69" t="s">
        <v>24</v>
      </c>
      <c r="E113" s="69"/>
      <c r="F113" s="69"/>
      <c r="G113" s="69"/>
      <c r="H113" s="53" t="s">
        <v>222</v>
      </c>
      <c r="I113" s="53" t="s">
        <v>72</v>
      </c>
      <c r="J113" s="53">
        <v>1750</v>
      </c>
      <c r="K113" s="54">
        <v>3</v>
      </c>
      <c r="L113" s="64" t="s">
        <v>107</v>
      </c>
      <c r="M113" s="54">
        <v>2</v>
      </c>
      <c r="N113" s="56">
        <v>561349000</v>
      </c>
    </row>
    <row r="114" spans="2:14" ht="40.5" customHeight="1" x14ac:dyDescent="0.25">
      <c r="B114" s="52">
        <v>108</v>
      </c>
      <c r="C114" s="52" t="s">
        <v>243</v>
      </c>
      <c r="D114" s="69" t="s">
        <v>24</v>
      </c>
      <c r="E114" s="69"/>
      <c r="F114" s="69"/>
      <c r="G114" s="69"/>
      <c r="H114" s="53" t="s">
        <v>222</v>
      </c>
      <c r="I114" s="53" t="s">
        <v>15</v>
      </c>
      <c r="J114" s="53">
        <v>1750</v>
      </c>
      <c r="K114" s="54">
        <v>3</v>
      </c>
      <c r="L114" s="64" t="s">
        <v>107</v>
      </c>
      <c r="M114" s="54">
        <v>2</v>
      </c>
      <c r="N114" s="56">
        <v>561349000</v>
      </c>
    </row>
    <row r="115" spans="2:14" ht="40.5" customHeight="1" x14ac:dyDescent="0.25">
      <c r="B115" s="52">
        <v>109</v>
      </c>
      <c r="C115" s="52" t="s">
        <v>244</v>
      </c>
      <c r="D115" s="69" t="s">
        <v>24</v>
      </c>
      <c r="E115" s="69"/>
      <c r="F115" s="69"/>
      <c r="G115" s="69"/>
      <c r="H115" s="53" t="s">
        <v>222</v>
      </c>
      <c r="I115" s="53" t="s">
        <v>73</v>
      </c>
      <c r="J115" s="53">
        <v>1130</v>
      </c>
      <c r="K115" s="54">
        <v>3</v>
      </c>
      <c r="L115" s="55" t="s">
        <v>25</v>
      </c>
      <c r="M115" s="54">
        <v>2</v>
      </c>
      <c r="N115" s="56">
        <v>561349000</v>
      </c>
    </row>
    <row r="116" spans="2:14" ht="40.5" customHeight="1" x14ac:dyDescent="0.25">
      <c r="B116" s="52">
        <v>110</v>
      </c>
      <c r="C116" s="52" t="s">
        <v>245</v>
      </c>
      <c r="D116" s="69" t="s">
        <v>24</v>
      </c>
      <c r="E116" s="69"/>
      <c r="F116" s="69"/>
      <c r="G116" s="69"/>
      <c r="H116" s="53" t="s">
        <v>222</v>
      </c>
      <c r="I116" s="53" t="s">
        <v>253</v>
      </c>
      <c r="J116" s="53">
        <v>1130</v>
      </c>
      <c r="K116" s="54">
        <v>3</v>
      </c>
      <c r="L116" s="55" t="s">
        <v>25</v>
      </c>
      <c r="M116" s="54">
        <v>2</v>
      </c>
      <c r="N116" s="56">
        <v>561349000</v>
      </c>
    </row>
    <row r="117" spans="2:14" ht="40.5" customHeight="1" x14ac:dyDescent="0.25">
      <c r="B117" s="52">
        <v>111</v>
      </c>
      <c r="C117" s="52" t="s">
        <v>246</v>
      </c>
      <c r="D117" s="69" t="s">
        <v>31</v>
      </c>
      <c r="E117" s="69"/>
      <c r="F117" s="69"/>
      <c r="G117" s="69"/>
      <c r="H117" s="53" t="s">
        <v>214</v>
      </c>
      <c r="I117" s="53" t="s">
        <v>33</v>
      </c>
      <c r="J117" s="53">
        <v>680</v>
      </c>
      <c r="K117" s="54">
        <v>3</v>
      </c>
      <c r="L117" s="64" t="s">
        <v>254</v>
      </c>
      <c r="M117" s="54">
        <v>12</v>
      </c>
      <c r="N117" s="55" t="s">
        <v>255</v>
      </c>
    </row>
    <row r="118" spans="2:14" ht="40.5" customHeight="1" x14ac:dyDescent="0.25">
      <c r="B118" s="52">
        <v>112</v>
      </c>
      <c r="C118" s="52" t="s">
        <v>247</v>
      </c>
      <c r="D118" s="69" t="s">
        <v>31</v>
      </c>
      <c r="E118" s="69"/>
      <c r="F118" s="69"/>
      <c r="G118" s="69"/>
      <c r="H118" s="53" t="s">
        <v>214</v>
      </c>
      <c r="I118" s="53" t="s">
        <v>76</v>
      </c>
      <c r="J118" s="34">
        <f>1550-15</f>
        <v>1535</v>
      </c>
      <c r="K118" s="54">
        <v>3</v>
      </c>
      <c r="L118" s="64" t="s">
        <v>254</v>
      </c>
      <c r="M118" s="54">
        <v>3.5</v>
      </c>
      <c r="N118" s="56" t="s">
        <v>42</v>
      </c>
    </row>
    <row r="119" spans="2:14" ht="40.5" customHeight="1" x14ac:dyDescent="0.25">
      <c r="B119" s="52">
        <v>113</v>
      </c>
      <c r="C119" s="52" t="s">
        <v>248</v>
      </c>
      <c r="D119" s="69" t="s">
        <v>24</v>
      </c>
      <c r="E119" s="69"/>
      <c r="F119" s="69"/>
      <c r="G119" s="69"/>
      <c r="H119" s="53" t="s">
        <v>222</v>
      </c>
      <c r="I119" s="53" t="s">
        <v>17</v>
      </c>
      <c r="J119" s="34">
        <f>1025-15</f>
        <v>1010</v>
      </c>
      <c r="K119" s="54">
        <v>2</v>
      </c>
      <c r="L119" s="64" t="s">
        <v>40</v>
      </c>
      <c r="M119" s="54">
        <v>7</v>
      </c>
      <c r="N119" s="55" t="s">
        <v>256</v>
      </c>
    </row>
    <row r="120" spans="2:14" ht="40.5" customHeight="1" x14ac:dyDescent="0.25">
      <c r="B120" s="52">
        <v>114</v>
      </c>
      <c r="C120" s="52" t="s">
        <v>249</v>
      </c>
      <c r="D120" s="69" t="s">
        <v>24</v>
      </c>
      <c r="E120" s="69"/>
      <c r="F120" s="69"/>
      <c r="G120" s="69"/>
      <c r="H120" s="53" t="s">
        <v>222</v>
      </c>
      <c r="I120" s="53" t="s">
        <v>49</v>
      </c>
      <c r="J120" s="34">
        <f>1025-15</f>
        <v>1010</v>
      </c>
      <c r="K120" s="54">
        <v>2</v>
      </c>
      <c r="L120" s="64" t="s">
        <v>40</v>
      </c>
      <c r="M120" s="54">
        <v>7</v>
      </c>
      <c r="N120" s="55" t="s">
        <v>242</v>
      </c>
    </row>
    <row r="121" spans="2:14" ht="40.5" customHeight="1" x14ac:dyDescent="0.25">
      <c r="B121" s="52">
        <v>115</v>
      </c>
      <c r="C121" s="52" t="s">
        <v>250</v>
      </c>
      <c r="D121" s="69" t="s">
        <v>24</v>
      </c>
      <c r="E121" s="69"/>
      <c r="F121" s="69"/>
      <c r="G121" s="69"/>
      <c r="H121" s="53" t="s">
        <v>222</v>
      </c>
      <c r="I121" s="53" t="s">
        <v>49</v>
      </c>
      <c r="J121" s="34">
        <f>2905-15</f>
        <v>2890</v>
      </c>
      <c r="K121" s="54">
        <v>2</v>
      </c>
      <c r="L121" s="64" t="s">
        <v>40</v>
      </c>
      <c r="M121" s="54">
        <v>7</v>
      </c>
      <c r="N121" s="55" t="s">
        <v>242</v>
      </c>
    </row>
    <row r="122" spans="2:14" ht="40.5" customHeight="1" x14ac:dyDescent="0.25">
      <c r="B122" s="52">
        <v>116</v>
      </c>
      <c r="C122" s="52" t="s">
        <v>251</v>
      </c>
      <c r="D122" s="69" t="s">
        <v>24</v>
      </c>
      <c r="E122" s="69"/>
      <c r="F122" s="69"/>
      <c r="G122" s="69"/>
      <c r="H122" s="53" t="s">
        <v>222</v>
      </c>
      <c r="I122" s="53" t="s">
        <v>17</v>
      </c>
      <c r="J122" s="34">
        <f>1355-15</f>
        <v>1340</v>
      </c>
      <c r="K122" s="54">
        <v>3</v>
      </c>
      <c r="L122" s="55" t="s">
        <v>218</v>
      </c>
      <c r="M122" s="54">
        <v>7</v>
      </c>
      <c r="N122" s="55" t="s">
        <v>257</v>
      </c>
    </row>
    <row r="123" spans="2:14" ht="40.5" customHeight="1" x14ac:dyDescent="0.25">
      <c r="B123" s="52">
        <v>117</v>
      </c>
      <c r="C123" s="52" t="s">
        <v>252</v>
      </c>
      <c r="D123" s="69" t="s">
        <v>24</v>
      </c>
      <c r="E123" s="69"/>
      <c r="F123" s="69"/>
      <c r="G123" s="69"/>
      <c r="H123" s="53" t="s">
        <v>222</v>
      </c>
      <c r="I123" s="53" t="s">
        <v>49</v>
      </c>
      <c r="J123" s="53">
        <v>775</v>
      </c>
      <c r="K123" s="54">
        <v>3</v>
      </c>
      <c r="L123" s="64" t="s">
        <v>107</v>
      </c>
      <c r="M123" s="54">
        <v>7</v>
      </c>
      <c r="N123" s="55" t="s">
        <v>261</v>
      </c>
    </row>
    <row r="124" spans="2:14" ht="40.5" customHeight="1" x14ac:dyDescent="0.25">
      <c r="B124" s="52">
        <v>118</v>
      </c>
      <c r="C124" s="52" t="s">
        <v>258</v>
      </c>
      <c r="D124" s="69" t="s">
        <v>24</v>
      </c>
      <c r="E124" s="69"/>
      <c r="F124" s="69"/>
      <c r="G124" s="69"/>
      <c r="H124" s="53" t="s">
        <v>222</v>
      </c>
      <c r="I124" s="53" t="s">
        <v>17</v>
      </c>
      <c r="J124" s="53">
        <v>775</v>
      </c>
      <c r="K124" s="54">
        <v>3</v>
      </c>
      <c r="L124" s="64" t="s">
        <v>107</v>
      </c>
      <c r="M124" s="54">
        <v>7</v>
      </c>
      <c r="N124" s="55" t="s">
        <v>257</v>
      </c>
    </row>
    <row r="125" spans="2:14" ht="40.5" customHeight="1" x14ac:dyDescent="0.25">
      <c r="B125" s="52">
        <v>119</v>
      </c>
      <c r="C125" s="52" t="s">
        <v>259</v>
      </c>
      <c r="D125" s="69" t="s">
        <v>24</v>
      </c>
      <c r="E125" s="69"/>
      <c r="F125" s="69"/>
      <c r="G125" s="69"/>
      <c r="H125" s="53" t="s">
        <v>222</v>
      </c>
      <c r="I125" s="53" t="s">
        <v>19</v>
      </c>
      <c r="J125" s="53">
        <v>1005</v>
      </c>
      <c r="K125" s="54">
        <v>2</v>
      </c>
      <c r="L125" s="64" t="s">
        <v>40</v>
      </c>
      <c r="M125" s="54">
        <v>3</v>
      </c>
      <c r="N125" s="55" t="s">
        <v>48</v>
      </c>
    </row>
    <row r="126" spans="2:14" ht="40.5" customHeight="1" x14ac:dyDescent="0.25">
      <c r="B126" s="52">
        <v>120</v>
      </c>
      <c r="C126" s="52" t="s">
        <v>260</v>
      </c>
      <c r="D126" s="69" t="s">
        <v>24</v>
      </c>
      <c r="E126" s="69"/>
      <c r="F126" s="69"/>
      <c r="G126" s="69"/>
      <c r="H126" s="53" t="s">
        <v>222</v>
      </c>
      <c r="I126" s="53" t="s">
        <v>29</v>
      </c>
      <c r="J126" s="53">
        <v>1005</v>
      </c>
      <c r="K126" s="54">
        <v>2</v>
      </c>
      <c r="L126" s="64" t="s">
        <v>40</v>
      </c>
      <c r="M126" s="54">
        <v>3</v>
      </c>
      <c r="N126" s="55" t="s">
        <v>48</v>
      </c>
    </row>
    <row r="127" spans="2:14" ht="12" customHeight="1" thickBot="1" x14ac:dyDescent="0.3">
      <c r="B127" s="93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5"/>
    </row>
    <row r="128" spans="2:14" ht="30.75" customHeight="1" x14ac:dyDescent="0.25">
      <c r="B128" s="108" t="s">
        <v>291</v>
      </c>
      <c r="C128" s="109"/>
      <c r="D128" s="109" t="s">
        <v>266</v>
      </c>
      <c r="E128" s="109"/>
      <c r="F128" s="109"/>
      <c r="G128" s="109"/>
      <c r="H128" s="109"/>
      <c r="I128" s="109"/>
      <c r="J128" s="109"/>
      <c r="K128" s="109"/>
      <c r="L128" s="109"/>
      <c r="M128" s="109" t="s">
        <v>274</v>
      </c>
      <c r="N128" s="110"/>
    </row>
    <row r="129" spans="2:14" ht="33.75" customHeight="1" x14ac:dyDescent="0.25">
      <c r="B129" s="111">
        <v>0</v>
      </c>
      <c r="C129" s="112"/>
      <c r="D129" s="98" t="s">
        <v>292</v>
      </c>
      <c r="E129" s="99"/>
      <c r="F129" s="99"/>
      <c r="G129" s="99"/>
      <c r="H129" s="99"/>
      <c r="I129" s="99"/>
      <c r="J129" s="99"/>
      <c r="K129" s="99"/>
      <c r="L129" s="100"/>
      <c r="M129" s="101">
        <v>45784</v>
      </c>
      <c r="N129" s="113"/>
    </row>
    <row r="130" spans="2:14" ht="36.75" customHeight="1" x14ac:dyDescent="0.25">
      <c r="B130" s="114">
        <v>1</v>
      </c>
      <c r="C130" s="115"/>
      <c r="D130" s="112" t="s">
        <v>296</v>
      </c>
      <c r="E130" s="112"/>
      <c r="F130" s="112"/>
      <c r="G130" s="112"/>
      <c r="H130" s="112"/>
      <c r="I130" s="112"/>
      <c r="J130" s="112"/>
      <c r="K130" s="112"/>
      <c r="L130" s="112"/>
      <c r="M130" s="116">
        <v>45854</v>
      </c>
      <c r="N130" s="117"/>
    </row>
    <row r="131" spans="2:14" ht="36.75" customHeight="1" x14ac:dyDescent="0.25">
      <c r="B131" s="96">
        <v>2</v>
      </c>
      <c r="C131" s="97"/>
      <c r="D131" s="98" t="s">
        <v>298</v>
      </c>
      <c r="E131" s="99"/>
      <c r="F131" s="99"/>
      <c r="G131" s="99"/>
      <c r="H131" s="99"/>
      <c r="I131" s="99"/>
      <c r="J131" s="99"/>
      <c r="K131" s="99"/>
      <c r="L131" s="100"/>
      <c r="M131" s="101">
        <v>45894</v>
      </c>
      <c r="N131" s="102"/>
    </row>
    <row r="132" spans="2:14" ht="21.75" thickBot="1" x14ac:dyDescent="0.3">
      <c r="B132" s="103" t="s">
        <v>293</v>
      </c>
      <c r="C132" s="104"/>
      <c r="D132" s="104"/>
      <c r="E132" s="104"/>
      <c r="F132" s="104"/>
      <c r="G132" s="104"/>
      <c r="H132" s="105"/>
      <c r="I132" s="106" t="s">
        <v>294</v>
      </c>
      <c r="J132" s="104"/>
      <c r="K132" s="105"/>
      <c r="L132" s="106" t="s">
        <v>295</v>
      </c>
      <c r="M132" s="104"/>
      <c r="N132" s="107"/>
    </row>
  </sheetData>
  <sheetProtection password="D1CD" sheet="1" objects="1" scenarios="1"/>
  <mergeCells count="148">
    <mergeCell ref="B131:C131"/>
    <mergeCell ref="D131:L131"/>
    <mergeCell ref="M131:N131"/>
    <mergeCell ref="B132:H132"/>
    <mergeCell ref="I132:K132"/>
    <mergeCell ref="L132:N132"/>
    <mergeCell ref="B128:C128"/>
    <mergeCell ref="D128:L128"/>
    <mergeCell ref="M128:N128"/>
    <mergeCell ref="B129:C129"/>
    <mergeCell ref="D129:L129"/>
    <mergeCell ref="M129:N129"/>
    <mergeCell ref="B130:C130"/>
    <mergeCell ref="D130:L130"/>
    <mergeCell ref="M130:N130"/>
    <mergeCell ref="D121:G121"/>
    <mergeCell ref="D122:G122"/>
    <mergeCell ref="D123:G123"/>
    <mergeCell ref="D20:G20"/>
    <mergeCell ref="D39:G39"/>
    <mergeCell ref="D9:G9"/>
    <mergeCell ref="D38:G38"/>
    <mergeCell ref="D89:G89"/>
    <mergeCell ref="D104:G104"/>
    <mergeCell ref="D105:G105"/>
    <mergeCell ref="D106:G106"/>
    <mergeCell ref="D107:G107"/>
    <mergeCell ref="D94:G94"/>
    <mergeCell ref="D95:G95"/>
    <mergeCell ref="D96:G96"/>
    <mergeCell ref="D97:G97"/>
    <mergeCell ref="D98:G98"/>
    <mergeCell ref="D90:G90"/>
    <mergeCell ref="D91:G91"/>
    <mergeCell ref="D92:G92"/>
    <mergeCell ref="D85:G85"/>
    <mergeCell ref="D86:G86"/>
    <mergeCell ref="D87:G87"/>
    <mergeCell ref="D88:G88"/>
    <mergeCell ref="D112:G112"/>
    <mergeCell ref="D113:G113"/>
    <mergeCell ref="D114:G114"/>
    <mergeCell ref="D115:G115"/>
    <mergeCell ref="D116:G116"/>
    <mergeCell ref="D117:G117"/>
    <mergeCell ref="D118:G118"/>
    <mergeCell ref="D119:G119"/>
    <mergeCell ref="D120:G120"/>
    <mergeCell ref="D108:G108"/>
    <mergeCell ref="D99:G99"/>
    <mergeCell ref="D100:G100"/>
    <mergeCell ref="D101:G101"/>
    <mergeCell ref="D102:G102"/>
    <mergeCell ref="D103:G103"/>
    <mergeCell ref="D109:G109"/>
    <mergeCell ref="D110:G110"/>
    <mergeCell ref="D111:G111"/>
    <mergeCell ref="D59:G59"/>
    <mergeCell ref="D60:G60"/>
    <mergeCell ref="D62:G62"/>
    <mergeCell ref="D63:G63"/>
    <mergeCell ref="D64:G64"/>
    <mergeCell ref="D83:G83"/>
    <mergeCell ref="D84:G84"/>
    <mergeCell ref="D75:G75"/>
    <mergeCell ref="D76:G76"/>
    <mergeCell ref="D77:G77"/>
    <mergeCell ref="D78:G78"/>
    <mergeCell ref="D79:G79"/>
    <mergeCell ref="D70:G70"/>
    <mergeCell ref="D71:G71"/>
    <mergeCell ref="D72:G72"/>
    <mergeCell ref="D73:G73"/>
    <mergeCell ref="D74:G74"/>
    <mergeCell ref="D80:G80"/>
    <mergeCell ref="D81:G81"/>
    <mergeCell ref="D82:G82"/>
    <mergeCell ref="D42:G42"/>
    <mergeCell ref="D43:G43"/>
    <mergeCell ref="D33:G33"/>
    <mergeCell ref="D54:G54"/>
    <mergeCell ref="D55:G55"/>
    <mergeCell ref="D56:G56"/>
    <mergeCell ref="D57:G57"/>
    <mergeCell ref="D58:G58"/>
    <mergeCell ref="D34:G34"/>
    <mergeCell ref="D35:G35"/>
    <mergeCell ref="D36:G36"/>
    <mergeCell ref="D37:G37"/>
    <mergeCell ref="D49:G49"/>
    <mergeCell ref="D50:G50"/>
    <mergeCell ref="D51:G51"/>
    <mergeCell ref="D52:G52"/>
    <mergeCell ref="D53:G53"/>
    <mergeCell ref="D44:G44"/>
    <mergeCell ref="D45:G45"/>
    <mergeCell ref="D46:G46"/>
    <mergeCell ref="D47:G47"/>
    <mergeCell ref="D48:G48"/>
    <mergeCell ref="B127:N127"/>
    <mergeCell ref="D21:G21"/>
    <mergeCell ref="D22:G22"/>
    <mergeCell ref="D23:G23"/>
    <mergeCell ref="D24:G24"/>
    <mergeCell ref="D25:G25"/>
    <mergeCell ref="D26:G26"/>
    <mergeCell ref="D61:G61"/>
    <mergeCell ref="D32:G32"/>
    <mergeCell ref="D27:G27"/>
    <mergeCell ref="D28:G28"/>
    <mergeCell ref="D29:G29"/>
    <mergeCell ref="D31:G31"/>
    <mergeCell ref="D40:G40"/>
    <mergeCell ref="D41:G41"/>
    <mergeCell ref="D124:G124"/>
    <mergeCell ref="D125:G125"/>
    <mergeCell ref="D126:G126"/>
    <mergeCell ref="D65:G65"/>
    <mergeCell ref="D66:G66"/>
    <mergeCell ref="D67:G67"/>
    <mergeCell ref="D68:G68"/>
    <mergeCell ref="D69:G69"/>
    <mergeCell ref="D93:G93"/>
    <mergeCell ref="B1:N1"/>
    <mergeCell ref="B2:N2"/>
    <mergeCell ref="B3:G3"/>
    <mergeCell ref="K4:L4"/>
    <mergeCell ref="M4:N4"/>
    <mergeCell ref="B4:G4"/>
    <mergeCell ref="B5:G5"/>
    <mergeCell ref="K5:L5"/>
    <mergeCell ref="M5:N5"/>
    <mergeCell ref="K3:L3"/>
    <mergeCell ref="M3:N3"/>
    <mergeCell ref="D30:G30"/>
    <mergeCell ref="D18:G18"/>
    <mergeCell ref="D6:G6"/>
    <mergeCell ref="D11:G11"/>
    <mergeCell ref="D12:G12"/>
    <mergeCell ref="D13:G13"/>
    <mergeCell ref="D14:G14"/>
    <mergeCell ref="D15:G15"/>
    <mergeCell ref="D16:G16"/>
    <mergeCell ref="D7:G7"/>
    <mergeCell ref="D8:G8"/>
    <mergeCell ref="D10:G10"/>
    <mergeCell ref="D17:G17"/>
    <mergeCell ref="D19:G19"/>
  </mergeCells>
  <phoneticPr fontId="11" type="noConversion"/>
  <printOptions horizontalCentered="1" verticalCentered="1"/>
  <pageMargins left="0" right="0" top="0" bottom="0" header="0" footer="0"/>
  <pageSetup paperSize="9" scale="41" orientation="landscape" r:id="rId1"/>
  <headerFooter scaleWithDoc="0" alignWithMargins="0">
    <firstFooter>&amp;RPage :1 of 2</firstFooter>
  </headerFooter>
  <rowBreaks count="2" manualBreakCount="2">
    <brk id="63" min="1" max="13" man="1"/>
    <brk id="92" min="1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R132"/>
  <sheetViews>
    <sheetView tabSelected="1" topLeftCell="L1" workbookViewId="0">
      <selection activeCell="P1" sqref="P1"/>
    </sheetView>
  </sheetViews>
  <sheetFormatPr defaultRowHeight="30" customHeight="1" x14ac:dyDescent="0.25"/>
  <cols>
    <col min="1" max="1" width="1" customWidth="1"/>
    <col min="2" max="2" width="7.5703125" customWidth="1"/>
    <col min="3" max="3" width="20.42578125" customWidth="1"/>
    <col min="4" max="6" width="4.140625" customWidth="1"/>
    <col min="7" max="7" width="25.140625" customWidth="1"/>
    <col min="8" max="8" width="50" customWidth="1"/>
    <col min="9" max="9" width="39.5703125" customWidth="1"/>
    <col min="10" max="10" width="34.85546875" customWidth="1"/>
    <col min="11" max="11" width="26.5703125" customWidth="1"/>
    <col min="12" max="12" width="34.28515625" customWidth="1"/>
    <col min="13" max="13" width="18.140625" customWidth="1"/>
    <col min="14" max="14" width="43.5703125" customWidth="1"/>
    <col min="15" max="15" width="13.28515625" customWidth="1"/>
    <col min="16" max="16" width="37" customWidth="1"/>
    <col min="17" max="17" width="31.140625" hidden="1" customWidth="1"/>
    <col min="18" max="18" width="0" hidden="1" customWidth="1"/>
  </cols>
  <sheetData>
    <row r="1" spans="2:18" ht="30" customHeight="1" thickBot="1" x14ac:dyDescent="0.3">
      <c r="B1" s="71" t="s">
        <v>0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3"/>
    </row>
    <row r="2" spans="2:18" ht="30" customHeight="1" x14ac:dyDescent="0.25">
      <c r="B2" s="74" t="s">
        <v>1</v>
      </c>
      <c r="C2" s="75"/>
      <c r="D2" s="75"/>
      <c r="E2" s="75"/>
      <c r="F2" s="75"/>
      <c r="G2" s="76"/>
      <c r="H2" s="76"/>
      <c r="I2" s="76"/>
      <c r="J2" s="76"/>
      <c r="K2" s="76"/>
      <c r="L2" s="76"/>
      <c r="M2" s="76"/>
      <c r="N2" s="77"/>
    </row>
    <row r="3" spans="2:18" ht="30" customHeight="1" x14ac:dyDescent="0.25">
      <c r="B3" s="78" t="s">
        <v>2</v>
      </c>
      <c r="C3" s="79"/>
      <c r="D3" s="79"/>
      <c r="E3" s="79"/>
      <c r="F3" s="79"/>
      <c r="G3" s="80"/>
      <c r="H3" s="67" t="s">
        <v>228</v>
      </c>
      <c r="I3" s="10" t="s">
        <v>208</v>
      </c>
      <c r="J3" s="66" t="s">
        <v>299</v>
      </c>
      <c r="K3" s="91" t="s">
        <v>209</v>
      </c>
      <c r="L3" s="80"/>
      <c r="M3" s="91" t="s">
        <v>303</v>
      </c>
      <c r="N3" s="92"/>
    </row>
    <row r="4" spans="2:18" ht="30" customHeight="1" x14ac:dyDescent="0.25">
      <c r="B4" s="84" t="s">
        <v>3</v>
      </c>
      <c r="C4" s="82"/>
      <c r="D4" s="82"/>
      <c r="E4" s="82"/>
      <c r="F4" s="82"/>
      <c r="G4" s="70"/>
      <c r="H4" s="66" t="s">
        <v>4</v>
      </c>
      <c r="I4" s="11" t="s">
        <v>211</v>
      </c>
      <c r="J4" s="66">
        <v>2</v>
      </c>
      <c r="K4" s="81" t="s">
        <v>212</v>
      </c>
      <c r="L4" s="82"/>
      <c r="M4" s="70" t="s">
        <v>304</v>
      </c>
      <c r="N4" s="83"/>
    </row>
    <row r="5" spans="2:18" ht="30" customHeight="1" x14ac:dyDescent="0.25">
      <c r="B5" s="85" t="s">
        <v>5</v>
      </c>
      <c r="C5" s="80"/>
      <c r="D5" s="80"/>
      <c r="E5" s="80"/>
      <c r="F5" s="80"/>
      <c r="G5" s="86"/>
      <c r="H5" s="67" t="s">
        <v>23</v>
      </c>
      <c r="I5" s="11" t="s">
        <v>213</v>
      </c>
      <c r="J5" s="66" t="s">
        <v>297</v>
      </c>
      <c r="K5" s="87" t="s">
        <v>6</v>
      </c>
      <c r="L5" s="88"/>
      <c r="M5" s="89" t="s">
        <v>7</v>
      </c>
      <c r="N5" s="90"/>
    </row>
    <row r="6" spans="2:18" ht="30" customHeight="1" x14ac:dyDescent="0.25">
      <c r="B6" s="60" t="s">
        <v>216</v>
      </c>
      <c r="C6" s="60" t="s">
        <v>8</v>
      </c>
      <c r="D6" s="70" t="s">
        <v>9</v>
      </c>
      <c r="E6" s="70"/>
      <c r="F6" s="70"/>
      <c r="G6" s="70"/>
      <c r="H6" s="61" t="s">
        <v>10</v>
      </c>
      <c r="I6" s="66" t="s">
        <v>11</v>
      </c>
      <c r="J6" s="66" t="s">
        <v>12</v>
      </c>
      <c r="K6" s="61" t="s">
        <v>13</v>
      </c>
      <c r="L6" s="61" t="s">
        <v>14</v>
      </c>
      <c r="M6" s="61" t="s">
        <v>13</v>
      </c>
      <c r="N6" s="62" t="s">
        <v>14</v>
      </c>
      <c r="O6" s="68" t="s">
        <v>398</v>
      </c>
      <c r="P6" s="68" t="s">
        <v>397</v>
      </c>
      <c r="Q6" s="68" t="s">
        <v>307</v>
      </c>
    </row>
    <row r="7" spans="2:18" ht="30" customHeight="1" x14ac:dyDescent="0.25">
      <c r="B7" s="52">
        <v>1</v>
      </c>
      <c r="C7" s="52" t="s">
        <v>119</v>
      </c>
      <c r="D7" s="69" t="s">
        <v>31</v>
      </c>
      <c r="E7" s="69"/>
      <c r="F7" s="69"/>
      <c r="G7" s="69"/>
      <c r="H7" s="65" t="s">
        <v>214</v>
      </c>
      <c r="I7" s="65" t="s">
        <v>32</v>
      </c>
      <c r="J7" s="65">
        <v>980</v>
      </c>
      <c r="K7" s="54">
        <v>5</v>
      </c>
      <c r="L7" s="65" t="s">
        <v>34</v>
      </c>
      <c r="M7" s="54">
        <v>11</v>
      </c>
      <c r="N7" s="55" t="s">
        <v>38</v>
      </c>
      <c r="O7" t="s">
        <v>313</v>
      </c>
      <c r="P7" t="s">
        <v>399</v>
      </c>
      <c r="Q7" t="s">
        <v>314</v>
      </c>
      <c r="R7" t="b">
        <f>+Q7=P7</f>
        <v>1</v>
      </c>
    </row>
    <row r="8" spans="2:18" ht="30" customHeight="1" x14ac:dyDescent="0.25">
      <c r="B8" s="52">
        <v>2</v>
      </c>
      <c r="C8" s="52" t="s">
        <v>120</v>
      </c>
      <c r="D8" s="69" t="s">
        <v>31</v>
      </c>
      <c r="E8" s="69"/>
      <c r="F8" s="69"/>
      <c r="G8" s="69"/>
      <c r="H8" s="65" t="s">
        <v>214</v>
      </c>
      <c r="I8" s="65" t="s">
        <v>33</v>
      </c>
      <c r="J8" s="65">
        <v>1200</v>
      </c>
      <c r="K8" s="54">
        <v>12</v>
      </c>
      <c r="L8" s="55" t="s">
        <v>305</v>
      </c>
      <c r="M8" s="54">
        <v>5</v>
      </c>
      <c r="N8" s="56" t="s">
        <v>34</v>
      </c>
      <c r="O8" t="s">
        <v>315</v>
      </c>
      <c r="P8" t="s">
        <v>316</v>
      </c>
      <c r="Q8" t="s">
        <v>316</v>
      </c>
      <c r="R8" t="b">
        <f t="shared" ref="R8:R71" si="0">+Q8=P8</f>
        <v>1</v>
      </c>
    </row>
    <row r="9" spans="2:18" ht="30" customHeight="1" x14ac:dyDescent="0.25">
      <c r="B9" s="52">
        <v>3</v>
      </c>
      <c r="C9" s="52" t="s">
        <v>225</v>
      </c>
      <c r="D9" s="69" t="s">
        <v>24</v>
      </c>
      <c r="E9" s="69"/>
      <c r="F9" s="69"/>
      <c r="G9" s="69"/>
      <c r="H9" s="65" t="s">
        <v>222</v>
      </c>
      <c r="I9" s="65" t="s">
        <v>100</v>
      </c>
      <c r="J9" s="65">
        <v>1810</v>
      </c>
      <c r="K9" s="54">
        <v>2</v>
      </c>
      <c r="L9" s="65" t="s">
        <v>37</v>
      </c>
      <c r="M9" s="54">
        <v>3.5</v>
      </c>
      <c r="N9" s="55" t="s">
        <v>92</v>
      </c>
      <c r="O9" t="s">
        <v>317</v>
      </c>
      <c r="P9" t="s">
        <v>318</v>
      </c>
      <c r="Q9" t="s">
        <v>318</v>
      </c>
      <c r="R9" t="b">
        <f t="shared" si="0"/>
        <v>1</v>
      </c>
    </row>
    <row r="10" spans="2:18" ht="30" customHeight="1" x14ac:dyDescent="0.25">
      <c r="B10" s="52">
        <v>4</v>
      </c>
      <c r="C10" s="52" t="s">
        <v>121</v>
      </c>
      <c r="D10" s="69" t="s">
        <v>35</v>
      </c>
      <c r="E10" s="69"/>
      <c r="F10" s="69"/>
      <c r="G10" s="69"/>
      <c r="H10" s="65" t="s">
        <v>215</v>
      </c>
      <c r="I10" s="65" t="s">
        <v>29</v>
      </c>
      <c r="J10" s="65">
        <f>2650+15</f>
        <v>2665</v>
      </c>
      <c r="K10" s="54">
        <v>3</v>
      </c>
      <c r="L10" s="65" t="s">
        <v>36</v>
      </c>
      <c r="M10" s="54">
        <v>3</v>
      </c>
      <c r="N10" s="56">
        <v>39000040</v>
      </c>
      <c r="O10" t="s">
        <v>319</v>
      </c>
      <c r="P10" t="s">
        <v>400</v>
      </c>
      <c r="Q10" t="s">
        <v>320</v>
      </c>
      <c r="R10" t="b">
        <f t="shared" si="0"/>
        <v>1</v>
      </c>
    </row>
    <row r="11" spans="2:18" ht="30" customHeight="1" x14ac:dyDescent="0.25">
      <c r="B11" s="52">
        <v>5</v>
      </c>
      <c r="C11" s="52" t="s">
        <v>122</v>
      </c>
      <c r="D11" s="69" t="s">
        <v>31</v>
      </c>
      <c r="E11" s="69"/>
      <c r="F11" s="69"/>
      <c r="G11" s="69"/>
      <c r="H11" s="65" t="s">
        <v>214</v>
      </c>
      <c r="I11" s="65" t="s">
        <v>32</v>
      </c>
      <c r="J11" s="65">
        <f>625+25</f>
        <v>650</v>
      </c>
      <c r="K11" s="54">
        <v>3</v>
      </c>
      <c r="L11" s="56">
        <v>39000040</v>
      </c>
      <c r="M11" s="54">
        <v>11</v>
      </c>
      <c r="N11" s="55" t="s">
        <v>200</v>
      </c>
      <c r="O11" t="s">
        <v>313</v>
      </c>
      <c r="P11" t="s">
        <v>399</v>
      </c>
      <c r="Q11" t="s">
        <v>314</v>
      </c>
      <c r="R11" t="b">
        <f t="shared" si="0"/>
        <v>1</v>
      </c>
    </row>
    <row r="12" spans="2:18" ht="30" customHeight="1" x14ac:dyDescent="0.25">
      <c r="B12" s="52">
        <v>6</v>
      </c>
      <c r="C12" s="52" t="s">
        <v>123</v>
      </c>
      <c r="D12" s="69" t="s">
        <v>24</v>
      </c>
      <c r="E12" s="69"/>
      <c r="F12" s="69"/>
      <c r="G12" s="69"/>
      <c r="H12" s="65" t="s">
        <v>222</v>
      </c>
      <c r="I12" s="65" t="s">
        <v>15</v>
      </c>
      <c r="J12" s="65">
        <v>1610</v>
      </c>
      <c r="K12" s="54">
        <v>2</v>
      </c>
      <c r="L12" s="65" t="s">
        <v>37</v>
      </c>
      <c r="M12" s="54">
        <v>7</v>
      </c>
      <c r="N12" s="55" t="s">
        <v>201</v>
      </c>
      <c r="O12" t="s">
        <v>321</v>
      </c>
      <c r="P12" t="s">
        <v>401</v>
      </c>
      <c r="Q12" t="s">
        <v>322</v>
      </c>
      <c r="R12" t="b">
        <f t="shared" si="0"/>
        <v>1</v>
      </c>
    </row>
    <row r="13" spans="2:18" ht="30" customHeight="1" x14ac:dyDescent="0.25">
      <c r="B13" s="52">
        <v>7</v>
      </c>
      <c r="C13" s="52" t="s">
        <v>124</v>
      </c>
      <c r="D13" s="69" t="s">
        <v>24</v>
      </c>
      <c r="E13" s="69"/>
      <c r="F13" s="69"/>
      <c r="G13" s="69"/>
      <c r="H13" s="65" t="s">
        <v>222</v>
      </c>
      <c r="I13" s="65" t="s">
        <v>33</v>
      </c>
      <c r="J13" s="34">
        <f>670-10</f>
        <v>660</v>
      </c>
      <c r="K13" s="54">
        <v>3</v>
      </c>
      <c r="L13" s="65">
        <v>39000048</v>
      </c>
      <c r="M13" s="54">
        <v>7</v>
      </c>
      <c r="N13" s="55" t="s">
        <v>202</v>
      </c>
      <c r="O13" t="s">
        <v>323</v>
      </c>
      <c r="P13" t="s">
        <v>354</v>
      </c>
      <c r="Q13" t="s">
        <v>324</v>
      </c>
      <c r="R13" t="b">
        <f t="shared" si="0"/>
        <v>1</v>
      </c>
    </row>
    <row r="14" spans="2:18" ht="30" customHeight="1" x14ac:dyDescent="0.25">
      <c r="B14" s="52">
        <v>8</v>
      </c>
      <c r="C14" s="52" t="s">
        <v>125</v>
      </c>
      <c r="D14" s="69" t="s">
        <v>24</v>
      </c>
      <c r="E14" s="69"/>
      <c r="F14" s="69"/>
      <c r="G14" s="69"/>
      <c r="H14" s="65" t="s">
        <v>222</v>
      </c>
      <c r="I14" s="65" t="s">
        <v>15</v>
      </c>
      <c r="J14" s="65">
        <v>1440</v>
      </c>
      <c r="K14" s="54">
        <v>2</v>
      </c>
      <c r="L14" s="65" t="s">
        <v>40</v>
      </c>
      <c r="M14" s="54">
        <v>3</v>
      </c>
      <c r="N14" s="56">
        <v>39000048</v>
      </c>
      <c r="O14" t="s">
        <v>321</v>
      </c>
      <c r="P14" t="s">
        <v>401</v>
      </c>
      <c r="Q14" t="s">
        <v>322</v>
      </c>
      <c r="R14" t="b">
        <f t="shared" si="0"/>
        <v>1</v>
      </c>
    </row>
    <row r="15" spans="2:18" ht="30" customHeight="1" x14ac:dyDescent="0.25">
      <c r="B15" s="52">
        <v>9</v>
      </c>
      <c r="C15" s="52" t="s">
        <v>126</v>
      </c>
      <c r="D15" s="69" t="s">
        <v>24</v>
      </c>
      <c r="E15" s="69"/>
      <c r="F15" s="69"/>
      <c r="G15" s="69"/>
      <c r="H15" s="65" t="s">
        <v>222</v>
      </c>
      <c r="I15" s="65" t="s">
        <v>17</v>
      </c>
      <c r="J15" s="65">
        <v>1450</v>
      </c>
      <c r="K15" s="54">
        <v>3</v>
      </c>
      <c r="L15" s="65">
        <v>39000048</v>
      </c>
      <c r="M15" s="54">
        <v>2</v>
      </c>
      <c r="N15" s="55" t="s">
        <v>40</v>
      </c>
      <c r="O15" t="s">
        <v>325</v>
      </c>
      <c r="P15" t="s">
        <v>402</v>
      </c>
      <c r="Q15" t="s">
        <v>308</v>
      </c>
      <c r="R15" t="b">
        <f t="shared" si="0"/>
        <v>0</v>
      </c>
    </row>
    <row r="16" spans="2:18" ht="30" customHeight="1" x14ac:dyDescent="0.25">
      <c r="B16" s="52">
        <v>10</v>
      </c>
      <c r="C16" s="52" t="s">
        <v>127</v>
      </c>
      <c r="D16" s="69" t="s">
        <v>35</v>
      </c>
      <c r="E16" s="69"/>
      <c r="F16" s="69"/>
      <c r="G16" s="69"/>
      <c r="H16" s="65" t="s">
        <v>215</v>
      </c>
      <c r="I16" s="65" t="s">
        <v>16</v>
      </c>
      <c r="J16" s="65">
        <v>1230</v>
      </c>
      <c r="K16" s="54">
        <v>3.5</v>
      </c>
      <c r="L16" s="65" t="s">
        <v>36</v>
      </c>
      <c r="M16" s="54">
        <v>7</v>
      </c>
      <c r="N16" s="55" t="s">
        <v>41</v>
      </c>
      <c r="O16" t="s">
        <v>326</v>
      </c>
      <c r="P16" t="s">
        <v>403</v>
      </c>
      <c r="Q16" t="s">
        <v>327</v>
      </c>
      <c r="R16" t="b">
        <f t="shared" si="0"/>
        <v>1</v>
      </c>
    </row>
    <row r="17" spans="2:18" ht="30" customHeight="1" x14ac:dyDescent="0.25">
      <c r="B17" s="52">
        <v>11</v>
      </c>
      <c r="C17" s="52" t="s">
        <v>217</v>
      </c>
      <c r="D17" s="69" t="s">
        <v>24</v>
      </c>
      <c r="E17" s="69"/>
      <c r="F17" s="69"/>
      <c r="G17" s="69"/>
      <c r="H17" s="65" t="s">
        <v>222</v>
      </c>
      <c r="I17" s="65" t="s">
        <v>17</v>
      </c>
      <c r="J17" s="65">
        <v>830</v>
      </c>
      <c r="K17" s="54">
        <v>2</v>
      </c>
      <c r="L17" s="65" t="s">
        <v>40</v>
      </c>
      <c r="M17" s="54">
        <v>7</v>
      </c>
      <c r="N17" s="55" t="s">
        <v>229</v>
      </c>
      <c r="O17" t="s">
        <v>325</v>
      </c>
      <c r="P17" t="s">
        <v>402</v>
      </c>
      <c r="Q17" t="s">
        <v>308</v>
      </c>
      <c r="R17" t="b">
        <f t="shared" si="0"/>
        <v>0</v>
      </c>
    </row>
    <row r="18" spans="2:18" ht="30" customHeight="1" x14ac:dyDescent="0.25">
      <c r="B18" s="52">
        <v>12</v>
      </c>
      <c r="C18" s="52" t="s">
        <v>128</v>
      </c>
      <c r="D18" s="69" t="s">
        <v>24</v>
      </c>
      <c r="E18" s="69"/>
      <c r="F18" s="69"/>
      <c r="G18" s="69"/>
      <c r="H18" s="65" t="s">
        <v>222</v>
      </c>
      <c r="I18" s="65" t="s">
        <v>27</v>
      </c>
      <c r="J18" s="65">
        <v>1365</v>
      </c>
      <c r="K18" s="54">
        <v>3</v>
      </c>
      <c r="L18" s="65">
        <v>39000048</v>
      </c>
      <c r="M18" s="54">
        <v>2</v>
      </c>
      <c r="N18" s="56">
        <v>561349000</v>
      </c>
      <c r="O18" t="s">
        <v>328</v>
      </c>
      <c r="P18" t="s">
        <v>392</v>
      </c>
      <c r="Q18" t="s">
        <v>329</v>
      </c>
      <c r="R18" t="b">
        <f t="shared" si="0"/>
        <v>1</v>
      </c>
    </row>
    <row r="19" spans="2:18" ht="30" customHeight="1" x14ac:dyDescent="0.25">
      <c r="B19" s="52">
        <v>13</v>
      </c>
      <c r="C19" s="52" t="s">
        <v>129</v>
      </c>
      <c r="D19" s="69" t="s">
        <v>31</v>
      </c>
      <c r="E19" s="69"/>
      <c r="F19" s="69"/>
      <c r="G19" s="69"/>
      <c r="H19" s="65" t="s">
        <v>214</v>
      </c>
      <c r="I19" s="65" t="s">
        <v>32</v>
      </c>
      <c r="J19" s="65">
        <v>950</v>
      </c>
      <c r="K19" s="54">
        <v>3.5</v>
      </c>
      <c r="L19" s="65" t="s">
        <v>42</v>
      </c>
      <c r="M19" s="54">
        <v>11</v>
      </c>
      <c r="N19" s="55" t="s">
        <v>43</v>
      </c>
      <c r="O19" t="s">
        <v>313</v>
      </c>
      <c r="P19" t="s">
        <v>399</v>
      </c>
      <c r="Q19" t="s">
        <v>314</v>
      </c>
      <c r="R19" t="b">
        <f t="shared" si="0"/>
        <v>1</v>
      </c>
    </row>
    <row r="20" spans="2:18" ht="30" customHeight="1" x14ac:dyDescent="0.25">
      <c r="B20" s="52">
        <v>14</v>
      </c>
      <c r="C20" s="52" t="s">
        <v>130</v>
      </c>
      <c r="D20" s="69" t="s">
        <v>35</v>
      </c>
      <c r="E20" s="69"/>
      <c r="F20" s="69"/>
      <c r="G20" s="69"/>
      <c r="H20" s="65" t="s">
        <v>215</v>
      </c>
      <c r="I20" s="65" t="s">
        <v>28</v>
      </c>
      <c r="J20" s="65">
        <f>2590+10</f>
        <v>2600</v>
      </c>
      <c r="K20" s="54">
        <v>3</v>
      </c>
      <c r="L20" s="65" t="s">
        <v>36</v>
      </c>
      <c r="M20" s="54">
        <v>3</v>
      </c>
      <c r="N20" s="56">
        <v>39000048</v>
      </c>
      <c r="O20" t="s">
        <v>330</v>
      </c>
      <c r="P20" t="s">
        <v>331</v>
      </c>
      <c r="Q20" t="s">
        <v>331</v>
      </c>
      <c r="R20" t="b">
        <f t="shared" si="0"/>
        <v>1</v>
      </c>
    </row>
    <row r="21" spans="2:18" ht="30" customHeight="1" x14ac:dyDescent="0.25">
      <c r="B21" s="52">
        <v>15</v>
      </c>
      <c r="C21" s="52" t="s">
        <v>131</v>
      </c>
      <c r="D21" s="69" t="s">
        <v>24</v>
      </c>
      <c r="E21" s="69"/>
      <c r="F21" s="69"/>
      <c r="G21" s="69"/>
      <c r="H21" s="65" t="s">
        <v>222</v>
      </c>
      <c r="I21" s="65" t="s">
        <v>44</v>
      </c>
      <c r="J21" s="65">
        <v>1440</v>
      </c>
      <c r="K21" s="54">
        <v>2</v>
      </c>
      <c r="L21" s="65" t="s">
        <v>40</v>
      </c>
      <c r="M21" s="54">
        <v>3</v>
      </c>
      <c r="N21" s="56">
        <v>39000048</v>
      </c>
      <c r="O21" t="s">
        <v>332</v>
      </c>
      <c r="P21" t="s">
        <v>391</v>
      </c>
      <c r="Q21" t="s">
        <v>333</v>
      </c>
      <c r="R21" t="b">
        <f t="shared" si="0"/>
        <v>1</v>
      </c>
    </row>
    <row r="22" spans="2:18" ht="30" customHeight="1" x14ac:dyDescent="0.25">
      <c r="B22" s="52">
        <v>16</v>
      </c>
      <c r="C22" s="52" t="s">
        <v>132</v>
      </c>
      <c r="D22" s="69" t="s">
        <v>31</v>
      </c>
      <c r="E22" s="69"/>
      <c r="F22" s="69"/>
      <c r="G22" s="69"/>
      <c r="H22" s="65" t="s">
        <v>214</v>
      </c>
      <c r="I22" s="65" t="s">
        <v>19</v>
      </c>
      <c r="J22" s="34">
        <f>1165+10</f>
        <v>1175</v>
      </c>
      <c r="K22" s="54">
        <v>3.5</v>
      </c>
      <c r="L22" s="65" t="s">
        <v>42</v>
      </c>
      <c r="M22" s="54">
        <v>4.8</v>
      </c>
      <c r="N22" s="55" t="s">
        <v>45</v>
      </c>
      <c r="O22" t="s">
        <v>334</v>
      </c>
      <c r="P22" t="s">
        <v>404</v>
      </c>
      <c r="Q22" t="s">
        <v>335</v>
      </c>
      <c r="R22" t="b">
        <f t="shared" si="0"/>
        <v>1</v>
      </c>
    </row>
    <row r="23" spans="2:18" ht="30" customHeight="1" x14ac:dyDescent="0.25">
      <c r="B23" s="52">
        <v>17</v>
      </c>
      <c r="C23" s="52" t="s">
        <v>133</v>
      </c>
      <c r="D23" s="69" t="s">
        <v>24</v>
      </c>
      <c r="E23" s="69"/>
      <c r="F23" s="69"/>
      <c r="G23" s="69"/>
      <c r="H23" s="65" t="s">
        <v>222</v>
      </c>
      <c r="I23" s="65" t="s">
        <v>46</v>
      </c>
      <c r="J23" s="65">
        <v>725</v>
      </c>
      <c r="K23" s="54">
        <v>7</v>
      </c>
      <c r="L23" s="57" t="s">
        <v>203</v>
      </c>
      <c r="M23" s="54">
        <v>3</v>
      </c>
      <c r="N23" s="56">
        <v>39000048</v>
      </c>
      <c r="O23" t="s">
        <v>336</v>
      </c>
      <c r="P23" t="s">
        <v>309</v>
      </c>
      <c r="Q23" t="s">
        <v>309</v>
      </c>
      <c r="R23" t="b">
        <f t="shared" si="0"/>
        <v>1</v>
      </c>
    </row>
    <row r="24" spans="2:18" ht="30" customHeight="1" x14ac:dyDescent="0.25">
      <c r="B24" s="52">
        <v>18</v>
      </c>
      <c r="C24" s="52" t="s">
        <v>134</v>
      </c>
      <c r="D24" s="69" t="s">
        <v>24</v>
      </c>
      <c r="E24" s="69"/>
      <c r="F24" s="69"/>
      <c r="G24" s="69"/>
      <c r="H24" s="65" t="s">
        <v>222</v>
      </c>
      <c r="I24" s="65" t="s">
        <v>30</v>
      </c>
      <c r="J24" s="65">
        <v>1320</v>
      </c>
      <c r="K24" s="54">
        <v>3</v>
      </c>
      <c r="L24" s="65" t="s">
        <v>48</v>
      </c>
      <c r="M24" s="54">
        <v>2</v>
      </c>
      <c r="N24" s="56" t="s">
        <v>40</v>
      </c>
      <c r="O24" t="s">
        <v>337</v>
      </c>
      <c r="P24" t="s">
        <v>405</v>
      </c>
      <c r="Q24" t="s">
        <v>338</v>
      </c>
      <c r="R24" t="b">
        <f t="shared" si="0"/>
        <v>1</v>
      </c>
    </row>
    <row r="25" spans="2:18" ht="30" customHeight="1" x14ac:dyDescent="0.25">
      <c r="B25" s="52">
        <v>19</v>
      </c>
      <c r="C25" s="52" t="s">
        <v>135</v>
      </c>
      <c r="D25" s="69" t="s">
        <v>24</v>
      </c>
      <c r="E25" s="69"/>
      <c r="F25" s="69"/>
      <c r="G25" s="69"/>
      <c r="H25" s="65" t="s">
        <v>222</v>
      </c>
      <c r="I25" s="65" t="s">
        <v>47</v>
      </c>
      <c r="J25" s="65">
        <v>1320</v>
      </c>
      <c r="K25" s="54">
        <v>3</v>
      </c>
      <c r="L25" s="65" t="s">
        <v>48</v>
      </c>
      <c r="M25" s="54">
        <v>2</v>
      </c>
      <c r="N25" s="56" t="s">
        <v>40</v>
      </c>
      <c r="O25" t="s">
        <v>336</v>
      </c>
      <c r="P25" t="s">
        <v>309</v>
      </c>
      <c r="Q25" t="s">
        <v>339</v>
      </c>
      <c r="R25" t="b">
        <f t="shared" si="0"/>
        <v>1</v>
      </c>
    </row>
    <row r="26" spans="2:18" ht="30" customHeight="1" x14ac:dyDescent="0.25">
      <c r="B26" s="52">
        <v>20</v>
      </c>
      <c r="C26" s="52" t="s">
        <v>136</v>
      </c>
      <c r="D26" s="69" t="s">
        <v>35</v>
      </c>
      <c r="E26" s="69"/>
      <c r="F26" s="69"/>
      <c r="G26" s="69"/>
      <c r="H26" s="65" t="s">
        <v>215</v>
      </c>
      <c r="I26" s="65" t="s">
        <v>18</v>
      </c>
      <c r="J26" s="65">
        <v>1235</v>
      </c>
      <c r="K26" s="54">
        <v>3.5</v>
      </c>
      <c r="L26" s="65" t="s">
        <v>36</v>
      </c>
      <c r="M26" s="54">
        <v>7</v>
      </c>
      <c r="N26" s="55" t="s">
        <v>204</v>
      </c>
      <c r="O26" t="s">
        <v>340</v>
      </c>
      <c r="P26" t="s">
        <v>406</v>
      </c>
      <c r="Q26" t="s">
        <v>341</v>
      </c>
      <c r="R26" t="b">
        <f t="shared" si="0"/>
        <v>1</v>
      </c>
    </row>
    <row r="27" spans="2:18" ht="30" customHeight="1" x14ac:dyDescent="0.25">
      <c r="B27" s="52">
        <v>21</v>
      </c>
      <c r="C27" s="52" t="s">
        <v>137</v>
      </c>
      <c r="D27" s="69" t="s">
        <v>31</v>
      </c>
      <c r="E27" s="69"/>
      <c r="F27" s="69"/>
      <c r="G27" s="69"/>
      <c r="H27" s="65" t="s">
        <v>214</v>
      </c>
      <c r="I27" s="65" t="s">
        <v>49</v>
      </c>
      <c r="J27" s="34">
        <f>910-10</f>
        <v>900</v>
      </c>
      <c r="K27" s="54">
        <v>3</v>
      </c>
      <c r="L27" s="65">
        <v>39000040</v>
      </c>
      <c r="M27" s="54">
        <v>12</v>
      </c>
      <c r="N27" s="55" t="s">
        <v>50</v>
      </c>
      <c r="O27" t="s">
        <v>342</v>
      </c>
      <c r="P27" t="s">
        <v>407</v>
      </c>
      <c r="Q27" t="s">
        <v>343</v>
      </c>
      <c r="R27" t="b">
        <f t="shared" si="0"/>
        <v>1</v>
      </c>
    </row>
    <row r="28" spans="2:18" ht="30" customHeight="1" x14ac:dyDescent="0.25">
      <c r="B28" s="52">
        <v>22</v>
      </c>
      <c r="C28" s="52" t="s">
        <v>138</v>
      </c>
      <c r="D28" s="69" t="s">
        <v>24</v>
      </c>
      <c r="E28" s="69"/>
      <c r="F28" s="69"/>
      <c r="G28" s="69"/>
      <c r="H28" s="65" t="s">
        <v>222</v>
      </c>
      <c r="I28" s="65" t="s">
        <v>44</v>
      </c>
      <c r="J28" s="34">
        <f>295+10</f>
        <v>305</v>
      </c>
      <c r="K28" s="54">
        <v>5</v>
      </c>
      <c r="L28" s="65" t="s">
        <v>51</v>
      </c>
      <c r="M28" s="54">
        <v>7</v>
      </c>
      <c r="N28" s="55" t="s">
        <v>52</v>
      </c>
      <c r="O28" t="s">
        <v>332</v>
      </c>
      <c r="P28" t="s">
        <v>391</v>
      </c>
      <c r="Q28" t="s">
        <v>333</v>
      </c>
      <c r="R28" t="b">
        <f t="shared" si="0"/>
        <v>1</v>
      </c>
    </row>
    <row r="29" spans="2:18" ht="30" customHeight="1" x14ac:dyDescent="0.25">
      <c r="B29" s="52">
        <v>23</v>
      </c>
      <c r="C29" s="52" t="s">
        <v>139</v>
      </c>
      <c r="D29" s="69" t="s">
        <v>31</v>
      </c>
      <c r="E29" s="69"/>
      <c r="F29" s="69"/>
      <c r="G29" s="69"/>
      <c r="H29" s="65" t="s">
        <v>214</v>
      </c>
      <c r="I29" s="65" t="s">
        <v>19</v>
      </c>
      <c r="J29" s="65">
        <v>650</v>
      </c>
      <c r="K29" s="54">
        <v>3</v>
      </c>
      <c r="L29" s="65">
        <v>39000040</v>
      </c>
      <c r="M29" s="54">
        <v>11</v>
      </c>
      <c r="N29" s="55" t="s">
        <v>53</v>
      </c>
      <c r="O29" t="s">
        <v>334</v>
      </c>
      <c r="P29" t="s">
        <v>404</v>
      </c>
      <c r="Q29" t="s">
        <v>335</v>
      </c>
      <c r="R29" t="b">
        <f t="shared" si="0"/>
        <v>1</v>
      </c>
    </row>
    <row r="30" spans="2:18" ht="30" customHeight="1" x14ac:dyDescent="0.25">
      <c r="B30" s="52">
        <v>24</v>
      </c>
      <c r="C30" s="52" t="s">
        <v>140</v>
      </c>
      <c r="D30" s="69" t="s">
        <v>35</v>
      </c>
      <c r="E30" s="69"/>
      <c r="F30" s="69"/>
      <c r="G30" s="69"/>
      <c r="H30" s="65" t="s">
        <v>215</v>
      </c>
      <c r="I30" s="65" t="s">
        <v>19</v>
      </c>
      <c r="J30" s="65">
        <v>855</v>
      </c>
      <c r="K30" s="54">
        <v>3.5</v>
      </c>
      <c r="L30" s="65" t="s">
        <v>36</v>
      </c>
      <c r="M30" s="54">
        <v>7</v>
      </c>
      <c r="N30" s="55" t="s">
        <v>54</v>
      </c>
      <c r="O30" t="s">
        <v>344</v>
      </c>
      <c r="P30" t="s">
        <v>408</v>
      </c>
      <c r="Q30" t="s">
        <v>345</v>
      </c>
      <c r="R30" t="b">
        <f t="shared" si="0"/>
        <v>1</v>
      </c>
    </row>
    <row r="31" spans="2:18" ht="30" customHeight="1" x14ac:dyDescent="0.25">
      <c r="B31" s="52">
        <v>25</v>
      </c>
      <c r="C31" s="52" t="s">
        <v>141</v>
      </c>
      <c r="D31" s="69" t="s">
        <v>31</v>
      </c>
      <c r="E31" s="69"/>
      <c r="F31" s="69"/>
      <c r="G31" s="69"/>
      <c r="H31" s="65" t="s">
        <v>214</v>
      </c>
      <c r="I31" s="65" t="s">
        <v>55</v>
      </c>
      <c r="J31" s="65">
        <v>2210</v>
      </c>
      <c r="K31" s="54">
        <v>3</v>
      </c>
      <c r="L31" s="65">
        <v>39000040</v>
      </c>
      <c r="M31" s="54">
        <v>11</v>
      </c>
      <c r="N31" s="55" t="s">
        <v>56</v>
      </c>
      <c r="O31" t="s">
        <v>346</v>
      </c>
      <c r="P31" t="s">
        <v>312</v>
      </c>
      <c r="Q31" t="s">
        <v>347</v>
      </c>
      <c r="R31" t="b">
        <f t="shared" si="0"/>
        <v>1</v>
      </c>
    </row>
    <row r="32" spans="2:18" ht="30" customHeight="1" x14ac:dyDescent="0.25">
      <c r="B32" s="52">
        <v>26</v>
      </c>
      <c r="C32" s="52" t="s">
        <v>142</v>
      </c>
      <c r="D32" s="69" t="s">
        <v>31</v>
      </c>
      <c r="E32" s="69"/>
      <c r="F32" s="69"/>
      <c r="G32" s="69"/>
      <c r="H32" s="65" t="s">
        <v>214</v>
      </c>
      <c r="I32" s="65" t="s">
        <v>55</v>
      </c>
      <c r="J32" s="65">
        <v>785</v>
      </c>
      <c r="K32" s="54">
        <v>3</v>
      </c>
      <c r="L32" s="65">
        <v>39000040</v>
      </c>
      <c r="M32" s="54">
        <v>11</v>
      </c>
      <c r="N32" s="55" t="s">
        <v>57</v>
      </c>
      <c r="O32" t="s">
        <v>346</v>
      </c>
      <c r="P32" t="s">
        <v>312</v>
      </c>
      <c r="Q32" t="s">
        <v>347</v>
      </c>
      <c r="R32" t="b">
        <f t="shared" si="0"/>
        <v>1</v>
      </c>
    </row>
    <row r="33" spans="2:18" ht="30" customHeight="1" x14ac:dyDescent="0.25">
      <c r="B33" s="52">
        <v>27</v>
      </c>
      <c r="C33" s="52" t="s">
        <v>143</v>
      </c>
      <c r="D33" s="69" t="s">
        <v>24</v>
      </c>
      <c r="E33" s="69"/>
      <c r="F33" s="69"/>
      <c r="G33" s="69"/>
      <c r="H33" s="65" t="s">
        <v>222</v>
      </c>
      <c r="I33" s="65" t="s">
        <v>29</v>
      </c>
      <c r="J33" s="34">
        <f>915-10</f>
        <v>905</v>
      </c>
      <c r="K33" s="54">
        <v>3</v>
      </c>
      <c r="L33" s="55">
        <v>39000048</v>
      </c>
      <c r="M33" s="54">
        <v>7</v>
      </c>
      <c r="N33" s="55" t="s">
        <v>52</v>
      </c>
      <c r="O33" t="s">
        <v>317</v>
      </c>
      <c r="P33" t="s">
        <v>318</v>
      </c>
      <c r="Q33" t="s">
        <v>348</v>
      </c>
      <c r="R33" t="b">
        <f t="shared" si="0"/>
        <v>1</v>
      </c>
    </row>
    <row r="34" spans="2:18" ht="30" customHeight="1" x14ac:dyDescent="0.25">
      <c r="B34" s="52">
        <v>28</v>
      </c>
      <c r="C34" s="52" t="s">
        <v>145</v>
      </c>
      <c r="D34" s="69" t="s">
        <v>35</v>
      </c>
      <c r="E34" s="69"/>
      <c r="F34" s="69"/>
      <c r="G34" s="69"/>
      <c r="H34" s="65" t="s">
        <v>215</v>
      </c>
      <c r="I34" s="65" t="s">
        <v>49</v>
      </c>
      <c r="J34" s="65">
        <v>2590</v>
      </c>
      <c r="K34" s="54">
        <v>3.5</v>
      </c>
      <c r="L34" s="65" t="s">
        <v>36</v>
      </c>
      <c r="M34" s="54">
        <v>3</v>
      </c>
      <c r="N34" s="56">
        <v>39000040</v>
      </c>
      <c r="O34" t="s">
        <v>349</v>
      </c>
      <c r="P34" t="s">
        <v>409</v>
      </c>
      <c r="Q34" t="s">
        <v>350</v>
      </c>
      <c r="R34" t="b">
        <f t="shared" si="0"/>
        <v>1</v>
      </c>
    </row>
    <row r="35" spans="2:18" ht="30" customHeight="1" x14ac:dyDescent="0.25">
      <c r="B35" s="52">
        <v>29</v>
      </c>
      <c r="C35" s="52" t="s">
        <v>144</v>
      </c>
      <c r="D35" s="69" t="s">
        <v>24</v>
      </c>
      <c r="E35" s="69"/>
      <c r="F35" s="69"/>
      <c r="G35" s="69"/>
      <c r="H35" s="65" t="s">
        <v>222</v>
      </c>
      <c r="I35" s="65" t="s">
        <v>58</v>
      </c>
      <c r="J35" s="65">
        <v>1450</v>
      </c>
      <c r="K35" s="54">
        <v>2</v>
      </c>
      <c r="L35" s="65" t="s">
        <v>40</v>
      </c>
      <c r="M35" s="54">
        <v>3</v>
      </c>
      <c r="N35" s="55">
        <v>39000048</v>
      </c>
      <c r="O35" t="s">
        <v>351</v>
      </c>
      <c r="P35" t="s">
        <v>310</v>
      </c>
      <c r="Q35" t="s">
        <v>310</v>
      </c>
      <c r="R35" t="b">
        <f t="shared" si="0"/>
        <v>1</v>
      </c>
    </row>
    <row r="36" spans="2:18" ht="30" customHeight="1" x14ac:dyDescent="0.25">
      <c r="B36" s="52">
        <v>30</v>
      </c>
      <c r="C36" s="52" t="s">
        <v>146</v>
      </c>
      <c r="D36" s="69" t="s">
        <v>31</v>
      </c>
      <c r="E36" s="69"/>
      <c r="F36" s="69"/>
      <c r="G36" s="69"/>
      <c r="H36" s="65" t="s">
        <v>214</v>
      </c>
      <c r="I36" s="65" t="s">
        <v>49</v>
      </c>
      <c r="J36" s="65">
        <v>430</v>
      </c>
      <c r="K36" s="54">
        <v>3</v>
      </c>
      <c r="L36" s="65">
        <v>39000040</v>
      </c>
      <c r="M36" s="54">
        <v>12</v>
      </c>
      <c r="N36" s="55" t="s">
        <v>60</v>
      </c>
      <c r="O36" t="s">
        <v>342</v>
      </c>
      <c r="P36" t="s">
        <v>407</v>
      </c>
      <c r="Q36" t="s">
        <v>343</v>
      </c>
      <c r="R36" t="b">
        <f t="shared" si="0"/>
        <v>1</v>
      </c>
    </row>
    <row r="37" spans="2:18" ht="30" customHeight="1" x14ac:dyDescent="0.25">
      <c r="B37" s="52">
        <v>31</v>
      </c>
      <c r="C37" s="52" t="s">
        <v>147</v>
      </c>
      <c r="D37" s="69" t="s">
        <v>31</v>
      </c>
      <c r="E37" s="69"/>
      <c r="F37" s="69"/>
      <c r="G37" s="69"/>
      <c r="H37" s="65" t="s">
        <v>214</v>
      </c>
      <c r="I37" s="65" t="s">
        <v>59</v>
      </c>
      <c r="J37" s="65">
        <v>430</v>
      </c>
      <c r="K37" s="54">
        <v>3</v>
      </c>
      <c r="L37" s="65">
        <v>39000040</v>
      </c>
      <c r="M37" s="54">
        <v>12</v>
      </c>
      <c r="N37" s="55" t="s">
        <v>60</v>
      </c>
      <c r="O37" t="s">
        <v>352</v>
      </c>
      <c r="P37" t="s">
        <v>410</v>
      </c>
      <c r="Q37" t="s">
        <v>353</v>
      </c>
      <c r="R37" t="b">
        <f t="shared" si="0"/>
        <v>1</v>
      </c>
    </row>
    <row r="38" spans="2:18" ht="30" customHeight="1" x14ac:dyDescent="0.25">
      <c r="B38" s="52">
        <v>32</v>
      </c>
      <c r="C38" s="52" t="s">
        <v>226</v>
      </c>
      <c r="D38" s="69" t="s">
        <v>24</v>
      </c>
      <c r="E38" s="69"/>
      <c r="F38" s="69"/>
      <c r="G38" s="69"/>
      <c r="H38" s="65" t="s">
        <v>222</v>
      </c>
      <c r="I38" s="65" t="s">
        <v>106</v>
      </c>
      <c r="J38" s="65">
        <v>1810</v>
      </c>
      <c r="K38" s="54">
        <v>2</v>
      </c>
      <c r="L38" s="65" t="s">
        <v>37</v>
      </c>
      <c r="M38" s="54">
        <v>3.5</v>
      </c>
      <c r="N38" s="55" t="s">
        <v>92</v>
      </c>
      <c r="O38" t="s">
        <v>323</v>
      </c>
      <c r="P38" t="s">
        <v>354</v>
      </c>
      <c r="Q38" t="s">
        <v>354</v>
      </c>
      <c r="R38" t="b">
        <f t="shared" si="0"/>
        <v>1</v>
      </c>
    </row>
    <row r="39" spans="2:18" ht="30" customHeight="1" x14ac:dyDescent="0.25">
      <c r="B39" s="52">
        <v>33</v>
      </c>
      <c r="C39" s="52" t="s">
        <v>224</v>
      </c>
      <c r="D39" s="69" t="s">
        <v>24</v>
      </c>
      <c r="E39" s="69"/>
      <c r="F39" s="69"/>
      <c r="G39" s="69"/>
      <c r="H39" s="65" t="s">
        <v>222</v>
      </c>
      <c r="I39" s="65" t="s">
        <v>105</v>
      </c>
      <c r="J39" s="65">
        <v>1810</v>
      </c>
      <c r="K39" s="54">
        <v>2</v>
      </c>
      <c r="L39" s="65" t="s">
        <v>37</v>
      </c>
      <c r="M39" s="54">
        <v>3.5</v>
      </c>
      <c r="N39" s="55" t="s">
        <v>92</v>
      </c>
      <c r="O39" t="s">
        <v>355</v>
      </c>
      <c r="P39" t="s">
        <v>356</v>
      </c>
      <c r="Q39" t="s">
        <v>356</v>
      </c>
      <c r="R39" t="b">
        <f t="shared" si="0"/>
        <v>1</v>
      </c>
    </row>
    <row r="40" spans="2:18" ht="30" customHeight="1" x14ac:dyDescent="0.25">
      <c r="B40" s="52">
        <v>34</v>
      </c>
      <c r="C40" s="52" t="s">
        <v>148</v>
      </c>
      <c r="D40" s="69" t="s">
        <v>35</v>
      </c>
      <c r="E40" s="69"/>
      <c r="F40" s="69"/>
      <c r="G40" s="69"/>
      <c r="H40" s="65" t="s">
        <v>215</v>
      </c>
      <c r="I40" s="65" t="s">
        <v>49</v>
      </c>
      <c r="J40" s="65">
        <f>1505+15</f>
        <v>1520</v>
      </c>
      <c r="K40" s="54">
        <v>3</v>
      </c>
      <c r="L40" s="65">
        <v>39000040</v>
      </c>
      <c r="M40" s="54">
        <v>12</v>
      </c>
      <c r="N40" s="55" t="s">
        <v>60</v>
      </c>
      <c r="O40" t="s">
        <v>349</v>
      </c>
      <c r="P40" t="s">
        <v>409</v>
      </c>
      <c r="Q40" t="s">
        <v>350</v>
      </c>
      <c r="R40" t="b">
        <f t="shared" si="0"/>
        <v>1</v>
      </c>
    </row>
    <row r="41" spans="2:18" ht="30" customHeight="1" x14ac:dyDescent="0.25">
      <c r="B41" s="52">
        <v>35</v>
      </c>
      <c r="C41" s="52" t="s">
        <v>149</v>
      </c>
      <c r="D41" s="69" t="s">
        <v>24</v>
      </c>
      <c r="E41" s="69"/>
      <c r="F41" s="69"/>
      <c r="G41" s="69"/>
      <c r="H41" s="65" t="s">
        <v>222</v>
      </c>
      <c r="I41" s="65" t="s">
        <v>61</v>
      </c>
      <c r="J41" s="65">
        <v>1450</v>
      </c>
      <c r="K41" s="54">
        <v>2</v>
      </c>
      <c r="L41" s="65" t="s">
        <v>40</v>
      </c>
      <c r="M41" s="54">
        <v>3</v>
      </c>
      <c r="N41" s="55">
        <v>39000048</v>
      </c>
      <c r="O41" t="s">
        <v>357</v>
      </c>
      <c r="P41" t="s">
        <v>358</v>
      </c>
      <c r="Q41" t="s">
        <v>358</v>
      </c>
      <c r="R41" t="b">
        <f t="shared" si="0"/>
        <v>1</v>
      </c>
    </row>
    <row r="42" spans="2:18" ht="30" customHeight="1" x14ac:dyDescent="0.25">
      <c r="B42" s="52">
        <v>36</v>
      </c>
      <c r="C42" s="52" t="s">
        <v>150</v>
      </c>
      <c r="D42" s="69" t="s">
        <v>24</v>
      </c>
      <c r="E42" s="69"/>
      <c r="F42" s="69"/>
      <c r="G42" s="69"/>
      <c r="H42" s="65" t="s">
        <v>222</v>
      </c>
      <c r="I42" s="65" t="s">
        <v>18</v>
      </c>
      <c r="J42" s="65">
        <v>1355</v>
      </c>
      <c r="K42" s="54">
        <v>3.5</v>
      </c>
      <c r="L42" s="65" t="s">
        <v>62</v>
      </c>
      <c r="M42" s="54">
        <v>7</v>
      </c>
      <c r="N42" s="55" t="s">
        <v>63</v>
      </c>
      <c r="O42" t="s">
        <v>359</v>
      </c>
      <c r="P42" t="s">
        <v>411</v>
      </c>
      <c r="Q42" t="s">
        <v>360</v>
      </c>
      <c r="R42" t="b">
        <f t="shared" si="0"/>
        <v>1</v>
      </c>
    </row>
    <row r="43" spans="2:18" ht="30" customHeight="1" x14ac:dyDescent="0.25">
      <c r="B43" s="52">
        <v>37</v>
      </c>
      <c r="C43" s="52" t="s">
        <v>151</v>
      </c>
      <c r="D43" s="69" t="s">
        <v>24</v>
      </c>
      <c r="E43" s="69"/>
      <c r="F43" s="69"/>
      <c r="G43" s="69"/>
      <c r="H43" s="65" t="s">
        <v>222</v>
      </c>
      <c r="I43" s="65" t="s">
        <v>16</v>
      </c>
      <c r="J43" s="65">
        <v>1350</v>
      </c>
      <c r="K43" s="54">
        <v>3.5</v>
      </c>
      <c r="L43" s="65" t="s">
        <v>62</v>
      </c>
      <c r="M43" s="54">
        <v>7</v>
      </c>
      <c r="N43" s="55" t="s">
        <v>64</v>
      </c>
      <c r="O43" t="s">
        <v>361</v>
      </c>
      <c r="P43" t="s">
        <v>412</v>
      </c>
      <c r="Q43" t="s">
        <v>362</v>
      </c>
      <c r="R43" t="b">
        <f t="shared" si="0"/>
        <v>1</v>
      </c>
    </row>
    <row r="44" spans="2:18" ht="30" customHeight="1" x14ac:dyDescent="0.25">
      <c r="B44" s="52">
        <v>38</v>
      </c>
      <c r="C44" s="52" t="s">
        <v>152</v>
      </c>
      <c r="D44" s="69" t="s">
        <v>24</v>
      </c>
      <c r="E44" s="69"/>
      <c r="F44" s="69"/>
      <c r="G44" s="69"/>
      <c r="H44" s="65" t="s">
        <v>222</v>
      </c>
      <c r="I44" s="65" t="s">
        <v>19</v>
      </c>
      <c r="J44" s="65">
        <f>950+20</f>
        <v>970</v>
      </c>
      <c r="K44" s="54">
        <v>3.5</v>
      </c>
      <c r="L44" s="65" t="s">
        <v>62</v>
      </c>
      <c r="M44" s="54">
        <v>7</v>
      </c>
      <c r="N44" s="55" t="s">
        <v>54</v>
      </c>
      <c r="O44" t="s">
        <v>363</v>
      </c>
      <c r="P44" t="s">
        <v>389</v>
      </c>
      <c r="Q44" t="s">
        <v>364</v>
      </c>
      <c r="R44" t="b">
        <f t="shared" si="0"/>
        <v>1</v>
      </c>
    </row>
    <row r="45" spans="2:18" ht="30" customHeight="1" x14ac:dyDescent="0.25">
      <c r="B45" s="52">
        <v>39</v>
      </c>
      <c r="C45" s="52" t="s">
        <v>153</v>
      </c>
      <c r="D45" s="69" t="s">
        <v>35</v>
      </c>
      <c r="E45" s="69"/>
      <c r="F45" s="69"/>
      <c r="G45" s="69"/>
      <c r="H45" s="65" t="s">
        <v>215</v>
      </c>
      <c r="I45" s="65" t="s">
        <v>65</v>
      </c>
      <c r="J45" s="65">
        <v>1445</v>
      </c>
      <c r="K45" s="54">
        <v>3</v>
      </c>
      <c r="L45" s="65">
        <v>39000040</v>
      </c>
      <c r="M45" s="54">
        <v>7</v>
      </c>
      <c r="N45" s="55" t="s">
        <v>66</v>
      </c>
      <c r="O45" t="s">
        <v>365</v>
      </c>
      <c r="P45" t="s">
        <v>413</v>
      </c>
      <c r="Q45" t="s">
        <v>366</v>
      </c>
      <c r="R45" t="b">
        <f t="shared" si="0"/>
        <v>1</v>
      </c>
    </row>
    <row r="46" spans="2:18" ht="30" customHeight="1" x14ac:dyDescent="0.25">
      <c r="B46" s="52">
        <v>40</v>
      </c>
      <c r="C46" s="52" t="s">
        <v>154</v>
      </c>
      <c r="D46" s="69" t="s">
        <v>24</v>
      </c>
      <c r="E46" s="69"/>
      <c r="F46" s="69"/>
      <c r="G46" s="69"/>
      <c r="H46" s="65" t="s">
        <v>222</v>
      </c>
      <c r="I46" s="65" t="s">
        <v>16</v>
      </c>
      <c r="J46" s="65">
        <v>1070</v>
      </c>
      <c r="K46" s="54">
        <v>3</v>
      </c>
      <c r="L46" s="65">
        <v>39000048</v>
      </c>
      <c r="M46" s="54">
        <v>7</v>
      </c>
      <c r="N46" s="55" t="s">
        <v>67</v>
      </c>
      <c r="O46" t="s">
        <v>361</v>
      </c>
      <c r="P46" t="s">
        <v>412</v>
      </c>
      <c r="Q46" t="s">
        <v>362</v>
      </c>
      <c r="R46" t="b">
        <f t="shared" si="0"/>
        <v>1</v>
      </c>
    </row>
    <row r="47" spans="2:18" ht="30" customHeight="1" x14ac:dyDescent="0.25">
      <c r="B47" s="52">
        <v>41</v>
      </c>
      <c r="C47" s="52" t="s">
        <v>155</v>
      </c>
      <c r="D47" s="69" t="s">
        <v>24</v>
      </c>
      <c r="E47" s="69"/>
      <c r="F47" s="69"/>
      <c r="G47" s="69"/>
      <c r="H47" s="65" t="s">
        <v>222</v>
      </c>
      <c r="I47" s="65" t="s">
        <v>18</v>
      </c>
      <c r="J47" s="65">
        <v>1080</v>
      </c>
      <c r="K47" s="54">
        <v>3</v>
      </c>
      <c r="L47" s="65">
        <v>39000048</v>
      </c>
      <c r="M47" s="54">
        <v>7</v>
      </c>
      <c r="N47" s="55" t="s">
        <v>68</v>
      </c>
      <c r="O47" t="s">
        <v>359</v>
      </c>
      <c r="P47" t="s">
        <v>411</v>
      </c>
      <c r="Q47" t="s">
        <v>360</v>
      </c>
      <c r="R47" t="b">
        <f t="shared" si="0"/>
        <v>1</v>
      </c>
    </row>
    <row r="48" spans="2:18" ht="30" customHeight="1" x14ac:dyDescent="0.25">
      <c r="B48" s="52">
        <v>42</v>
      </c>
      <c r="C48" s="52" t="s">
        <v>156</v>
      </c>
      <c r="D48" s="69" t="s">
        <v>24</v>
      </c>
      <c r="E48" s="69"/>
      <c r="F48" s="69"/>
      <c r="G48" s="69"/>
      <c r="H48" s="65" t="s">
        <v>222</v>
      </c>
      <c r="I48" s="65" t="s">
        <v>19</v>
      </c>
      <c r="J48" s="65">
        <v>1130</v>
      </c>
      <c r="K48" s="54">
        <v>2</v>
      </c>
      <c r="L48" s="65" t="s">
        <v>37</v>
      </c>
      <c r="M48" s="54">
        <v>7</v>
      </c>
      <c r="N48" s="55" t="s">
        <v>287</v>
      </c>
      <c r="O48" t="s">
        <v>363</v>
      </c>
      <c r="P48" t="s">
        <v>389</v>
      </c>
      <c r="Q48" t="s">
        <v>364</v>
      </c>
      <c r="R48" t="b">
        <f t="shared" si="0"/>
        <v>1</v>
      </c>
    </row>
    <row r="49" spans="2:18" ht="30" customHeight="1" x14ac:dyDescent="0.25">
      <c r="B49" s="52">
        <v>43</v>
      </c>
      <c r="C49" s="52" t="s">
        <v>157</v>
      </c>
      <c r="D49" s="69" t="s">
        <v>24</v>
      </c>
      <c r="E49" s="69"/>
      <c r="F49" s="69"/>
      <c r="G49" s="69"/>
      <c r="H49" s="65" t="s">
        <v>222</v>
      </c>
      <c r="I49" s="65" t="s">
        <v>30</v>
      </c>
      <c r="J49" s="65">
        <v>2070</v>
      </c>
      <c r="K49" s="54">
        <v>2</v>
      </c>
      <c r="L49" s="65">
        <v>561349000</v>
      </c>
      <c r="M49" s="54">
        <v>3</v>
      </c>
      <c r="N49" s="55" t="s">
        <v>25</v>
      </c>
      <c r="O49" t="s">
        <v>337</v>
      </c>
      <c r="P49" t="s">
        <v>405</v>
      </c>
      <c r="Q49" t="s">
        <v>338</v>
      </c>
      <c r="R49" t="b">
        <f t="shared" si="0"/>
        <v>1</v>
      </c>
    </row>
    <row r="50" spans="2:18" ht="30" customHeight="1" x14ac:dyDescent="0.25">
      <c r="B50" s="52">
        <v>44</v>
      </c>
      <c r="C50" s="52" t="s">
        <v>158</v>
      </c>
      <c r="D50" s="69" t="s">
        <v>24</v>
      </c>
      <c r="E50" s="69"/>
      <c r="F50" s="69"/>
      <c r="G50" s="69"/>
      <c r="H50" s="65" t="s">
        <v>222</v>
      </c>
      <c r="I50" s="65" t="s">
        <v>17</v>
      </c>
      <c r="J50" s="65">
        <v>1020</v>
      </c>
      <c r="K50" s="54">
        <v>3</v>
      </c>
      <c r="L50" s="65">
        <v>39000048</v>
      </c>
      <c r="M50" s="54">
        <v>2</v>
      </c>
      <c r="N50" s="56">
        <v>561349000</v>
      </c>
      <c r="O50" t="s">
        <v>325</v>
      </c>
      <c r="P50" t="s">
        <v>402</v>
      </c>
      <c r="Q50" t="s">
        <v>308</v>
      </c>
      <c r="R50" t="b">
        <f t="shared" si="0"/>
        <v>0</v>
      </c>
    </row>
    <row r="51" spans="2:18" ht="30" customHeight="1" x14ac:dyDescent="0.25">
      <c r="B51" s="52">
        <v>45</v>
      </c>
      <c r="C51" s="52" t="s">
        <v>159</v>
      </c>
      <c r="D51" s="69" t="s">
        <v>24</v>
      </c>
      <c r="E51" s="69"/>
      <c r="F51" s="69"/>
      <c r="G51" s="69"/>
      <c r="H51" s="65" t="s">
        <v>222</v>
      </c>
      <c r="I51" s="65" t="s">
        <v>33</v>
      </c>
      <c r="J51" s="65">
        <v>1020</v>
      </c>
      <c r="K51" s="54">
        <v>3</v>
      </c>
      <c r="L51" s="65">
        <v>39000048</v>
      </c>
      <c r="M51" s="54">
        <v>2</v>
      </c>
      <c r="N51" s="56">
        <v>561349000</v>
      </c>
      <c r="O51" t="s">
        <v>323</v>
      </c>
      <c r="P51" t="s">
        <v>354</v>
      </c>
      <c r="Q51" t="s">
        <v>324</v>
      </c>
      <c r="R51" t="b">
        <f t="shared" si="0"/>
        <v>1</v>
      </c>
    </row>
    <row r="52" spans="2:18" ht="30" customHeight="1" x14ac:dyDescent="0.25">
      <c r="B52" s="52">
        <v>46</v>
      </c>
      <c r="C52" s="52" t="s">
        <v>160</v>
      </c>
      <c r="D52" s="69" t="s">
        <v>24</v>
      </c>
      <c r="E52" s="69"/>
      <c r="F52" s="69"/>
      <c r="G52" s="69"/>
      <c r="H52" s="65" t="s">
        <v>222</v>
      </c>
      <c r="I52" s="65" t="s">
        <v>69</v>
      </c>
      <c r="J52" s="34">
        <f>1620-10</f>
        <v>1610</v>
      </c>
      <c r="K52" s="54">
        <v>3</v>
      </c>
      <c r="L52" s="65">
        <v>39000048</v>
      </c>
      <c r="M52" s="54">
        <v>2</v>
      </c>
      <c r="N52" s="56">
        <v>561349000</v>
      </c>
      <c r="O52" t="s">
        <v>367</v>
      </c>
      <c r="P52" t="s">
        <v>414</v>
      </c>
      <c r="Q52" t="s">
        <v>368</v>
      </c>
      <c r="R52" t="b">
        <f t="shared" si="0"/>
        <v>1</v>
      </c>
    </row>
    <row r="53" spans="2:18" ht="30" customHeight="1" x14ac:dyDescent="0.25">
      <c r="B53" s="52">
        <v>47</v>
      </c>
      <c r="C53" s="52" t="s">
        <v>161</v>
      </c>
      <c r="D53" s="69" t="s">
        <v>24</v>
      </c>
      <c r="E53" s="69"/>
      <c r="F53" s="69"/>
      <c r="G53" s="69"/>
      <c r="H53" s="65" t="s">
        <v>222</v>
      </c>
      <c r="I53" s="65" t="s">
        <v>26</v>
      </c>
      <c r="J53" s="34">
        <f>1620-10</f>
        <v>1610</v>
      </c>
      <c r="K53" s="54">
        <v>3</v>
      </c>
      <c r="L53" s="65">
        <v>39000048</v>
      </c>
      <c r="M53" s="54">
        <v>2</v>
      </c>
      <c r="N53" s="56">
        <v>561349000</v>
      </c>
      <c r="O53" t="s">
        <v>355</v>
      </c>
      <c r="P53" t="s">
        <v>356</v>
      </c>
      <c r="Q53" t="s">
        <v>369</v>
      </c>
      <c r="R53" t="b">
        <f t="shared" si="0"/>
        <v>1</v>
      </c>
    </row>
    <row r="54" spans="2:18" ht="30" customHeight="1" x14ac:dyDescent="0.25">
      <c r="B54" s="52">
        <v>48</v>
      </c>
      <c r="C54" s="52" t="s">
        <v>162</v>
      </c>
      <c r="D54" s="69" t="s">
        <v>24</v>
      </c>
      <c r="E54" s="69"/>
      <c r="F54" s="69"/>
      <c r="G54" s="69"/>
      <c r="H54" s="65" t="s">
        <v>222</v>
      </c>
      <c r="I54" s="65" t="s">
        <v>70</v>
      </c>
      <c r="J54" s="34">
        <f>990+10</f>
        <v>1000</v>
      </c>
      <c r="K54" s="54">
        <v>5</v>
      </c>
      <c r="L54" s="65" t="s">
        <v>51</v>
      </c>
      <c r="M54" s="54">
        <v>2</v>
      </c>
      <c r="N54" s="56">
        <v>561349000</v>
      </c>
      <c r="O54" t="s">
        <v>370</v>
      </c>
      <c r="P54" t="s">
        <v>311</v>
      </c>
      <c r="Q54" t="s">
        <v>311</v>
      </c>
      <c r="R54" t="b">
        <f t="shared" si="0"/>
        <v>1</v>
      </c>
    </row>
    <row r="55" spans="2:18" ht="30" customHeight="1" x14ac:dyDescent="0.25">
      <c r="B55" s="52">
        <v>49</v>
      </c>
      <c r="C55" s="52" t="s">
        <v>163</v>
      </c>
      <c r="D55" s="69" t="s">
        <v>24</v>
      </c>
      <c r="E55" s="69"/>
      <c r="F55" s="69"/>
      <c r="G55" s="69"/>
      <c r="H55" s="65" t="s">
        <v>222</v>
      </c>
      <c r="I55" s="65" t="s">
        <v>58</v>
      </c>
      <c r="J55" s="34">
        <f>990+10</f>
        <v>1000</v>
      </c>
      <c r="K55" s="54">
        <v>5</v>
      </c>
      <c r="L55" s="65" t="s">
        <v>51</v>
      </c>
      <c r="M55" s="54">
        <v>2</v>
      </c>
      <c r="N55" s="56">
        <v>561349000</v>
      </c>
      <c r="O55" t="s">
        <v>351</v>
      </c>
      <c r="P55" t="s">
        <v>310</v>
      </c>
      <c r="Q55" t="s">
        <v>310</v>
      </c>
      <c r="R55" t="b">
        <f t="shared" si="0"/>
        <v>1</v>
      </c>
    </row>
    <row r="56" spans="2:18" ht="30" customHeight="1" x14ac:dyDescent="0.25">
      <c r="B56" s="52">
        <v>50</v>
      </c>
      <c r="C56" s="52" t="s">
        <v>164</v>
      </c>
      <c r="D56" s="69" t="s">
        <v>24</v>
      </c>
      <c r="E56" s="69"/>
      <c r="F56" s="69"/>
      <c r="G56" s="69"/>
      <c r="H56" s="65" t="s">
        <v>222</v>
      </c>
      <c r="I56" s="65" t="s">
        <v>18</v>
      </c>
      <c r="J56" s="65">
        <v>1365</v>
      </c>
      <c r="K56" s="54">
        <v>3</v>
      </c>
      <c r="L56" s="65">
        <v>39000048</v>
      </c>
      <c r="M56" s="54">
        <v>2</v>
      </c>
      <c r="N56" s="56">
        <v>561349000</v>
      </c>
      <c r="O56" t="s">
        <v>359</v>
      </c>
      <c r="P56" t="s">
        <v>411</v>
      </c>
      <c r="Q56" t="s">
        <v>360</v>
      </c>
      <c r="R56" t="b">
        <f t="shared" si="0"/>
        <v>1</v>
      </c>
    </row>
    <row r="57" spans="2:18" ht="30" customHeight="1" x14ac:dyDescent="0.25">
      <c r="B57" s="52">
        <v>51</v>
      </c>
      <c r="C57" s="52" t="s">
        <v>165</v>
      </c>
      <c r="D57" s="69" t="s">
        <v>24</v>
      </c>
      <c r="E57" s="69"/>
      <c r="F57" s="69"/>
      <c r="G57" s="69"/>
      <c r="H57" s="65" t="s">
        <v>222</v>
      </c>
      <c r="I57" s="65" t="s">
        <v>29</v>
      </c>
      <c r="J57" s="65">
        <v>1365</v>
      </c>
      <c r="K57" s="54">
        <v>2</v>
      </c>
      <c r="L57" s="65">
        <v>561349000</v>
      </c>
      <c r="M57" s="54">
        <v>3</v>
      </c>
      <c r="N57" s="55">
        <v>39000048</v>
      </c>
      <c r="O57" t="s">
        <v>317</v>
      </c>
      <c r="P57" t="s">
        <v>318</v>
      </c>
      <c r="Q57" t="s">
        <v>348</v>
      </c>
      <c r="R57" t="b">
        <f t="shared" si="0"/>
        <v>1</v>
      </c>
    </row>
    <row r="58" spans="2:18" ht="30" customHeight="1" x14ac:dyDescent="0.25">
      <c r="B58" s="52">
        <v>52</v>
      </c>
      <c r="C58" s="52" t="s">
        <v>166</v>
      </c>
      <c r="D58" s="69" t="s">
        <v>24</v>
      </c>
      <c r="E58" s="69"/>
      <c r="F58" s="69"/>
      <c r="G58" s="69"/>
      <c r="H58" s="65" t="s">
        <v>222</v>
      </c>
      <c r="I58" s="65" t="s">
        <v>29</v>
      </c>
      <c r="J58" s="65">
        <v>520</v>
      </c>
      <c r="K58" s="54">
        <v>2</v>
      </c>
      <c r="L58" s="65" t="s">
        <v>37</v>
      </c>
      <c r="M58" s="54">
        <v>7</v>
      </c>
      <c r="N58" s="55" t="s">
        <v>71</v>
      </c>
      <c r="O58" t="s">
        <v>317</v>
      </c>
      <c r="P58" t="s">
        <v>318</v>
      </c>
      <c r="Q58" t="s">
        <v>348</v>
      </c>
      <c r="R58" t="b">
        <f t="shared" si="0"/>
        <v>1</v>
      </c>
    </row>
    <row r="59" spans="2:18" ht="30" customHeight="1" x14ac:dyDescent="0.25">
      <c r="B59" s="52">
        <v>53</v>
      </c>
      <c r="C59" s="52" t="s">
        <v>167</v>
      </c>
      <c r="D59" s="69" t="s">
        <v>24</v>
      </c>
      <c r="E59" s="69"/>
      <c r="F59" s="69"/>
      <c r="G59" s="69"/>
      <c r="H59" s="65" t="s">
        <v>222</v>
      </c>
      <c r="I59" s="65" t="s">
        <v>16</v>
      </c>
      <c r="J59" s="34">
        <f>1565-10</f>
        <v>1555</v>
      </c>
      <c r="K59" s="54">
        <v>2</v>
      </c>
      <c r="L59" s="65">
        <v>561349000</v>
      </c>
      <c r="M59" s="54">
        <v>3</v>
      </c>
      <c r="N59" s="55">
        <v>39000048</v>
      </c>
      <c r="O59" t="s">
        <v>361</v>
      </c>
      <c r="P59" t="s">
        <v>412</v>
      </c>
      <c r="Q59" t="s">
        <v>362</v>
      </c>
      <c r="R59" t="b">
        <f t="shared" si="0"/>
        <v>1</v>
      </c>
    </row>
    <row r="60" spans="2:18" ht="30" customHeight="1" x14ac:dyDescent="0.25">
      <c r="B60" s="52">
        <v>54</v>
      </c>
      <c r="C60" s="52" t="s">
        <v>168</v>
      </c>
      <c r="D60" s="69" t="s">
        <v>24</v>
      </c>
      <c r="E60" s="69"/>
      <c r="F60" s="69"/>
      <c r="G60" s="69"/>
      <c r="H60" s="65" t="s">
        <v>222</v>
      </c>
      <c r="I60" s="65" t="s">
        <v>19</v>
      </c>
      <c r="J60" s="34">
        <f>1565-10</f>
        <v>1555</v>
      </c>
      <c r="K60" s="54">
        <v>2</v>
      </c>
      <c r="L60" s="65">
        <v>561349000</v>
      </c>
      <c r="M60" s="54">
        <v>3</v>
      </c>
      <c r="N60" s="55">
        <v>39000048</v>
      </c>
      <c r="O60" t="s">
        <v>363</v>
      </c>
      <c r="P60" t="s">
        <v>389</v>
      </c>
      <c r="Q60" t="s">
        <v>364</v>
      </c>
      <c r="R60" t="b">
        <f t="shared" si="0"/>
        <v>1</v>
      </c>
    </row>
    <row r="61" spans="2:18" ht="30" customHeight="1" x14ac:dyDescent="0.25">
      <c r="B61" s="52">
        <v>55</v>
      </c>
      <c r="C61" s="52" t="s">
        <v>199</v>
      </c>
      <c r="D61" s="69" t="s">
        <v>24</v>
      </c>
      <c r="E61" s="69"/>
      <c r="F61" s="69"/>
      <c r="G61" s="69"/>
      <c r="H61" s="65" t="s">
        <v>222</v>
      </c>
      <c r="I61" s="65" t="s">
        <v>30</v>
      </c>
      <c r="J61" s="65">
        <v>1370</v>
      </c>
      <c r="K61" s="54">
        <v>2</v>
      </c>
      <c r="L61" s="65">
        <v>561349000</v>
      </c>
      <c r="M61" s="54">
        <v>3</v>
      </c>
      <c r="N61" s="55">
        <v>39000048</v>
      </c>
      <c r="O61" t="s">
        <v>337</v>
      </c>
      <c r="P61" t="s">
        <v>405</v>
      </c>
      <c r="Q61" t="s">
        <v>338</v>
      </c>
      <c r="R61" t="b">
        <f t="shared" si="0"/>
        <v>1</v>
      </c>
    </row>
    <row r="62" spans="2:18" ht="30" customHeight="1" x14ac:dyDescent="0.25">
      <c r="B62" s="52">
        <v>56</v>
      </c>
      <c r="C62" s="52" t="s">
        <v>169</v>
      </c>
      <c r="D62" s="69" t="s">
        <v>24</v>
      </c>
      <c r="E62" s="69"/>
      <c r="F62" s="69"/>
      <c r="G62" s="69"/>
      <c r="H62" s="65" t="s">
        <v>222</v>
      </c>
      <c r="I62" s="65" t="s">
        <v>72</v>
      </c>
      <c r="J62" s="34">
        <f>950+10</f>
        <v>960</v>
      </c>
      <c r="K62" s="54">
        <v>2</v>
      </c>
      <c r="L62" s="65">
        <v>561349000</v>
      </c>
      <c r="M62" s="54">
        <v>5</v>
      </c>
      <c r="N62" s="55" t="s">
        <v>74</v>
      </c>
      <c r="O62" t="s">
        <v>371</v>
      </c>
      <c r="P62" t="s">
        <v>415</v>
      </c>
      <c r="Q62" t="s">
        <v>372</v>
      </c>
      <c r="R62" t="b">
        <f t="shared" si="0"/>
        <v>1</v>
      </c>
    </row>
    <row r="63" spans="2:18" ht="30" customHeight="1" x14ac:dyDescent="0.25">
      <c r="B63" s="52">
        <v>57</v>
      </c>
      <c r="C63" s="52" t="s">
        <v>170</v>
      </c>
      <c r="D63" s="69" t="s">
        <v>24</v>
      </c>
      <c r="E63" s="69"/>
      <c r="F63" s="69"/>
      <c r="G63" s="69"/>
      <c r="H63" s="65" t="s">
        <v>222</v>
      </c>
      <c r="I63" s="65" t="s">
        <v>73</v>
      </c>
      <c r="J63" s="34">
        <f>940+10</f>
        <v>950</v>
      </c>
      <c r="K63" s="54">
        <v>2</v>
      </c>
      <c r="L63" s="65">
        <v>561349000</v>
      </c>
      <c r="M63" s="54">
        <v>5</v>
      </c>
      <c r="N63" s="55" t="s">
        <v>51</v>
      </c>
      <c r="O63" t="s">
        <v>373</v>
      </c>
      <c r="P63" t="s">
        <v>416</v>
      </c>
      <c r="Q63" t="s">
        <v>374</v>
      </c>
      <c r="R63" t="b">
        <f t="shared" si="0"/>
        <v>1</v>
      </c>
    </row>
    <row r="64" spans="2:18" ht="30" customHeight="1" x14ac:dyDescent="0.25">
      <c r="B64" s="52">
        <v>58</v>
      </c>
      <c r="C64" s="52" t="s">
        <v>171</v>
      </c>
      <c r="D64" s="69" t="s">
        <v>24</v>
      </c>
      <c r="E64" s="69"/>
      <c r="F64" s="69"/>
      <c r="G64" s="69"/>
      <c r="H64" s="65" t="s">
        <v>222</v>
      </c>
      <c r="I64" s="65" t="s">
        <v>75</v>
      </c>
      <c r="J64" s="65">
        <v>1750</v>
      </c>
      <c r="K64" s="54">
        <v>3</v>
      </c>
      <c r="L64" s="65">
        <v>39000048</v>
      </c>
      <c r="M64" s="54">
        <v>2</v>
      </c>
      <c r="N64" s="56">
        <v>561349000</v>
      </c>
      <c r="O64" t="s">
        <v>375</v>
      </c>
      <c r="P64" t="s">
        <v>417</v>
      </c>
      <c r="Q64" t="s">
        <v>376</v>
      </c>
      <c r="R64" t="b">
        <f t="shared" si="0"/>
        <v>1</v>
      </c>
    </row>
    <row r="65" spans="2:18" ht="30" customHeight="1" x14ac:dyDescent="0.25">
      <c r="B65" s="52">
        <v>59</v>
      </c>
      <c r="C65" s="52" t="s">
        <v>172</v>
      </c>
      <c r="D65" s="69" t="s">
        <v>24</v>
      </c>
      <c r="E65" s="69"/>
      <c r="F65" s="69"/>
      <c r="G65" s="69"/>
      <c r="H65" s="65" t="s">
        <v>222</v>
      </c>
      <c r="I65" s="65" t="s">
        <v>27</v>
      </c>
      <c r="J65" s="65">
        <v>1750</v>
      </c>
      <c r="K65" s="54">
        <v>3</v>
      </c>
      <c r="L65" s="65">
        <v>39000048</v>
      </c>
      <c r="M65" s="54">
        <v>2</v>
      </c>
      <c r="N65" s="56">
        <v>561349000</v>
      </c>
      <c r="O65" t="s">
        <v>328</v>
      </c>
      <c r="P65" t="s">
        <v>392</v>
      </c>
      <c r="Q65" t="s">
        <v>329</v>
      </c>
      <c r="R65" t="b">
        <f t="shared" si="0"/>
        <v>1</v>
      </c>
    </row>
    <row r="66" spans="2:18" ht="30" customHeight="1" x14ac:dyDescent="0.25">
      <c r="B66" s="52">
        <v>60</v>
      </c>
      <c r="C66" s="52" t="s">
        <v>173</v>
      </c>
      <c r="D66" s="69" t="s">
        <v>24</v>
      </c>
      <c r="E66" s="69"/>
      <c r="F66" s="69"/>
      <c r="G66" s="69"/>
      <c r="H66" s="65" t="s">
        <v>222</v>
      </c>
      <c r="I66" s="65" t="s">
        <v>76</v>
      </c>
      <c r="J66" s="58">
        <v>2440</v>
      </c>
      <c r="K66" s="54">
        <v>3</v>
      </c>
      <c r="L66" s="65">
        <v>39000048</v>
      </c>
      <c r="M66" s="54">
        <v>2</v>
      </c>
      <c r="N66" s="56">
        <v>561349000</v>
      </c>
      <c r="O66" t="s">
        <v>377</v>
      </c>
      <c r="P66" t="s">
        <v>390</v>
      </c>
      <c r="Q66" t="s">
        <v>378</v>
      </c>
      <c r="R66" t="b">
        <f t="shared" si="0"/>
        <v>1</v>
      </c>
    </row>
    <row r="67" spans="2:18" ht="30" customHeight="1" x14ac:dyDescent="0.25">
      <c r="B67" s="52">
        <v>61</v>
      </c>
      <c r="C67" s="52" t="s">
        <v>174</v>
      </c>
      <c r="D67" s="69" t="s">
        <v>24</v>
      </c>
      <c r="E67" s="69"/>
      <c r="F67" s="69"/>
      <c r="G67" s="69"/>
      <c r="H67" s="65" t="s">
        <v>222</v>
      </c>
      <c r="I67" s="65" t="s">
        <v>77</v>
      </c>
      <c r="J67" s="65">
        <v>2430</v>
      </c>
      <c r="K67" s="54">
        <v>3</v>
      </c>
      <c r="L67" s="65">
        <v>39000048</v>
      </c>
      <c r="M67" s="54">
        <v>2</v>
      </c>
      <c r="N67" s="56">
        <v>561349000</v>
      </c>
      <c r="O67" t="s">
        <v>379</v>
      </c>
      <c r="P67" t="s">
        <v>418</v>
      </c>
      <c r="Q67" t="s">
        <v>380</v>
      </c>
      <c r="R67" t="b">
        <f t="shared" si="0"/>
        <v>1</v>
      </c>
    </row>
    <row r="68" spans="2:18" ht="30" customHeight="1" x14ac:dyDescent="0.25">
      <c r="B68" s="52">
        <v>62</v>
      </c>
      <c r="C68" s="52" t="s">
        <v>175</v>
      </c>
      <c r="D68" s="69" t="s">
        <v>24</v>
      </c>
      <c r="E68" s="69"/>
      <c r="F68" s="69"/>
      <c r="G68" s="69"/>
      <c r="H68" s="65" t="s">
        <v>222</v>
      </c>
      <c r="I68" s="65" t="s">
        <v>16</v>
      </c>
      <c r="J68" s="34">
        <f>1165+10</f>
        <v>1175</v>
      </c>
      <c r="K68" s="54">
        <v>2</v>
      </c>
      <c r="L68" s="65" t="s">
        <v>37</v>
      </c>
      <c r="M68" s="54">
        <v>3</v>
      </c>
      <c r="N68" s="55" t="s">
        <v>78</v>
      </c>
      <c r="O68" t="s">
        <v>361</v>
      </c>
      <c r="P68" t="s">
        <v>412</v>
      </c>
      <c r="Q68" t="s">
        <v>362</v>
      </c>
      <c r="R68" t="b">
        <f t="shared" si="0"/>
        <v>1</v>
      </c>
    </row>
    <row r="69" spans="2:18" ht="30" customHeight="1" x14ac:dyDescent="0.25">
      <c r="B69" s="52">
        <v>63</v>
      </c>
      <c r="C69" s="52" t="s">
        <v>176</v>
      </c>
      <c r="D69" s="69" t="s">
        <v>24</v>
      </c>
      <c r="E69" s="69"/>
      <c r="F69" s="69"/>
      <c r="G69" s="69"/>
      <c r="H69" s="65" t="s">
        <v>222</v>
      </c>
      <c r="I69" s="65" t="s">
        <v>33</v>
      </c>
      <c r="J69" s="34">
        <f>1165+10</f>
        <v>1175</v>
      </c>
      <c r="K69" s="54">
        <v>2</v>
      </c>
      <c r="L69" s="65" t="s">
        <v>37</v>
      </c>
      <c r="M69" s="54">
        <v>3</v>
      </c>
      <c r="N69" s="55" t="s">
        <v>78</v>
      </c>
      <c r="O69" t="s">
        <v>323</v>
      </c>
      <c r="P69" t="s">
        <v>354</v>
      </c>
      <c r="Q69" t="s">
        <v>324</v>
      </c>
      <c r="R69" t="b">
        <f t="shared" si="0"/>
        <v>1</v>
      </c>
    </row>
    <row r="70" spans="2:18" ht="30" customHeight="1" x14ac:dyDescent="0.25">
      <c r="B70" s="52">
        <v>64</v>
      </c>
      <c r="C70" s="52" t="s">
        <v>177</v>
      </c>
      <c r="D70" s="69" t="s">
        <v>24</v>
      </c>
      <c r="E70" s="69"/>
      <c r="F70" s="69"/>
      <c r="G70" s="69"/>
      <c r="H70" s="65" t="s">
        <v>222</v>
      </c>
      <c r="I70" s="65" t="s">
        <v>79</v>
      </c>
      <c r="J70" s="34">
        <f>1165+10</f>
        <v>1175</v>
      </c>
      <c r="K70" s="54">
        <v>2</v>
      </c>
      <c r="L70" s="65" t="s">
        <v>37</v>
      </c>
      <c r="M70" s="54">
        <v>3</v>
      </c>
      <c r="N70" s="55" t="s">
        <v>78</v>
      </c>
      <c r="O70" t="s">
        <v>336</v>
      </c>
      <c r="P70" t="s">
        <v>309</v>
      </c>
      <c r="Q70" t="s">
        <v>339</v>
      </c>
      <c r="R70" t="b">
        <f t="shared" si="0"/>
        <v>1</v>
      </c>
    </row>
    <row r="71" spans="2:18" ht="30" customHeight="1" x14ac:dyDescent="0.25">
      <c r="B71" s="52">
        <v>65</v>
      </c>
      <c r="C71" s="52" t="s">
        <v>178</v>
      </c>
      <c r="D71" s="69" t="s">
        <v>24</v>
      </c>
      <c r="E71" s="69"/>
      <c r="F71" s="69"/>
      <c r="G71" s="69"/>
      <c r="H71" s="65" t="s">
        <v>222</v>
      </c>
      <c r="I71" s="65" t="s">
        <v>26</v>
      </c>
      <c r="J71" s="34">
        <f>1165+10</f>
        <v>1175</v>
      </c>
      <c r="K71" s="54">
        <v>2</v>
      </c>
      <c r="L71" s="65" t="s">
        <v>37</v>
      </c>
      <c r="M71" s="54">
        <v>3</v>
      </c>
      <c r="N71" s="55" t="s">
        <v>78</v>
      </c>
      <c r="O71" t="s">
        <v>355</v>
      </c>
      <c r="P71" t="s">
        <v>356</v>
      </c>
      <c r="Q71" t="s">
        <v>369</v>
      </c>
      <c r="R71" t="b">
        <f t="shared" si="0"/>
        <v>1</v>
      </c>
    </row>
    <row r="72" spans="2:18" ht="30" customHeight="1" x14ac:dyDescent="0.25">
      <c r="B72" s="52">
        <v>66</v>
      </c>
      <c r="C72" s="52" t="s">
        <v>179</v>
      </c>
      <c r="D72" s="69" t="s">
        <v>24</v>
      </c>
      <c r="E72" s="69"/>
      <c r="F72" s="69"/>
      <c r="G72" s="69"/>
      <c r="H72" s="65" t="s">
        <v>222</v>
      </c>
      <c r="I72" s="65" t="s">
        <v>72</v>
      </c>
      <c r="J72" s="65">
        <v>1550</v>
      </c>
      <c r="K72" s="54">
        <v>2</v>
      </c>
      <c r="L72" s="65" t="s">
        <v>37</v>
      </c>
      <c r="M72" s="54">
        <v>3</v>
      </c>
      <c r="N72" s="55" t="s">
        <v>78</v>
      </c>
      <c r="O72" t="s">
        <v>371</v>
      </c>
      <c r="P72" t="s">
        <v>415</v>
      </c>
      <c r="Q72" t="s">
        <v>372</v>
      </c>
      <c r="R72" t="b">
        <f t="shared" ref="R72:R126" si="1">+Q72=P72</f>
        <v>1</v>
      </c>
    </row>
    <row r="73" spans="2:18" ht="30" customHeight="1" x14ac:dyDescent="0.25">
      <c r="B73" s="52">
        <v>67</v>
      </c>
      <c r="C73" s="52" t="s">
        <v>180</v>
      </c>
      <c r="D73" s="69" t="s">
        <v>24</v>
      </c>
      <c r="E73" s="69"/>
      <c r="F73" s="69"/>
      <c r="G73" s="69"/>
      <c r="H73" s="65" t="s">
        <v>222</v>
      </c>
      <c r="I73" s="65" t="s">
        <v>80</v>
      </c>
      <c r="J73" s="65">
        <v>1555</v>
      </c>
      <c r="K73" s="54">
        <v>2</v>
      </c>
      <c r="L73" s="65" t="s">
        <v>37</v>
      </c>
      <c r="M73" s="54">
        <v>3</v>
      </c>
      <c r="N73" s="55" t="s">
        <v>78</v>
      </c>
      <c r="O73" t="s">
        <v>381</v>
      </c>
      <c r="P73" t="s">
        <v>419</v>
      </c>
      <c r="Q73" t="s">
        <v>382</v>
      </c>
      <c r="R73" t="b">
        <f t="shared" si="1"/>
        <v>1</v>
      </c>
    </row>
    <row r="74" spans="2:18" ht="30" customHeight="1" x14ac:dyDescent="0.25">
      <c r="B74" s="52">
        <v>68</v>
      </c>
      <c r="C74" s="52" t="s">
        <v>181</v>
      </c>
      <c r="D74" s="69" t="s">
        <v>24</v>
      </c>
      <c r="E74" s="69"/>
      <c r="F74" s="69"/>
      <c r="G74" s="69"/>
      <c r="H74" s="65" t="s">
        <v>222</v>
      </c>
      <c r="I74" s="65" t="s">
        <v>81</v>
      </c>
      <c r="J74" s="65">
        <v>1555</v>
      </c>
      <c r="K74" s="54">
        <v>2</v>
      </c>
      <c r="L74" s="65" t="s">
        <v>37</v>
      </c>
      <c r="M74" s="54">
        <v>3</v>
      </c>
      <c r="N74" s="55" t="s">
        <v>78</v>
      </c>
      <c r="O74" t="s">
        <v>375</v>
      </c>
      <c r="P74" t="s">
        <v>417</v>
      </c>
      <c r="Q74" t="s">
        <v>376</v>
      </c>
      <c r="R74" t="b">
        <f t="shared" si="1"/>
        <v>1</v>
      </c>
    </row>
    <row r="75" spans="2:18" ht="30" customHeight="1" x14ac:dyDescent="0.25">
      <c r="B75" s="52">
        <v>69</v>
      </c>
      <c r="C75" s="52" t="s">
        <v>182</v>
      </c>
      <c r="D75" s="69" t="s">
        <v>24</v>
      </c>
      <c r="E75" s="69"/>
      <c r="F75" s="69"/>
      <c r="G75" s="69"/>
      <c r="H75" s="65" t="s">
        <v>222</v>
      </c>
      <c r="I75" s="65" t="s">
        <v>44</v>
      </c>
      <c r="J75" s="65">
        <v>1555</v>
      </c>
      <c r="K75" s="54">
        <v>2</v>
      </c>
      <c r="L75" s="65" t="s">
        <v>37</v>
      </c>
      <c r="M75" s="54">
        <v>3</v>
      </c>
      <c r="N75" s="55" t="s">
        <v>78</v>
      </c>
      <c r="O75" t="s">
        <v>332</v>
      </c>
      <c r="P75" t="s">
        <v>391</v>
      </c>
      <c r="Q75" t="s">
        <v>333</v>
      </c>
      <c r="R75" t="b">
        <f t="shared" si="1"/>
        <v>1</v>
      </c>
    </row>
    <row r="76" spans="2:18" ht="30" customHeight="1" x14ac:dyDescent="0.25">
      <c r="B76" s="52">
        <v>70</v>
      </c>
      <c r="C76" s="52" t="s">
        <v>183</v>
      </c>
      <c r="D76" s="69" t="s">
        <v>24</v>
      </c>
      <c r="E76" s="69"/>
      <c r="F76" s="69"/>
      <c r="G76" s="69"/>
      <c r="H76" s="65" t="s">
        <v>222</v>
      </c>
      <c r="I76" s="65" t="s">
        <v>30</v>
      </c>
      <c r="J76" s="65">
        <v>1695</v>
      </c>
      <c r="K76" s="54">
        <v>3</v>
      </c>
      <c r="L76" s="55" t="s">
        <v>78</v>
      </c>
      <c r="M76" s="54">
        <v>2</v>
      </c>
      <c r="N76" s="55">
        <v>561349000</v>
      </c>
      <c r="O76" t="s">
        <v>337</v>
      </c>
      <c r="P76" t="s">
        <v>405</v>
      </c>
      <c r="Q76" t="s">
        <v>338</v>
      </c>
      <c r="R76" t="b">
        <f t="shared" si="1"/>
        <v>1</v>
      </c>
    </row>
    <row r="77" spans="2:18" ht="30" customHeight="1" x14ac:dyDescent="0.25">
      <c r="B77" s="52">
        <v>71</v>
      </c>
      <c r="C77" s="52" t="s">
        <v>184</v>
      </c>
      <c r="D77" s="69" t="s">
        <v>24</v>
      </c>
      <c r="E77" s="69"/>
      <c r="F77" s="69"/>
      <c r="G77" s="69"/>
      <c r="H77" s="65" t="s">
        <v>222</v>
      </c>
      <c r="I77" s="65" t="s">
        <v>49</v>
      </c>
      <c r="J77" s="65">
        <v>1695</v>
      </c>
      <c r="K77" s="54">
        <v>3</v>
      </c>
      <c r="L77" s="55" t="s">
        <v>78</v>
      </c>
      <c r="M77" s="54">
        <v>2</v>
      </c>
      <c r="N77" s="55">
        <v>561349000</v>
      </c>
      <c r="O77" t="s">
        <v>383</v>
      </c>
      <c r="P77" t="s">
        <v>420</v>
      </c>
      <c r="Q77" t="s">
        <v>384</v>
      </c>
      <c r="R77" t="b">
        <f t="shared" si="1"/>
        <v>1</v>
      </c>
    </row>
    <row r="78" spans="2:18" ht="30" customHeight="1" x14ac:dyDescent="0.25">
      <c r="B78" s="52">
        <v>72</v>
      </c>
      <c r="C78" s="52" t="s">
        <v>185</v>
      </c>
      <c r="D78" s="69" t="s">
        <v>24</v>
      </c>
      <c r="E78" s="69"/>
      <c r="F78" s="69"/>
      <c r="G78" s="69"/>
      <c r="H78" s="65" t="s">
        <v>222</v>
      </c>
      <c r="I78" s="65" t="s">
        <v>33</v>
      </c>
      <c r="J78" s="65">
        <v>1695</v>
      </c>
      <c r="K78" s="54">
        <v>3</v>
      </c>
      <c r="L78" s="55" t="s">
        <v>78</v>
      </c>
      <c r="M78" s="54">
        <v>2</v>
      </c>
      <c r="N78" s="55">
        <v>561349000</v>
      </c>
      <c r="O78" t="s">
        <v>323</v>
      </c>
      <c r="P78" t="s">
        <v>354</v>
      </c>
      <c r="Q78" t="s">
        <v>324</v>
      </c>
      <c r="R78" t="b">
        <f t="shared" si="1"/>
        <v>1</v>
      </c>
    </row>
    <row r="79" spans="2:18" ht="30" customHeight="1" x14ac:dyDescent="0.25">
      <c r="B79" s="52">
        <v>73</v>
      </c>
      <c r="C79" s="52" t="s">
        <v>186</v>
      </c>
      <c r="D79" s="69" t="s">
        <v>24</v>
      </c>
      <c r="E79" s="69"/>
      <c r="F79" s="69"/>
      <c r="G79" s="69"/>
      <c r="H79" s="65" t="s">
        <v>222</v>
      </c>
      <c r="I79" s="65" t="s">
        <v>19</v>
      </c>
      <c r="J79" s="34">
        <f>1305+10</f>
        <v>1315</v>
      </c>
      <c r="K79" s="54">
        <v>3</v>
      </c>
      <c r="L79" s="55" t="s">
        <v>78</v>
      </c>
      <c r="M79" s="54">
        <v>2</v>
      </c>
      <c r="N79" s="55">
        <v>561349000</v>
      </c>
      <c r="O79" t="s">
        <v>363</v>
      </c>
      <c r="P79" t="s">
        <v>389</v>
      </c>
      <c r="Q79" t="s">
        <v>364</v>
      </c>
      <c r="R79" t="b">
        <f t="shared" si="1"/>
        <v>1</v>
      </c>
    </row>
    <row r="80" spans="2:18" ht="30" customHeight="1" x14ac:dyDescent="0.25">
      <c r="B80" s="52">
        <v>74</v>
      </c>
      <c r="C80" s="52" t="s">
        <v>187</v>
      </c>
      <c r="D80" s="69" t="s">
        <v>24</v>
      </c>
      <c r="E80" s="69"/>
      <c r="F80" s="69"/>
      <c r="G80" s="69"/>
      <c r="H80" s="65" t="s">
        <v>222</v>
      </c>
      <c r="I80" s="65" t="s">
        <v>82</v>
      </c>
      <c r="J80" s="34">
        <f>1305+10</f>
        <v>1315</v>
      </c>
      <c r="K80" s="54">
        <v>3</v>
      </c>
      <c r="L80" s="55" t="s">
        <v>78</v>
      </c>
      <c r="M80" s="54">
        <v>2</v>
      </c>
      <c r="N80" s="55">
        <v>561349000</v>
      </c>
      <c r="O80" t="s">
        <v>385</v>
      </c>
      <c r="P80" t="s">
        <v>421</v>
      </c>
      <c r="Q80" t="s">
        <v>386</v>
      </c>
      <c r="R80" t="b">
        <f t="shared" si="1"/>
        <v>1</v>
      </c>
    </row>
    <row r="81" spans="2:18" ht="30" customHeight="1" x14ac:dyDescent="0.25">
      <c r="B81" s="52">
        <v>75</v>
      </c>
      <c r="C81" s="52" t="s">
        <v>188</v>
      </c>
      <c r="D81" s="69" t="s">
        <v>24</v>
      </c>
      <c r="E81" s="69"/>
      <c r="F81" s="69"/>
      <c r="G81" s="69"/>
      <c r="H81" s="65" t="s">
        <v>222</v>
      </c>
      <c r="I81" s="65" t="s">
        <v>83</v>
      </c>
      <c r="J81" s="34">
        <f>1305+10</f>
        <v>1315</v>
      </c>
      <c r="K81" s="54">
        <v>3</v>
      </c>
      <c r="L81" s="55" t="s">
        <v>78</v>
      </c>
      <c r="M81" s="54">
        <v>2</v>
      </c>
      <c r="N81" s="55">
        <v>561349000</v>
      </c>
      <c r="O81" t="s">
        <v>387</v>
      </c>
      <c r="P81" t="s">
        <v>422</v>
      </c>
      <c r="Q81" t="s">
        <v>388</v>
      </c>
      <c r="R81" t="b">
        <f t="shared" si="1"/>
        <v>1</v>
      </c>
    </row>
    <row r="82" spans="2:18" ht="30" customHeight="1" x14ac:dyDescent="0.25">
      <c r="B82" s="52">
        <v>76</v>
      </c>
      <c r="C82" s="52" t="s">
        <v>189</v>
      </c>
      <c r="D82" s="69" t="s">
        <v>24</v>
      </c>
      <c r="E82" s="69"/>
      <c r="F82" s="69"/>
      <c r="G82" s="69"/>
      <c r="H82" s="65" t="s">
        <v>222</v>
      </c>
      <c r="I82" s="65" t="s">
        <v>76</v>
      </c>
      <c r="J82" s="65">
        <v>300</v>
      </c>
      <c r="K82" s="54">
        <v>2</v>
      </c>
      <c r="L82" s="65" t="s">
        <v>37</v>
      </c>
      <c r="M82" s="54">
        <v>7</v>
      </c>
      <c r="N82" s="55" t="s">
        <v>85</v>
      </c>
      <c r="O82" t="s">
        <v>377</v>
      </c>
      <c r="P82" t="s">
        <v>390</v>
      </c>
      <c r="Q82" t="s">
        <v>378</v>
      </c>
      <c r="R82" t="b">
        <f t="shared" si="1"/>
        <v>1</v>
      </c>
    </row>
    <row r="83" spans="2:18" ht="30" customHeight="1" x14ac:dyDescent="0.25">
      <c r="B83" s="52">
        <v>77</v>
      </c>
      <c r="C83" s="52" t="s">
        <v>190</v>
      </c>
      <c r="D83" s="69" t="s">
        <v>24</v>
      </c>
      <c r="E83" s="69"/>
      <c r="F83" s="69"/>
      <c r="G83" s="69"/>
      <c r="H83" s="65" t="s">
        <v>222</v>
      </c>
      <c r="I83" s="65" t="s">
        <v>76</v>
      </c>
      <c r="J83" s="65">
        <v>845</v>
      </c>
      <c r="K83" s="54">
        <v>3</v>
      </c>
      <c r="L83" s="55" t="s">
        <v>78</v>
      </c>
      <c r="M83" s="54">
        <v>7</v>
      </c>
      <c r="N83" s="55" t="s">
        <v>84</v>
      </c>
      <c r="O83" t="s">
        <v>377</v>
      </c>
      <c r="P83" t="s">
        <v>390</v>
      </c>
      <c r="Q83" t="s">
        <v>378</v>
      </c>
      <c r="R83" t="b">
        <f t="shared" si="1"/>
        <v>1</v>
      </c>
    </row>
    <row r="84" spans="2:18" ht="30" customHeight="1" x14ac:dyDescent="0.25">
      <c r="B84" s="52">
        <v>78</v>
      </c>
      <c r="C84" s="52" t="s">
        <v>191</v>
      </c>
      <c r="D84" s="69" t="s">
        <v>24</v>
      </c>
      <c r="E84" s="69"/>
      <c r="F84" s="69"/>
      <c r="G84" s="69"/>
      <c r="H84" s="65" t="s">
        <v>222</v>
      </c>
      <c r="I84" s="65" t="s">
        <v>76</v>
      </c>
      <c r="J84" s="65">
        <v>1220</v>
      </c>
      <c r="K84" s="54">
        <v>3</v>
      </c>
      <c r="L84" s="55" t="s">
        <v>78</v>
      </c>
      <c r="M84" s="54">
        <v>7</v>
      </c>
      <c r="N84" s="55" t="s">
        <v>84</v>
      </c>
      <c r="O84" t="s">
        <v>377</v>
      </c>
      <c r="P84" t="s">
        <v>390</v>
      </c>
      <c r="Q84" t="s">
        <v>378</v>
      </c>
      <c r="R84" t="b">
        <f t="shared" si="1"/>
        <v>1</v>
      </c>
    </row>
    <row r="85" spans="2:18" ht="30" customHeight="1" x14ac:dyDescent="0.25">
      <c r="B85" s="52">
        <v>79</v>
      </c>
      <c r="C85" s="52" t="s">
        <v>192</v>
      </c>
      <c r="D85" s="69" t="s">
        <v>24</v>
      </c>
      <c r="E85" s="69"/>
      <c r="F85" s="69"/>
      <c r="G85" s="69"/>
      <c r="H85" s="65" t="s">
        <v>222</v>
      </c>
      <c r="I85" s="65" t="s">
        <v>49</v>
      </c>
      <c r="J85" s="65">
        <v>1610</v>
      </c>
      <c r="K85" s="54">
        <v>2</v>
      </c>
      <c r="L85" s="65" t="s">
        <v>37</v>
      </c>
      <c r="M85" s="54">
        <v>7</v>
      </c>
      <c r="N85" s="55" t="s">
        <v>86</v>
      </c>
      <c r="O85" t="s">
        <v>383</v>
      </c>
      <c r="P85" t="s">
        <v>420</v>
      </c>
      <c r="Q85" t="s">
        <v>384</v>
      </c>
      <c r="R85" t="b">
        <f t="shared" si="1"/>
        <v>1</v>
      </c>
    </row>
    <row r="86" spans="2:18" ht="30" customHeight="1" x14ac:dyDescent="0.25">
      <c r="B86" s="52">
        <v>80</v>
      </c>
      <c r="C86" s="52" t="s">
        <v>193</v>
      </c>
      <c r="D86" s="69" t="s">
        <v>24</v>
      </c>
      <c r="E86" s="69"/>
      <c r="F86" s="69"/>
      <c r="G86" s="69"/>
      <c r="H86" s="65" t="s">
        <v>222</v>
      </c>
      <c r="I86" s="65" t="s">
        <v>15</v>
      </c>
      <c r="J86" s="34">
        <f>670-10</f>
        <v>660</v>
      </c>
      <c r="K86" s="54">
        <v>3</v>
      </c>
      <c r="L86" s="65">
        <v>39000048</v>
      </c>
      <c r="M86" s="54">
        <v>7</v>
      </c>
      <c r="N86" s="55" t="s">
        <v>87</v>
      </c>
      <c r="O86" t="s">
        <v>321</v>
      </c>
      <c r="P86" t="s">
        <v>401</v>
      </c>
      <c r="Q86" t="s">
        <v>322</v>
      </c>
      <c r="R86" t="b">
        <f t="shared" si="1"/>
        <v>1</v>
      </c>
    </row>
    <row r="87" spans="2:18" ht="30" customHeight="1" x14ac:dyDescent="0.25">
      <c r="B87" s="52">
        <v>81</v>
      </c>
      <c r="C87" s="52" t="s">
        <v>194</v>
      </c>
      <c r="D87" s="69" t="s">
        <v>24</v>
      </c>
      <c r="E87" s="69"/>
      <c r="F87" s="69"/>
      <c r="G87" s="69"/>
      <c r="H87" s="65" t="s">
        <v>222</v>
      </c>
      <c r="I87" s="65" t="s">
        <v>15</v>
      </c>
      <c r="J87" s="65">
        <v>615</v>
      </c>
      <c r="K87" s="54">
        <v>7</v>
      </c>
      <c r="L87" s="55" t="s">
        <v>88</v>
      </c>
      <c r="M87" s="54">
        <v>7</v>
      </c>
      <c r="N87" s="55" t="s">
        <v>89</v>
      </c>
      <c r="O87" t="s">
        <v>321</v>
      </c>
      <c r="P87" t="s">
        <v>401</v>
      </c>
      <c r="Q87" t="s">
        <v>322</v>
      </c>
      <c r="R87" t="b">
        <f t="shared" si="1"/>
        <v>1</v>
      </c>
    </row>
    <row r="88" spans="2:18" ht="30" customHeight="1" x14ac:dyDescent="0.25">
      <c r="B88" s="52">
        <v>82</v>
      </c>
      <c r="C88" s="52" t="s">
        <v>195</v>
      </c>
      <c r="D88" s="69" t="s">
        <v>24</v>
      </c>
      <c r="E88" s="69"/>
      <c r="F88" s="69"/>
      <c r="G88" s="69"/>
      <c r="H88" s="65" t="s">
        <v>222</v>
      </c>
      <c r="I88" s="65" t="s">
        <v>49</v>
      </c>
      <c r="J88" s="65">
        <v>615</v>
      </c>
      <c r="K88" s="54">
        <v>7</v>
      </c>
      <c r="L88" s="55" t="s">
        <v>90</v>
      </c>
      <c r="M88" s="54">
        <v>7</v>
      </c>
      <c r="N88" s="55" t="s">
        <v>91</v>
      </c>
      <c r="O88" t="s">
        <v>383</v>
      </c>
      <c r="P88" t="s">
        <v>420</v>
      </c>
      <c r="Q88" t="s">
        <v>384</v>
      </c>
      <c r="R88" t="b">
        <f t="shared" si="1"/>
        <v>1</v>
      </c>
    </row>
    <row r="89" spans="2:18" ht="30" customHeight="1" x14ac:dyDescent="0.25">
      <c r="B89" s="52">
        <v>83</v>
      </c>
      <c r="C89" s="52" t="s">
        <v>227</v>
      </c>
      <c r="D89" s="69" t="s">
        <v>24</v>
      </c>
      <c r="E89" s="69"/>
      <c r="F89" s="69"/>
      <c r="G89" s="69"/>
      <c r="H89" s="65" t="s">
        <v>222</v>
      </c>
      <c r="I89" s="65" t="s">
        <v>97</v>
      </c>
      <c r="J89" s="65">
        <v>1810</v>
      </c>
      <c r="K89" s="54">
        <v>2</v>
      </c>
      <c r="L89" s="65" t="s">
        <v>37</v>
      </c>
      <c r="M89" s="54">
        <v>3</v>
      </c>
      <c r="N89" s="55" t="s">
        <v>92</v>
      </c>
      <c r="O89" t="s">
        <v>363</v>
      </c>
      <c r="P89" t="s">
        <v>389</v>
      </c>
      <c r="Q89" t="s">
        <v>389</v>
      </c>
      <c r="R89" t="b">
        <f t="shared" si="1"/>
        <v>1</v>
      </c>
    </row>
    <row r="90" spans="2:18" ht="30" customHeight="1" x14ac:dyDescent="0.25">
      <c r="B90" s="52">
        <v>84</v>
      </c>
      <c r="C90" s="52" t="s">
        <v>196</v>
      </c>
      <c r="D90" s="69" t="s">
        <v>24</v>
      </c>
      <c r="E90" s="69"/>
      <c r="F90" s="69"/>
      <c r="G90" s="69"/>
      <c r="H90" s="65" t="s">
        <v>222</v>
      </c>
      <c r="I90" s="65" t="s">
        <v>19</v>
      </c>
      <c r="J90" s="65">
        <v>430</v>
      </c>
      <c r="K90" s="54">
        <v>3</v>
      </c>
      <c r="L90" s="65">
        <v>39000048</v>
      </c>
      <c r="M90" s="54">
        <v>7</v>
      </c>
      <c r="N90" s="55" t="s">
        <v>93</v>
      </c>
      <c r="O90" t="s">
        <v>363</v>
      </c>
      <c r="P90" t="s">
        <v>389</v>
      </c>
      <c r="Q90" t="s">
        <v>364</v>
      </c>
      <c r="R90" t="b">
        <f t="shared" si="1"/>
        <v>1</v>
      </c>
    </row>
    <row r="91" spans="2:18" ht="30" customHeight="1" x14ac:dyDescent="0.25">
      <c r="B91" s="52">
        <v>85</v>
      </c>
      <c r="C91" s="52" t="s">
        <v>197</v>
      </c>
      <c r="D91" s="69" t="s">
        <v>24</v>
      </c>
      <c r="E91" s="69"/>
      <c r="F91" s="69"/>
      <c r="G91" s="69"/>
      <c r="H91" s="65" t="s">
        <v>222</v>
      </c>
      <c r="I91" s="65" t="s">
        <v>16</v>
      </c>
      <c r="J91" s="65">
        <v>385</v>
      </c>
      <c r="K91" s="54">
        <v>3</v>
      </c>
      <c r="L91" s="65">
        <v>39000048</v>
      </c>
      <c r="M91" s="54">
        <v>7</v>
      </c>
      <c r="N91" s="55" t="s">
        <v>94</v>
      </c>
      <c r="O91" t="s">
        <v>361</v>
      </c>
      <c r="P91" t="s">
        <v>412</v>
      </c>
      <c r="Q91" t="s">
        <v>362</v>
      </c>
      <c r="R91" t="b">
        <f t="shared" si="1"/>
        <v>1</v>
      </c>
    </row>
    <row r="92" spans="2:18" ht="30" customHeight="1" x14ac:dyDescent="0.25">
      <c r="B92" s="52">
        <v>86</v>
      </c>
      <c r="C92" s="52" t="s">
        <v>198</v>
      </c>
      <c r="D92" s="69" t="s">
        <v>24</v>
      </c>
      <c r="E92" s="69"/>
      <c r="F92" s="69"/>
      <c r="G92" s="69"/>
      <c r="H92" s="65" t="s">
        <v>222</v>
      </c>
      <c r="I92" s="65" t="s">
        <v>18</v>
      </c>
      <c r="J92" s="65">
        <v>380</v>
      </c>
      <c r="K92" s="54">
        <v>3</v>
      </c>
      <c r="L92" s="65">
        <v>39000048</v>
      </c>
      <c r="M92" s="54">
        <v>7</v>
      </c>
      <c r="N92" s="55" t="s">
        <v>95</v>
      </c>
      <c r="O92" t="s">
        <v>359</v>
      </c>
      <c r="P92" t="s">
        <v>411</v>
      </c>
      <c r="Q92" t="s">
        <v>360</v>
      </c>
      <c r="R92" t="b">
        <f t="shared" si="1"/>
        <v>1</v>
      </c>
    </row>
    <row r="93" spans="2:18" ht="30" customHeight="1" x14ac:dyDescent="0.25">
      <c r="B93" s="52">
        <v>87</v>
      </c>
      <c r="C93" s="52" t="s">
        <v>219</v>
      </c>
      <c r="D93" s="69" t="s">
        <v>24</v>
      </c>
      <c r="E93" s="69"/>
      <c r="F93" s="69"/>
      <c r="G93" s="69"/>
      <c r="H93" s="65" t="s">
        <v>222</v>
      </c>
      <c r="I93" s="65" t="s">
        <v>49</v>
      </c>
      <c r="J93" s="34">
        <f>1355-15</f>
        <v>1340</v>
      </c>
      <c r="K93" s="54">
        <v>7</v>
      </c>
      <c r="L93" s="57" t="s">
        <v>306</v>
      </c>
      <c r="M93" s="54">
        <v>3</v>
      </c>
      <c r="N93" s="56" t="s">
        <v>218</v>
      </c>
      <c r="O93" t="s">
        <v>383</v>
      </c>
      <c r="P93" t="s">
        <v>420</v>
      </c>
      <c r="Q93" t="s">
        <v>384</v>
      </c>
      <c r="R93" t="b">
        <f t="shared" si="1"/>
        <v>1</v>
      </c>
    </row>
    <row r="94" spans="2:18" ht="30" customHeight="1" x14ac:dyDescent="0.25">
      <c r="B94" s="52">
        <v>88</v>
      </c>
      <c r="C94" s="52" t="s">
        <v>108</v>
      </c>
      <c r="D94" s="69" t="s">
        <v>31</v>
      </c>
      <c r="E94" s="69"/>
      <c r="F94" s="69"/>
      <c r="G94" s="69"/>
      <c r="H94" s="65" t="s">
        <v>214</v>
      </c>
      <c r="I94" s="65" t="s">
        <v>96</v>
      </c>
      <c r="J94" s="34">
        <f>360+10</f>
        <v>370</v>
      </c>
      <c r="K94" s="54">
        <v>4.8</v>
      </c>
      <c r="L94" s="65" t="s">
        <v>45</v>
      </c>
      <c r="M94" s="54">
        <v>11</v>
      </c>
      <c r="N94" s="55" t="s">
        <v>206</v>
      </c>
      <c r="O94" t="s">
        <v>346</v>
      </c>
      <c r="P94" t="s">
        <v>312</v>
      </c>
      <c r="Q94" t="s">
        <v>312</v>
      </c>
      <c r="R94" t="b">
        <f t="shared" si="1"/>
        <v>1</v>
      </c>
    </row>
    <row r="95" spans="2:18" ht="30" customHeight="1" x14ac:dyDescent="0.25">
      <c r="B95" s="52">
        <v>89</v>
      </c>
      <c r="C95" s="52" t="s">
        <v>109</v>
      </c>
      <c r="D95" s="69" t="s">
        <v>24</v>
      </c>
      <c r="E95" s="69"/>
      <c r="F95" s="69"/>
      <c r="G95" s="69"/>
      <c r="H95" s="65" t="s">
        <v>222</v>
      </c>
      <c r="I95" s="65" t="s">
        <v>97</v>
      </c>
      <c r="J95" s="65">
        <v>2070</v>
      </c>
      <c r="K95" s="54">
        <v>2</v>
      </c>
      <c r="L95" s="65">
        <v>561349000</v>
      </c>
      <c r="M95" s="54">
        <v>3</v>
      </c>
      <c r="N95" s="55" t="s">
        <v>25</v>
      </c>
      <c r="O95" t="s">
        <v>363</v>
      </c>
      <c r="P95" t="s">
        <v>389</v>
      </c>
      <c r="Q95" t="s">
        <v>389</v>
      </c>
      <c r="R95" t="b">
        <f t="shared" si="1"/>
        <v>1</v>
      </c>
    </row>
    <row r="96" spans="2:18" ht="30" customHeight="1" x14ac:dyDescent="0.25">
      <c r="B96" s="52">
        <v>90</v>
      </c>
      <c r="C96" s="52" t="s">
        <v>110</v>
      </c>
      <c r="D96" s="69" t="s">
        <v>24</v>
      </c>
      <c r="E96" s="69"/>
      <c r="F96" s="69"/>
      <c r="G96" s="69"/>
      <c r="H96" s="65" t="s">
        <v>222</v>
      </c>
      <c r="I96" s="65" t="s">
        <v>98</v>
      </c>
      <c r="J96" s="65">
        <v>1765</v>
      </c>
      <c r="K96" s="54">
        <v>2</v>
      </c>
      <c r="L96" s="65">
        <v>561349000</v>
      </c>
      <c r="M96" s="54">
        <v>3</v>
      </c>
      <c r="N96" s="55" t="s">
        <v>107</v>
      </c>
      <c r="O96" t="s">
        <v>336</v>
      </c>
      <c r="P96" t="s">
        <v>309</v>
      </c>
      <c r="Q96" t="s">
        <v>309</v>
      </c>
      <c r="R96" t="b">
        <f t="shared" si="1"/>
        <v>1</v>
      </c>
    </row>
    <row r="97" spans="2:18" ht="30" customHeight="1" x14ac:dyDescent="0.25">
      <c r="B97" s="52">
        <v>91</v>
      </c>
      <c r="C97" s="52" t="s">
        <v>111</v>
      </c>
      <c r="D97" s="69" t="s">
        <v>24</v>
      </c>
      <c r="E97" s="69"/>
      <c r="F97" s="69"/>
      <c r="G97" s="69"/>
      <c r="H97" s="65" t="s">
        <v>222</v>
      </c>
      <c r="I97" s="65" t="s">
        <v>99</v>
      </c>
      <c r="J97" s="65">
        <v>1765</v>
      </c>
      <c r="K97" s="54">
        <v>2</v>
      </c>
      <c r="L97" s="65">
        <v>561349000</v>
      </c>
      <c r="M97" s="54">
        <v>3</v>
      </c>
      <c r="N97" s="55" t="s">
        <v>107</v>
      </c>
      <c r="O97" t="s">
        <v>377</v>
      </c>
      <c r="P97" t="s">
        <v>390</v>
      </c>
      <c r="Q97" t="s">
        <v>390</v>
      </c>
      <c r="R97" t="b">
        <f t="shared" si="1"/>
        <v>1</v>
      </c>
    </row>
    <row r="98" spans="2:18" ht="30" customHeight="1" x14ac:dyDescent="0.25">
      <c r="B98" s="52">
        <v>92</v>
      </c>
      <c r="C98" s="52" t="s">
        <v>112</v>
      </c>
      <c r="D98" s="69" t="s">
        <v>24</v>
      </c>
      <c r="E98" s="69"/>
      <c r="F98" s="69"/>
      <c r="G98" s="69"/>
      <c r="H98" s="65" t="s">
        <v>222</v>
      </c>
      <c r="I98" s="65" t="s">
        <v>100</v>
      </c>
      <c r="J98" s="65">
        <v>1765</v>
      </c>
      <c r="K98" s="54">
        <v>2</v>
      </c>
      <c r="L98" s="65">
        <v>561349000</v>
      </c>
      <c r="M98" s="54">
        <v>3</v>
      </c>
      <c r="N98" s="55" t="s">
        <v>107</v>
      </c>
      <c r="O98" t="s">
        <v>317</v>
      </c>
      <c r="P98" t="s">
        <v>318</v>
      </c>
      <c r="Q98" t="s">
        <v>318</v>
      </c>
      <c r="R98" t="b">
        <f t="shared" si="1"/>
        <v>1</v>
      </c>
    </row>
    <row r="99" spans="2:18" ht="30" customHeight="1" x14ac:dyDescent="0.25">
      <c r="B99" s="52">
        <v>93</v>
      </c>
      <c r="C99" s="52" t="s">
        <v>113</v>
      </c>
      <c r="D99" s="69" t="s">
        <v>24</v>
      </c>
      <c r="E99" s="69"/>
      <c r="F99" s="69"/>
      <c r="G99" s="69"/>
      <c r="H99" s="65" t="s">
        <v>222</v>
      </c>
      <c r="I99" s="65" t="s">
        <v>101</v>
      </c>
      <c r="J99" s="65">
        <v>1745</v>
      </c>
      <c r="K99" s="54">
        <v>2</v>
      </c>
      <c r="L99" s="65">
        <v>561349000</v>
      </c>
      <c r="M99" s="54">
        <v>3</v>
      </c>
      <c r="N99" s="55" t="s">
        <v>107</v>
      </c>
      <c r="O99" t="s">
        <v>370</v>
      </c>
      <c r="P99" t="s">
        <v>311</v>
      </c>
      <c r="Q99" t="s">
        <v>311</v>
      </c>
      <c r="R99" t="b">
        <f t="shared" si="1"/>
        <v>1</v>
      </c>
    </row>
    <row r="100" spans="2:18" ht="30" customHeight="1" x14ac:dyDescent="0.25">
      <c r="B100" s="52">
        <v>94</v>
      </c>
      <c r="C100" s="52" t="s">
        <v>114</v>
      </c>
      <c r="D100" s="69" t="s">
        <v>24</v>
      </c>
      <c r="E100" s="69"/>
      <c r="F100" s="69"/>
      <c r="G100" s="69"/>
      <c r="H100" s="65" t="s">
        <v>222</v>
      </c>
      <c r="I100" s="65" t="s">
        <v>98</v>
      </c>
      <c r="J100" s="65">
        <v>2430</v>
      </c>
      <c r="K100" s="54">
        <v>3</v>
      </c>
      <c r="L100" s="65" t="s">
        <v>107</v>
      </c>
      <c r="M100" s="54">
        <v>2</v>
      </c>
      <c r="N100" s="55">
        <v>561349000</v>
      </c>
      <c r="O100" t="s">
        <v>336</v>
      </c>
      <c r="P100" t="s">
        <v>309</v>
      </c>
      <c r="Q100" t="s">
        <v>309</v>
      </c>
      <c r="R100" t="b">
        <f t="shared" si="1"/>
        <v>1</v>
      </c>
    </row>
    <row r="101" spans="2:18" ht="30" customHeight="1" x14ac:dyDescent="0.25">
      <c r="B101" s="52">
        <v>95</v>
      </c>
      <c r="C101" s="52" t="s">
        <v>115</v>
      </c>
      <c r="D101" s="69" t="s">
        <v>24</v>
      </c>
      <c r="E101" s="69"/>
      <c r="F101" s="69"/>
      <c r="G101" s="69"/>
      <c r="H101" s="65" t="s">
        <v>222</v>
      </c>
      <c r="I101" s="65" t="s">
        <v>102</v>
      </c>
      <c r="J101" s="65">
        <v>2430</v>
      </c>
      <c r="K101" s="54">
        <v>3</v>
      </c>
      <c r="L101" s="65" t="s">
        <v>107</v>
      </c>
      <c r="M101" s="54">
        <v>2</v>
      </c>
      <c r="N101" s="55">
        <v>561349000</v>
      </c>
      <c r="O101" t="s">
        <v>332</v>
      </c>
      <c r="P101" t="s">
        <v>391</v>
      </c>
      <c r="Q101" t="s">
        <v>391</v>
      </c>
      <c r="R101" t="b">
        <f t="shared" si="1"/>
        <v>1</v>
      </c>
    </row>
    <row r="102" spans="2:18" ht="30" customHeight="1" x14ac:dyDescent="0.25">
      <c r="B102" s="52">
        <v>96</v>
      </c>
      <c r="C102" s="52" t="s">
        <v>116</v>
      </c>
      <c r="D102" s="69" t="s">
        <v>24</v>
      </c>
      <c r="E102" s="69"/>
      <c r="F102" s="69"/>
      <c r="G102" s="69"/>
      <c r="H102" s="65" t="s">
        <v>222</v>
      </c>
      <c r="I102" s="65" t="s">
        <v>103</v>
      </c>
      <c r="J102" s="65">
        <v>2430</v>
      </c>
      <c r="K102" s="54">
        <v>2</v>
      </c>
      <c r="L102" s="65">
        <v>561349000</v>
      </c>
      <c r="M102" s="54">
        <v>3</v>
      </c>
      <c r="N102" s="55" t="s">
        <v>107</v>
      </c>
      <c r="O102" t="s">
        <v>325</v>
      </c>
      <c r="P102" t="s">
        <v>402</v>
      </c>
      <c r="Q102" t="s">
        <v>308</v>
      </c>
      <c r="R102" t="b">
        <f t="shared" si="1"/>
        <v>0</v>
      </c>
    </row>
    <row r="103" spans="2:18" ht="30" customHeight="1" x14ac:dyDescent="0.25">
      <c r="B103" s="52">
        <v>97</v>
      </c>
      <c r="C103" s="52" t="s">
        <v>117</v>
      </c>
      <c r="D103" s="69" t="s">
        <v>24</v>
      </c>
      <c r="E103" s="69"/>
      <c r="F103" s="69"/>
      <c r="G103" s="69"/>
      <c r="H103" s="65" t="s">
        <v>222</v>
      </c>
      <c r="I103" s="65" t="s">
        <v>104</v>
      </c>
      <c r="J103" s="65">
        <v>2430</v>
      </c>
      <c r="K103" s="54">
        <v>2</v>
      </c>
      <c r="L103" s="65">
        <v>561349000</v>
      </c>
      <c r="M103" s="54">
        <v>3</v>
      </c>
      <c r="N103" s="55" t="s">
        <v>107</v>
      </c>
      <c r="O103" t="s">
        <v>328</v>
      </c>
      <c r="P103" t="s">
        <v>392</v>
      </c>
      <c r="Q103" t="s">
        <v>392</v>
      </c>
      <c r="R103" t="b">
        <f t="shared" si="1"/>
        <v>1</v>
      </c>
    </row>
    <row r="104" spans="2:18" ht="30" customHeight="1" x14ac:dyDescent="0.25">
      <c r="B104" s="52">
        <v>98</v>
      </c>
      <c r="C104" s="52" t="s">
        <v>118</v>
      </c>
      <c r="D104" s="69" t="s">
        <v>24</v>
      </c>
      <c r="E104" s="69"/>
      <c r="F104" s="69"/>
      <c r="G104" s="69"/>
      <c r="H104" s="65" t="s">
        <v>222</v>
      </c>
      <c r="I104" s="65" t="s">
        <v>97</v>
      </c>
      <c r="J104" s="65">
        <v>1115</v>
      </c>
      <c r="K104" s="54">
        <v>3</v>
      </c>
      <c r="L104" s="65" t="s">
        <v>107</v>
      </c>
      <c r="M104" s="54">
        <v>7</v>
      </c>
      <c r="N104" s="55" t="s">
        <v>207</v>
      </c>
      <c r="O104" t="s">
        <v>363</v>
      </c>
      <c r="P104" t="s">
        <v>389</v>
      </c>
      <c r="Q104" t="s">
        <v>389</v>
      </c>
      <c r="R104" t="b">
        <f t="shared" si="1"/>
        <v>1</v>
      </c>
    </row>
    <row r="105" spans="2:18" ht="30" customHeight="1" x14ac:dyDescent="0.25">
      <c r="B105" s="52">
        <v>99</v>
      </c>
      <c r="C105" s="52" t="s">
        <v>231</v>
      </c>
      <c r="D105" s="69" t="s">
        <v>24</v>
      </c>
      <c r="E105" s="69"/>
      <c r="F105" s="69"/>
      <c r="G105" s="69"/>
      <c r="H105" s="65" t="s">
        <v>222</v>
      </c>
      <c r="I105" s="65" t="s">
        <v>73</v>
      </c>
      <c r="J105" s="65">
        <v>1570</v>
      </c>
      <c r="K105" s="54">
        <v>3</v>
      </c>
      <c r="L105" s="65" t="s">
        <v>107</v>
      </c>
      <c r="M105" s="54">
        <v>2</v>
      </c>
      <c r="N105" s="56" t="s">
        <v>37</v>
      </c>
      <c r="O105" t="s">
        <v>373</v>
      </c>
      <c r="P105" t="s">
        <v>416</v>
      </c>
      <c r="Q105" t="s">
        <v>374</v>
      </c>
      <c r="R105" t="b">
        <f t="shared" si="1"/>
        <v>1</v>
      </c>
    </row>
    <row r="106" spans="2:18" ht="30" customHeight="1" x14ac:dyDescent="0.25">
      <c r="B106" s="52">
        <v>100</v>
      </c>
      <c r="C106" s="52" t="s">
        <v>232</v>
      </c>
      <c r="D106" s="69" t="s">
        <v>24</v>
      </c>
      <c r="E106" s="69"/>
      <c r="F106" s="69"/>
      <c r="G106" s="69"/>
      <c r="H106" s="65" t="s">
        <v>222</v>
      </c>
      <c r="I106" s="65" t="s">
        <v>77</v>
      </c>
      <c r="J106" s="65">
        <v>1570</v>
      </c>
      <c r="K106" s="54">
        <v>3</v>
      </c>
      <c r="L106" s="65" t="s">
        <v>107</v>
      </c>
      <c r="M106" s="54">
        <v>2</v>
      </c>
      <c r="N106" s="56" t="s">
        <v>37</v>
      </c>
      <c r="O106" t="s">
        <v>379</v>
      </c>
      <c r="P106" t="s">
        <v>418</v>
      </c>
      <c r="Q106" t="s">
        <v>380</v>
      </c>
      <c r="R106" t="b">
        <f t="shared" si="1"/>
        <v>1</v>
      </c>
    </row>
    <row r="107" spans="2:18" ht="30" customHeight="1" x14ac:dyDescent="0.25">
      <c r="B107" s="52">
        <v>101</v>
      </c>
      <c r="C107" s="52" t="s">
        <v>233</v>
      </c>
      <c r="D107" s="69" t="s">
        <v>24</v>
      </c>
      <c r="E107" s="69"/>
      <c r="F107" s="69"/>
      <c r="G107" s="69"/>
      <c r="H107" s="65" t="s">
        <v>222</v>
      </c>
      <c r="I107" s="65" t="s">
        <v>49</v>
      </c>
      <c r="J107" s="65">
        <v>1365</v>
      </c>
      <c r="K107" s="54">
        <v>3</v>
      </c>
      <c r="L107" s="65" t="s">
        <v>107</v>
      </c>
      <c r="M107" s="54">
        <v>2</v>
      </c>
      <c r="N107" s="56">
        <v>561349000</v>
      </c>
      <c r="O107" t="s">
        <v>383</v>
      </c>
      <c r="P107" t="s">
        <v>420</v>
      </c>
      <c r="Q107" t="s">
        <v>384</v>
      </c>
      <c r="R107" t="b">
        <f t="shared" si="1"/>
        <v>1</v>
      </c>
    </row>
    <row r="108" spans="2:18" ht="30" customHeight="1" x14ac:dyDescent="0.25">
      <c r="B108" s="52">
        <v>102</v>
      </c>
      <c r="C108" s="52" t="s">
        <v>234</v>
      </c>
      <c r="D108" s="69" t="s">
        <v>24</v>
      </c>
      <c r="E108" s="69"/>
      <c r="F108" s="69"/>
      <c r="G108" s="69"/>
      <c r="H108" s="65" t="s">
        <v>222</v>
      </c>
      <c r="I108" s="57" t="s">
        <v>240</v>
      </c>
      <c r="J108" s="65">
        <v>1580</v>
      </c>
      <c r="K108" s="54">
        <v>3</v>
      </c>
      <c r="L108" s="65" t="s">
        <v>107</v>
      </c>
      <c r="M108" s="54">
        <v>2</v>
      </c>
      <c r="N108" s="56" t="s">
        <v>37</v>
      </c>
      <c r="O108" t="s">
        <v>351</v>
      </c>
      <c r="P108" t="s">
        <v>310</v>
      </c>
      <c r="Q108" t="s">
        <v>310</v>
      </c>
      <c r="R108" t="b">
        <f t="shared" si="1"/>
        <v>1</v>
      </c>
    </row>
    <row r="109" spans="2:18" ht="30" customHeight="1" x14ac:dyDescent="0.25">
      <c r="B109" s="52">
        <v>103</v>
      </c>
      <c r="C109" s="52" t="s">
        <v>235</v>
      </c>
      <c r="D109" s="69" t="s">
        <v>24</v>
      </c>
      <c r="E109" s="69"/>
      <c r="F109" s="69"/>
      <c r="G109" s="69"/>
      <c r="H109" s="65" t="s">
        <v>222</v>
      </c>
      <c r="I109" s="65" t="s">
        <v>30</v>
      </c>
      <c r="J109" s="65">
        <v>1580</v>
      </c>
      <c r="K109" s="54">
        <v>3</v>
      </c>
      <c r="L109" s="65" t="s">
        <v>107</v>
      </c>
      <c r="M109" s="54">
        <v>2</v>
      </c>
      <c r="N109" s="56" t="s">
        <v>37</v>
      </c>
      <c r="O109" t="s">
        <v>337</v>
      </c>
      <c r="P109" t="s">
        <v>405</v>
      </c>
      <c r="Q109" t="s">
        <v>338</v>
      </c>
      <c r="R109" t="b">
        <f t="shared" si="1"/>
        <v>1</v>
      </c>
    </row>
    <row r="110" spans="2:18" ht="30" customHeight="1" x14ac:dyDescent="0.25">
      <c r="B110" s="52">
        <v>104</v>
      </c>
      <c r="C110" s="52" t="s">
        <v>236</v>
      </c>
      <c r="D110" s="69" t="s">
        <v>24</v>
      </c>
      <c r="E110" s="69"/>
      <c r="F110" s="69"/>
      <c r="G110" s="69"/>
      <c r="H110" s="65" t="s">
        <v>222</v>
      </c>
      <c r="I110" s="65" t="s">
        <v>17</v>
      </c>
      <c r="J110" s="34">
        <f>2905-15</f>
        <v>2890</v>
      </c>
      <c r="K110" s="54">
        <v>2</v>
      </c>
      <c r="L110" s="65" t="s">
        <v>40</v>
      </c>
      <c r="M110" s="54">
        <v>7</v>
      </c>
      <c r="N110" s="55" t="s">
        <v>300</v>
      </c>
      <c r="O110" t="s">
        <v>325</v>
      </c>
      <c r="P110" t="s">
        <v>402</v>
      </c>
      <c r="Q110" t="s">
        <v>308</v>
      </c>
      <c r="R110" t="b">
        <f t="shared" si="1"/>
        <v>0</v>
      </c>
    </row>
    <row r="111" spans="2:18" ht="30" customHeight="1" x14ac:dyDescent="0.25">
      <c r="B111" s="52">
        <v>105</v>
      </c>
      <c r="C111" s="52" t="s">
        <v>237</v>
      </c>
      <c r="D111" s="69" t="s">
        <v>24</v>
      </c>
      <c r="E111" s="69"/>
      <c r="F111" s="69"/>
      <c r="G111" s="69"/>
      <c r="H111" s="65" t="s">
        <v>222</v>
      </c>
      <c r="I111" s="65" t="s">
        <v>18</v>
      </c>
      <c r="J111" s="65">
        <v>830</v>
      </c>
      <c r="K111" s="54">
        <v>2</v>
      </c>
      <c r="L111" s="65" t="s">
        <v>40</v>
      </c>
      <c r="M111" s="54">
        <v>7</v>
      </c>
      <c r="N111" s="55" t="s">
        <v>242</v>
      </c>
      <c r="O111" t="s">
        <v>359</v>
      </c>
      <c r="P111" t="s">
        <v>411</v>
      </c>
      <c r="Q111" t="s">
        <v>360</v>
      </c>
      <c r="R111" t="b">
        <f t="shared" si="1"/>
        <v>1</v>
      </c>
    </row>
    <row r="112" spans="2:18" ht="30" customHeight="1" x14ac:dyDescent="0.25">
      <c r="B112" s="52">
        <v>106</v>
      </c>
      <c r="C112" s="52" t="s">
        <v>238</v>
      </c>
      <c r="D112" s="69" t="s">
        <v>24</v>
      </c>
      <c r="E112" s="69"/>
      <c r="F112" s="69"/>
      <c r="G112" s="69"/>
      <c r="H112" s="65" t="s">
        <v>222</v>
      </c>
      <c r="I112" s="65" t="s">
        <v>29</v>
      </c>
      <c r="J112" s="65">
        <v>1360</v>
      </c>
      <c r="K112" s="54">
        <v>3</v>
      </c>
      <c r="L112" s="65" t="s">
        <v>107</v>
      </c>
      <c r="M112" s="54">
        <v>2</v>
      </c>
      <c r="N112" s="56">
        <v>561349000</v>
      </c>
      <c r="O112" t="s">
        <v>317</v>
      </c>
      <c r="P112" t="s">
        <v>318</v>
      </c>
      <c r="Q112" t="s">
        <v>348</v>
      </c>
      <c r="R112" t="b">
        <f t="shared" si="1"/>
        <v>1</v>
      </c>
    </row>
    <row r="113" spans="2:18" ht="30" customHeight="1" x14ac:dyDescent="0.25">
      <c r="B113" s="52">
        <v>107</v>
      </c>
      <c r="C113" s="52" t="s">
        <v>239</v>
      </c>
      <c r="D113" s="69" t="s">
        <v>24</v>
      </c>
      <c r="E113" s="69"/>
      <c r="F113" s="69"/>
      <c r="G113" s="69"/>
      <c r="H113" s="65" t="s">
        <v>222</v>
      </c>
      <c r="I113" s="65" t="s">
        <v>72</v>
      </c>
      <c r="J113" s="65">
        <v>1750</v>
      </c>
      <c r="K113" s="54">
        <v>3</v>
      </c>
      <c r="L113" s="65" t="s">
        <v>107</v>
      </c>
      <c r="M113" s="54">
        <v>2</v>
      </c>
      <c r="N113" s="56">
        <v>561349000</v>
      </c>
      <c r="O113" t="s">
        <v>371</v>
      </c>
      <c r="P113" t="s">
        <v>415</v>
      </c>
      <c r="Q113" t="s">
        <v>372</v>
      </c>
      <c r="R113" t="b">
        <f t="shared" si="1"/>
        <v>1</v>
      </c>
    </row>
    <row r="114" spans="2:18" ht="30" customHeight="1" x14ac:dyDescent="0.25">
      <c r="B114" s="52">
        <v>108</v>
      </c>
      <c r="C114" s="52" t="s">
        <v>243</v>
      </c>
      <c r="D114" s="69" t="s">
        <v>24</v>
      </c>
      <c r="E114" s="69"/>
      <c r="F114" s="69"/>
      <c r="G114" s="69"/>
      <c r="H114" s="65" t="s">
        <v>222</v>
      </c>
      <c r="I114" s="65" t="s">
        <v>15</v>
      </c>
      <c r="J114" s="65">
        <v>1750</v>
      </c>
      <c r="K114" s="54">
        <v>3</v>
      </c>
      <c r="L114" s="65" t="s">
        <v>107</v>
      </c>
      <c r="M114" s="54">
        <v>2</v>
      </c>
      <c r="N114" s="56">
        <v>561349000</v>
      </c>
      <c r="O114" t="s">
        <v>321</v>
      </c>
      <c r="P114" t="s">
        <v>401</v>
      </c>
      <c r="Q114" t="s">
        <v>322</v>
      </c>
      <c r="R114" t="b">
        <f t="shared" si="1"/>
        <v>1</v>
      </c>
    </row>
    <row r="115" spans="2:18" ht="30" customHeight="1" x14ac:dyDescent="0.25">
      <c r="B115" s="52">
        <v>109</v>
      </c>
      <c r="C115" s="52" t="s">
        <v>244</v>
      </c>
      <c r="D115" s="69" t="s">
        <v>24</v>
      </c>
      <c r="E115" s="69"/>
      <c r="F115" s="69"/>
      <c r="G115" s="69"/>
      <c r="H115" s="65" t="s">
        <v>222</v>
      </c>
      <c r="I115" s="65" t="s">
        <v>73</v>
      </c>
      <c r="J115" s="65">
        <v>1130</v>
      </c>
      <c r="K115" s="54">
        <v>3</v>
      </c>
      <c r="L115" s="55" t="s">
        <v>25</v>
      </c>
      <c r="M115" s="54">
        <v>2</v>
      </c>
      <c r="N115" s="56">
        <v>561349000</v>
      </c>
      <c r="O115" t="s">
        <v>373</v>
      </c>
      <c r="P115" t="s">
        <v>416</v>
      </c>
      <c r="Q115" t="s">
        <v>374</v>
      </c>
      <c r="R115" t="b">
        <f t="shared" si="1"/>
        <v>1</v>
      </c>
    </row>
    <row r="116" spans="2:18" ht="30" customHeight="1" x14ac:dyDescent="0.25">
      <c r="B116" s="52">
        <v>110</v>
      </c>
      <c r="C116" s="52" t="s">
        <v>245</v>
      </c>
      <c r="D116" s="69" t="s">
        <v>24</v>
      </c>
      <c r="E116" s="69"/>
      <c r="F116" s="69"/>
      <c r="G116" s="69"/>
      <c r="H116" s="65" t="s">
        <v>222</v>
      </c>
      <c r="I116" s="65" t="s">
        <v>253</v>
      </c>
      <c r="J116" s="65">
        <v>1130</v>
      </c>
      <c r="K116" s="54">
        <v>3</v>
      </c>
      <c r="L116" s="55" t="s">
        <v>25</v>
      </c>
      <c r="M116" s="54">
        <v>2</v>
      </c>
      <c r="N116" s="56">
        <v>561349000</v>
      </c>
      <c r="O116" t="s">
        <v>393</v>
      </c>
      <c r="P116" t="s">
        <v>423</v>
      </c>
      <c r="Q116" t="s">
        <v>394</v>
      </c>
      <c r="R116" t="b">
        <f t="shared" si="1"/>
        <v>1</v>
      </c>
    </row>
    <row r="117" spans="2:18" ht="30" customHeight="1" x14ac:dyDescent="0.25">
      <c r="B117" s="52">
        <v>111</v>
      </c>
      <c r="C117" s="52" t="s">
        <v>246</v>
      </c>
      <c r="D117" s="69" t="s">
        <v>31</v>
      </c>
      <c r="E117" s="69"/>
      <c r="F117" s="69"/>
      <c r="G117" s="69"/>
      <c r="H117" s="65" t="s">
        <v>214</v>
      </c>
      <c r="I117" s="65" t="s">
        <v>33</v>
      </c>
      <c r="J117" s="65">
        <v>680</v>
      </c>
      <c r="K117" s="54">
        <v>3</v>
      </c>
      <c r="L117" s="65" t="s">
        <v>254</v>
      </c>
      <c r="M117" s="54">
        <v>12</v>
      </c>
      <c r="N117" s="55" t="s">
        <v>255</v>
      </c>
      <c r="O117" t="s">
        <v>315</v>
      </c>
      <c r="P117" t="s">
        <v>316</v>
      </c>
      <c r="Q117" t="s">
        <v>316</v>
      </c>
      <c r="R117" t="b">
        <f t="shared" si="1"/>
        <v>1</v>
      </c>
    </row>
    <row r="118" spans="2:18" ht="30" customHeight="1" x14ac:dyDescent="0.25">
      <c r="B118" s="52">
        <v>112</v>
      </c>
      <c r="C118" s="52" t="s">
        <v>247</v>
      </c>
      <c r="D118" s="69" t="s">
        <v>31</v>
      </c>
      <c r="E118" s="69"/>
      <c r="F118" s="69"/>
      <c r="G118" s="69"/>
      <c r="H118" s="65" t="s">
        <v>214</v>
      </c>
      <c r="I118" s="65" t="s">
        <v>76</v>
      </c>
      <c r="J118" s="34">
        <f>1550-15</f>
        <v>1535</v>
      </c>
      <c r="K118" s="54">
        <v>3</v>
      </c>
      <c r="L118" s="65" t="s">
        <v>254</v>
      </c>
      <c r="M118" s="54">
        <v>3.5</v>
      </c>
      <c r="N118" s="56" t="s">
        <v>42</v>
      </c>
      <c r="O118" t="s">
        <v>395</v>
      </c>
      <c r="P118" t="s">
        <v>424</v>
      </c>
      <c r="Q118" t="s">
        <v>396</v>
      </c>
      <c r="R118" t="b">
        <f t="shared" si="1"/>
        <v>1</v>
      </c>
    </row>
    <row r="119" spans="2:18" ht="30" customHeight="1" x14ac:dyDescent="0.25">
      <c r="B119" s="52">
        <v>113</v>
      </c>
      <c r="C119" s="52" t="s">
        <v>248</v>
      </c>
      <c r="D119" s="69" t="s">
        <v>24</v>
      </c>
      <c r="E119" s="69"/>
      <c r="F119" s="69"/>
      <c r="G119" s="69"/>
      <c r="H119" s="65" t="s">
        <v>222</v>
      </c>
      <c r="I119" s="65" t="s">
        <v>17</v>
      </c>
      <c r="J119" s="34">
        <f>1025-15</f>
        <v>1010</v>
      </c>
      <c r="K119" s="54">
        <v>2</v>
      </c>
      <c r="L119" s="65" t="s">
        <v>40</v>
      </c>
      <c r="M119" s="54">
        <v>7</v>
      </c>
      <c r="N119" s="55" t="s">
        <v>256</v>
      </c>
      <c r="O119" t="s">
        <v>325</v>
      </c>
      <c r="P119" t="s">
        <v>402</v>
      </c>
      <c r="Q119" t="s">
        <v>308</v>
      </c>
      <c r="R119" t="b">
        <f t="shared" si="1"/>
        <v>0</v>
      </c>
    </row>
    <row r="120" spans="2:18" ht="30" customHeight="1" x14ac:dyDescent="0.25">
      <c r="B120" s="52">
        <v>114</v>
      </c>
      <c r="C120" s="52" t="s">
        <v>249</v>
      </c>
      <c r="D120" s="69" t="s">
        <v>24</v>
      </c>
      <c r="E120" s="69"/>
      <c r="F120" s="69"/>
      <c r="G120" s="69"/>
      <c r="H120" s="65" t="s">
        <v>222</v>
      </c>
      <c r="I120" s="65" t="s">
        <v>49</v>
      </c>
      <c r="J120" s="34">
        <f>1025-15</f>
        <v>1010</v>
      </c>
      <c r="K120" s="54">
        <v>2</v>
      </c>
      <c r="L120" s="65" t="s">
        <v>40</v>
      </c>
      <c r="M120" s="54">
        <v>7</v>
      </c>
      <c r="N120" s="55" t="s">
        <v>242</v>
      </c>
      <c r="O120" t="s">
        <v>383</v>
      </c>
      <c r="P120" t="s">
        <v>420</v>
      </c>
      <c r="Q120" t="s">
        <v>384</v>
      </c>
      <c r="R120" t="b">
        <f t="shared" si="1"/>
        <v>1</v>
      </c>
    </row>
    <row r="121" spans="2:18" ht="30" customHeight="1" x14ac:dyDescent="0.25">
      <c r="B121" s="52">
        <v>115</v>
      </c>
      <c r="C121" s="52" t="s">
        <v>250</v>
      </c>
      <c r="D121" s="69" t="s">
        <v>24</v>
      </c>
      <c r="E121" s="69"/>
      <c r="F121" s="69"/>
      <c r="G121" s="69"/>
      <c r="H121" s="65" t="s">
        <v>222</v>
      </c>
      <c r="I121" s="65" t="s">
        <v>49</v>
      </c>
      <c r="J121" s="34">
        <f>2905-15</f>
        <v>2890</v>
      </c>
      <c r="K121" s="54">
        <v>2</v>
      </c>
      <c r="L121" s="65" t="s">
        <v>40</v>
      </c>
      <c r="M121" s="54">
        <v>7</v>
      </c>
      <c r="N121" s="55" t="s">
        <v>242</v>
      </c>
      <c r="O121" t="s">
        <v>383</v>
      </c>
      <c r="P121" t="s">
        <v>420</v>
      </c>
      <c r="Q121" t="s">
        <v>384</v>
      </c>
      <c r="R121" t="b">
        <f t="shared" si="1"/>
        <v>1</v>
      </c>
    </row>
    <row r="122" spans="2:18" ht="30" customHeight="1" x14ac:dyDescent="0.25">
      <c r="B122" s="52">
        <v>116</v>
      </c>
      <c r="C122" s="52" t="s">
        <v>251</v>
      </c>
      <c r="D122" s="69" t="s">
        <v>24</v>
      </c>
      <c r="E122" s="69"/>
      <c r="F122" s="69"/>
      <c r="G122" s="69"/>
      <c r="H122" s="65" t="s">
        <v>222</v>
      </c>
      <c r="I122" s="65" t="s">
        <v>17</v>
      </c>
      <c r="J122" s="34">
        <f>1355-15</f>
        <v>1340</v>
      </c>
      <c r="K122" s="54">
        <v>3</v>
      </c>
      <c r="L122" s="55" t="s">
        <v>218</v>
      </c>
      <c r="M122" s="54">
        <v>7</v>
      </c>
      <c r="N122" s="55" t="s">
        <v>257</v>
      </c>
      <c r="O122" t="s">
        <v>325</v>
      </c>
      <c r="P122" t="s">
        <v>402</v>
      </c>
      <c r="Q122" t="s">
        <v>308</v>
      </c>
      <c r="R122" t="b">
        <f t="shared" si="1"/>
        <v>0</v>
      </c>
    </row>
    <row r="123" spans="2:18" ht="30" customHeight="1" x14ac:dyDescent="0.25">
      <c r="B123" s="52">
        <v>117</v>
      </c>
      <c r="C123" s="52" t="s">
        <v>252</v>
      </c>
      <c r="D123" s="69" t="s">
        <v>24</v>
      </c>
      <c r="E123" s="69"/>
      <c r="F123" s="69"/>
      <c r="G123" s="69"/>
      <c r="H123" s="65" t="s">
        <v>222</v>
      </c>
      <c r="I123" s="65" t="s">
        <v>49</v>
      </c>
      <c r="J123" s="65">
        <v>775</v>
      </c>
      <c r="K123" s="54">
        <v>3</v>
      </c>
      <c r="L123" s="65" t="s">
        <v>107</v>
      </c>
      <c r="M123" s="54">
        <v>7</v>
      </c>
      <c r="N123" s="55" t="s">
        <v>261</v>
      </c>
      <c r="O123" t="s">
        <v>383</v>
      </c>
      <c r="P123" t="s">
        <v>420</v>
      </c>
      <c r="Q123" t="s">
        <v>384</v>
      </c>
      <c r="R123" t="b">
        <f t="shared" si="1"/>
        <v>1</v>
      </c>
    </row>
    <row r="124" spans="2:18" ht="30" customHeight="1" x14ac:dyDescent="0.25">
      <c r="B124" s="52">
        <v>118</v>
      </c>
      <c r="C124" s="52" t="s">
        <v>258</v>
      </c>
      <c r="D124" s="69" t="s">
        <v>24</v>
      </c>
      <c r="E124" s="69"/>
      <c r="F124" s="69"/>
      <c r="G124" s="69"/>
      <c r="H124" s="65" t="s">
        <v>222</v>
      </c>
      <c r="I124" s="65" t="s">
        <v>17</v>
      </c>
      <c r="J124" s="65">
        <v>775</v>
      </c>
      <c r="K124" s="54">
        <v>3</v>
      </c>
      <c r="L124" s="65" t="s">
        <v>107</v>
      </c>
      <c r="M124" s="54">
        <v>7</v>
      </c>
      <c r="N124" s="55" t="s">
        <v>257</v>
      </c>
      <c r="O124" t="s">
        <v>325</v>
      </c>
      <c r="P124" t="s">
        <v>402</v>
      </c>
      <c r="Q124" t="s">
        <v>308</v>
      </c>
      <c r="R124" t="b">
        <f t="shared" si="1"/>
        <v>0</v>
      </c>
    </row>
    <row r="125" spans="2:18" ht="30" customHeight="1" x14ac:dyDescent="0.25">
      <c r="B125" s="52">
        <v>119</v>
      </c>
      <c r="C125" s="52" t="s">
        <v>259</v>
      </c>
      <c r="D125" s="69" t="s">
        <v>24</v>
      </c>
      <c r="E125" s="69"/>
      <c r="F125" s="69"/>
      <c r="G125" s="69"/>
      <c r="H125" s="65" t="s">
        <v>222</v>
      </c>
      <c r="I125" s="65" t="s">
        <v>19</v>
      </c>
      <c r="J125" s="65">
        <v>1005</v>
      </c>
      <c r="K125" s="54">
        <v>2</v>
      </c>
      <c r="L125" s="65" t="s">
        <v>40</v>
      </c>
      <c r="M125" s="54">
        <v>3</v>
      </c>
      <c r="N125" s="55" t="s">
        <v>48</v>
      </c>
      <c r="O125" t="s">
        <v>363</v>
      </c>
      <c r="P125" t="s">
        <v>389</v>
      </c>
      <c r="Q125" t="s">
        <v>364</v>
      </c>
      <c r="R125" t="b">
        <f t="shared" si="1"/>
        <v>1</v>
      </c>
    </row>
    <row r="126" spans="2:18" ht="30" customHeight="1" x14ac:dyDescent="0.25">
      <c r="B126" s="52">
        <v>120</v>
      </c>
      <c r="C126" s="52" t="s">
        <v>260</v>
      </c>
      <c r="D126" s="69" t="s">
        <v>24</v>
      </c>
      <c r="E126" s="69"/>
      <c r="F126" s="69"/>
      <c r="G126" s="69"/>
      <c r="H126" s="65" t="s">
        <v>222</v>
      </c>
      <c r="I126" s="65" t="s">
        <v>29</v>
      </c>
      <c r="J126" s="65">
        <v>1005</v>
      </c>
      <c r="K126" s="54">
        <v>2</v>
      </c>
      <c r="L126" s="65" t="s">
        <v>40</v>
      </c>
      <c r="M126" s="54">
        <v>3</v>
      </c>
      <c r="N126" s="55" t="s">
        <v>48</v>
      </c>
      <c r="O126" t="s">
        <v>317</v>
      </c>
      <c r="P126" t="s">
        <v>318</v>
      </c>
      <c r="Q126" t="s">
        <v>348</v>
      </c>
      <c r="R126" t="b">
        <f t="shared" si="1"/>
        <v>1</v>
      </c>
    </row>
    <row r="127" spans="2:18" ht="30" customHeight="1" thickBot="1" x14ac:dyDescent="0.3">
      <c r="B127" s="93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5"/>
    </row>
    <row r="128" spans="2:18" ht="30" customHeight="1" x14ac:dyDescent="0.25">
      <c r="B128" s="108" t="s">
        <v>291</v>
      </c>
      <c r="C128" s="109"/>
      <c r="D128" s="109" t="s">
        <v>266</v>
      </c>
      <c r="E128" s="109"/>
      <c r="F128" s="109"/>
      <c r="G128" s="109"/>
      <c r="H128" s="109"/>
      <c r="I128" s="109"/>
      <c r="J128" s="109"/>
      <c r="K128" s="109"/>
      <c r="L128" s="109"/>
      <c r="M128" s="109" t="s">
        <v>274</v>
      </c>
      <c r="N128" s="110"/>
    </row>
    <row r="129" spans="2:14" ht="30" customHeight="1" x14ac:dyDescent="0.25">
      <c r="B129" s="111">
        <v>0</v>
      </c>
      <c r="C129" s="112"/>
      <c r="D129" s="98" t="s">
        <v>292</v>
      </c>
      <c r="E129" s="99"/>
      <c r="F129" s="99"/>
      <c r="G129" s="99"/>
      <c r="H129" s="99"/>
      <c r="I129" s="99"/>
      <c r="J129" s="99"/>
      <c r="K129" s="99"/>
      <c r="L129" s="100"/>
      <c r="M129" s="101">
        <v>45784</v>
      </c>
      <c r="N129" s="113"/>
    </row>
    <row r="130" spans="2:14" ht="30" customHeight="1" x14ac:dyDescent="0.25">
      <c r="B130" s="114">
        <v>1</v>
      </c>
      <c r="C130" s="115"/>
      <c r="D130" s="112" t="s">
        <v>296</v>
      </c>
      <c r="E130" s="112"/>
      <c r="F130" s="112"/>
      <c r="G130" s="112"/>
      <c r="H130" s="112"/>
      <c r="I130" s="112"/>
      <c r="J130" s="112"/>
      <c r="K130" s="112"/>
      <c r="L130" s="112"/>
      <c r="M130" s="116">
        <v>45854</v>
      </c>
      <c r="N130" s="117"/>
    </row>
    <row r="131" spans="2:14" ht="30" customHeight="1" x14ac:dyDescent="0.25">
      <c r="B131" s="96">
        <v>2</v>
      </c>
      <c r="C131" s="97"/>
      <c r="D131" s="98" t="s">
        <v>298</v>
      </c>
      <c r="E131" s="99"/>
      <c r="F131" s="99"/>
      <c r="G131" s="99"/>
      <c r="H131" s="99"/>
      <c r="I131" s="99"/>
      <c r="J131" s="99"/>
      <c r="K131" s="99"/>
      <c r="L131" s="100"/>
      <c r="M131" s="101">
        <v>45894</v>
      </c>
      <c r="N131" s="102"/>
    </row>
    <row r="132" spans="2:14" ht="30" customHeight="1" thickBot="1" x14ac:dyDescent="0.3">
      <c r="B132" s="103" t="s">
        <v>293</v>
      </c>
      <c r="C132" s="104"/>
      <c r="D132" s="104"/>
      <c r="E132" s="104"/>
      <c r="F132" s="104"/>
      <c r="G132" s="104"/>
      <c r="H132" s="105"/>
      <c r="I132" s="106" t="s">
        <v>294</v>
      </c>
      <c r="J132" s="104"/>
      <c r="K132" s="105"/>
      <c r="L132" s="106" t="s">
        <v>295</v>
      </c>
      <c r="M132" s="104"/>
      <c r="N132" s="107"/>
    </row>
  </sheetData>
  <autoFilter ref="B6:R6">
    <filterColumn colId="2" showButton="0"/>
    <filterColumn colId="3" showButton="0"/>
    <filterColumn colId="4" showButton="0"/>
  </autoFilter>
  <mergeCells count="148">
    <mergeCell ref="B5:G5"/>
    <mergeCell ref="K5:L5"/>
    <mergeCell ref="M5:N5"/>
    <mergeCell ref="D6:G6"/>
    <mergeCell ref="D7:G7"/>
    <mergeCell ref="D8:G8"/>
    <mergeCell ref="B1:N1"/>
    <mergeCell ref="B2:N2"/>
    <mergeCell ref="B3:G3"/>
    <mergeCell ref="K3:L3"/>
    <mergeCell ref="M3:N3"/>
    <mergeCell ref="B4:G4"/>
    <mergeCell ref="K4:L4"/>
    <mergeCell ref="M4:N4"/>
    <mergeCell ref="D15:G15"/>
    <mergeCell ref="D16:G16"/>
    <mergeCell ref="D17:G17"/>
    <mergeCell ref="D18:G18"/>
    <mergeCell ref="D19:G19"/>
    <mergeCell ref="D20:G20"/>
    <mergeCell ref="D9:G9"/>
    <mergeCell ref="D10:G10"/>
    <mergeCell ref="D11:G11"/>
    <mergeCell ref="D12:G12"/>
    <mergeCell ref="D13:G13"/>
    <mergeCell ref="D14:G14"/>
    <mergeCell ref="D27:G27"/>
    <mergeCell ref="D28:G28"/>
    <mergeCell ref="D29:G29"/>
    <mergeCell ref="D30:G30"/>
    <mergeCell ref="D31:G31"/>
    <mergeCell ref="D32:G32"/>
    <mergeCell ref="D21:G21"/>
    <mergeCell ref="D22:G22"/>
    <mergeCell ref="D23:G23"/>
    <mergeCell ref="D24:G24"/>
    <mergeCell ref="D25:G25"/>
    <mergeCell ref="D26:G26"/>
    <mergeCell ref="D39:G39"/>
    <mergeCell ref="D40:G40"/>
    <mergeCell ref="D41:G41"/>
    <mergeCell ref="D42:G42"/>
    <mergeCell ref="D43:G43"/>
    <mergeCell ref="D44:G44"/>
    <mergeCell ref="D33:G33"/>
    <mergeCell ref="D34:G34"/>
    <mergeCell ref="D35:G35"/>
    <mergeCell ref="D36:G36"/>
    <mergeCell ref="D37:G37"/>
    <mergeCell ref="D38:G38"/>
    <mergeCell ref="D51:G51"/>
    <mergeCell ref="D52:G52"/>
    <mergeCell ref="D53:G53"/>
    <mergeCell ref="D54:G54"/>
    <mergeCell ref="D55:G55"/>
    <mergeCell ref="D56:G56"/>
    <mergeCell ref="D45:G45"/>
    <mergeCell ref="D46:G46"/>
    <mergeCell ref="D47:G47"/>
    <mergeCell ref="D48:G48"/>
    <mergeCell ref="D49:G49"/>
    <mergeCell ref="D50:G50"/>
    <mergeCell ref="D63:G63"/>
    <mergeCell ref="D64:G64"/>
    <mergeCell ref="D65:G65"/>
    <mergeCell ref="D66:G66"/>
    <mergeCell ref="D67:G67"/>
    <mergeCell ref="D68:G68"/>
    <mergeCell ref="D57:G57"/>
    <mergeCell ref="D58:G58"/>
    <mergeCell ref="D59:G59"/>
    <mergeCell ref="D60:G60"/>
    <mergeCell ref="D61:G61"/>
    <mergeCell ref="D62:G62"/>
    <mergeCell ref="D75:G75"/>
    <mergeCell ref="D76:G76"/>
    <mergeCell ref="D77:G77"/>
    <mergeCell ref="D78:G78"/>
    <mergeCell ref="D79:G79"/>
    <mergeCell ref="D80:G80"/>
    <mergeCell ref="D69:G69"/>
    <mergeCell ref="D70:G70"/>
    <mergeCell ref="D71:G71"/>
    <mergeCell ref="D72:G72"/>
    <mergeCell ref="D73:G73"/>
    <mergeCell ref="D74:G74"/>
    <mergeCell ref="D87:G87"/>
    <mergeCell ref="D88:G88"/>
    <mergeCell ref="D89:G89"/>
    <mergeCell ref="D90:G90"/>
    <mergeCell ref="D91:G91"/>
    <mergeCell ref="D92:G92"/>
    <mergeCell ref="D81:G81"/>
    <mergeCell ref="D82:G82"/>
    <mergeCell ref="D83:G83"/>
    <mergeCell ref="D84:G84"/>
    <mergeCell ref="D85:G85"/>
    <mergeCell ref="D86:G86"/>
    <mergeCell ref="D99:G99"/>
    <mergeCell ref="D100:G100"/>
    <mergeCell ref="D101:G101"/>
    <mergeCell ref="D102:G102"/>
    <mergeCell ref="D103:G103"/>
    <mergeCell ref="D104:G104"/>
    <mergeCell ref="D93:G93"/>
    <mergeCell ref="D94:G94"/>
    <mergeCell ref="D95:G95"/>
    <mergeCell ref="D96:G96"/>
    <mergeCell ref="D97:G97"/>
    <mergeCell ref="D98:G98"/>
    <mergeCell ref="D111:G111"/>
    <mergeCell ref="D112:G112"/>
    <mergeCell ref="D113:G113"/>
    <mergeCell ref="D114:G114"/>
    <mergeCell ref="D115:G115"/>
    <mergeCell ref="D116:G116"/>
    <mergeCell ref="D105:G105"/>
    <mergeCell ref="D106:G106"/>
    <mergeCell ref="D107:G107"/>
    <mergeCell ref="D108:G108"/>
    <mergeCell ref="D109:G109"/>
    <mergeCell ref="D110:G110"/>
    <mergeCell ref="D123:G123"/>
    <mergeCell ref="D124:G124"/>
    <mergeCell ref="D125:G125"/>
    <mergeCell ref="D126:G126"/>
    <mergeCell ref="B127:N127"/>
    <mergeCell ref="B128:C128"/>
    <mergeCell ref="D128:L128"/>
    <mergeCell ref="M128:N128"/>
    <mergeCell ref="D117:G117"/>
    <mergeCell ref="D118:G118"/>
    <mergeCell ref="D119:G119"/>
    <mergeCell ref="D120:G120"/>
    <mergeCell ref="D121:G121"/>
    <mergeCell ref="D122:G122"/>
    <mergeCell ref="B131:C131"/>
    <mergeCell ref="D131:L131"/>
    <mergeCell ref="M131:N131"/>
    <mergeCell ref="B132:H132"/>
    <mergeCell ref="I132:K132"/>
    <mergeCell ref="L132:N132"/>
    <mergeCell ref="B129:C129"/>
    <mergeCell ref="D129:L129"/>
    <mergeCell ref="M129:N129"/>
    <mergeCell ref="B130:C130"/>
    <mergeCell ref="D130:L130"/>
    <mergeCell ref="M130:N1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C1:O120"/>
  <sheetViews>
    <sheetView view="pageBreakPreview" topLeftCell="A91" zoomScale="60" zoomScaleNormal="85" workbookViewId="0">
      <selection activeCell="C4" sqref="C4:N93"/>
    </sheetView>
  </sheetViews>
  <sheetFormatPr defaultRowHeight="15" x14ac:dyDescent="0.25"/>
  <cols>
    <col min="1" max="2" width="1" customWidth="1"/>
    <col min="3" max="3" width="7.5703125" customWidth="1"/>
    <col min="4" max="4" width="20.42578125" customWidth="1"/>
    <col min="5" max="7" width="4.140625" customWidth="1"/>
    <col min="8" max="8" width="22.28515625" customWidth="1"/>
    <col min="9" max="9" width="46" customWidth="1"/>
    <col min="10" max="10" width="77" customWidth="1"/>
    <col min="11" max="11" width="34.85546875" customWidth="1"/>
    <col min="12" max="12" width="23.7109375" customWidth="1"/>
    <col min="13" max="13" width="34.28515625" customWidth="1"/>
    <col min="14" max="14" width="1.140625" customWidth="1"/>
    <col min="15" max="15" width="23" hidden="1" customWidth="1"/>
  </cols>
  <sheetData>
    <row r="1" spans="3:14" ht="55.5" customHeight="1" thickBot="1" x14ac:dyDescent="0.3">
      <c r="C1" s="118" t="s">
        <v>0</v>
      </c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20"/>
    </row>
    <row r="2" spans="3:14" ht="28.35" customHeight="1" x14ac:dyDescent="0.25">
      <c r="C2" s="121" t="s">
        <v>220</v>
      </c>
      <c r="D2" s="122"/>
      <c r="E2" s="122"/>
      <c r="F2" s="122"/>
      <c r="G2" s="122"/>
      <c r="H2" s="123"/>
      <c r="I2" s="123"/>
      <c r="J2" s="123"/>
      <c r="K2" s="123"/>
      <c r="L2" s="123"/>
      <c r="M2" s="123"/>
      <c r="N2" s="124"/>
    </row>
    <row r="3" spans="3:14" ht="27" customHeight="1" x14ac:dyDescent="0.25">
      <c r="C3" s="78" t="s">
        <v>2</v>
      </c>
      <c r="D3" s="79"/>
      <c r="E3" s="79"/>
      <c r="F3" s="79"/>
      <c r="G3" s="79"/>
      <c r="H3" s="80"/>
      <c r="I3" s="17" t="s">
        <v>228</v>
      </c>
      <c r="J3" s="10" t="s">
        <v>301</v>
      </c>
      <c r="K3" s="16"/>
      <c r="L3" s="91" t="s">
        <v>209</v>
      </c>
      <c r="M3" s="80"/>
      <c r="N3" s="24"/>
    </row>
    <row r="4" spans="3:14" ht="21" customHeight="1" x14ac:dyDescent="0.25">
      <c r="C4" s="128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30"/>
    </row>
    <row r="5" spans="3:14" ht="21" customHeight="1" x14ac:dyDescent="0.25">
      <c r="C5" s="131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3"/>
    </row>
    <row r="6" spans="3:14" ht="56.25" customHeight="1" x14ac:dyDescent="0.25">
      <c r="C6" s="131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3"/>
    </row>
    <row r="7" spans="3:14" ht="35.1" customHeight="1" x14ac:dyDescent="0.25">
      <c r="C7" s="131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3"/>
    </row>
    <row r="8" spans="3:14" ht="35.1" customHeight="1" x14ac:dyDescent="0.25">
      <c r="C8" s="131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3"/>
    </row>
    <row r="9" spans="3:14" ht="35.1" customHeight="1" x14ac:dyDescent="0.25">
      <c r="C9" s="131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3"/>
    </row>
    <row r="10" spans="3:14" ht="35.1" customHeight="1" x14ac:dyDescent="0.25">
      <c r="C10" s="131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3"/>
    </row>
    <row r="11" spans="3:14" ht="35.1" customHeight="1" x14ac:dyDescent="0.25">
      <c r="C11" s="131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3"/>
    </row>
    <row r="12" spans="3:14" ht="35.1" customHeight="1" x14ac:dyDescent="0.25">
      <c r="C12" s="131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3"/>
    </row>
    <row r="13" spans="3:14" ht="35.1" customHeight="1" x14ac:dyDescent="0.25">
      <c r="C13" s="131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3"/>
    </row>
    <row r="14" spans="3:14" ht="35.1" customHeight="1" x14ac:dyDescent="0.25">
      <c r="C14" s="131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3"/>
    </row>
    <row r="15" spans="3:14" ht="35.1" customHeight="1" x14ac:dyDescent="0.25">
      <c r="C15" s="131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3"/>
    </row>
    <row r="16" spans="3:14" ht="35.1" customHeight="1" x14ac:dyDescent="0.25">
      <c r="C16" s="131"/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3"/>
    </row>
    <row r="17" spans="3:14" ht="35.1" customHeight="1" x14ac:dyDescent="0.25">
      <c r="C17" s="131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3"/>
    </row>
    <row r="18" spans="3:14" ht="35.1" customHeight="1" x14ac:dyDescent="0.25">
      <c r="C18" s="131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3"/>
    </row>
    <row r="19" spans="3:14" ht="35.1" customHeight="1" x14ac:dyDescent="0.25">
      <c r="C19" s="131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3"/>
    </row>
    <row r="20" spans="3:14" ht="35.1" customHeight="1" x14ac:dyDescent="0.25">
      <c r="C20" s="131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3"/>
    </row>
    <row r="21" spans="3:14" ht="35.1" customHeight="1" x14ac:dyDescent="0.25">
      <c r="C21" s="131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3"/>
    </row>
    <row r="22" spans="3:14" ht="35.1" customHeight="1" x14ac:dyDescent="0.25">
      <c r="C22" s="131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3"/>
    </row>
    <row r="23" spans="3:14" ht="35.1" customHeight="1" x14ac:dyDescent="0.25">
      <c r="C23" s="131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3"/>
    </row>
    <row r="24" spans="3:14" ht="35.1" customHeight="1" x14ac:dyDescent="0.25">
      <c r="C24" s="131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3"/>
    </row>
    <row r="25" spans="3:14" ht="35.1" customHeight="1" x14ac:dyDescent="0.25">
      <c r="C25" s="131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3"/>
    </row>
    <row r="26" spans="3:14" ht="35.1" customHeight="1" x14ac:dyDescent="0.25">
      <c r="C26" s="131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3"/>
    </row>
    <row r="27" spans="3:14" ht="35.1" customHeight="1" x14ac:dyDescent="0.25">
      <c r="C27" s="131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3"/>
    </row>
    <row r="28" spans="3:14" ht="35.1" customHeight="1" x14ac:dyDescent="0.25">
      <c r="C28" s="131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3"/>
    </row>
    <row r="29" spans="3:14" ht="35.1" customHeight="1" x14ac:dyDescent="0.25">
      <c r="C29" s="131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3"/>
    </row>
    <row r="30" spans="3:14" ht="35.1" customHeight="1" x14ac:dyDescent="0.25">
      <c r="C30" s="131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3"/>
    </row>
    <row r="31" spans="3:14" ht="35.1" customHeight="1" x14ac:dyDescent="0.25">
      <c r="C31" s="131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3"/>
    </row>
    <row r="32" spans="3:14" ht="35.1" customHeight="1" x14ac:dyDescent="0.25">
      <c r="C32" s="131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3"/>
    </row>
    <row r="33" spans="3:14" ht="35.1" customHeight="1" x14ac:dyDescent="0.25">
      <c r="C33" s="131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3"/>
    </row>
    <row r="34" spans="3:14" ht="35.1" customHeight="1" x14ac:dyDescent="0.25">
      <c r="C34" s="131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3"/>
    </row>
    <row r="35" spans="3:14" ht="35.1" customHeight="1" x14ac:dyDescent="0.25">
      <c r="C35" s="131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3"/>
    </row>
    <row r="36" spans="3:14" ht="35.1" customHeight="1" x14ac:dyDescent="0.25">
      <c r="C36" s="131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3"/>
    </row>
    <row r="37" spans="3:14" ht="35.1" customHeight="1" x14ac:dyDescent="0.25">
      <c r="C37" s="131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3"/>
    </row>
    <row r="38" spans="3:14" ht="35.1" customHeight="1" x14ac:dyDescent="0.25">
      <c r="C38" s="131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3"/>
    </row>
    <row r="39" spans="3:14" ht="35.1" customHeight="1" x14ac:dyDescent="0.25">
      <c r="C39" s="131"/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3"/>
    </row>
    <row r="40" spans="3:14" ht="35.1" customHeight="1" x14ac:dyDescent="0.25">
      <c r="C40" s="131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3"/>
    </row>
    <row r="41" spans="3:14" ht="35.1" customHeight="1" x14ac:dyDescent="0.25">
      <c r="C41" s="131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3"/>
    </row>
    <row r="42" spans="3:14" ht="35.1" customHeight="1" x14ac:dyDescent="0.25">
      <c r="C42" s="131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3"/>
    </row>
    <row r="43" spans="3:14" ht="35.1" customHeight="1" x14ac:dyDescent="0.25">
      <c r="C43" s="131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3"/>
    </row>
    <row r="44" spans="3:14" ht="35.1" customHeight="1" x14ac:dyDescent="0.25">
      <c r="C44" s="131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3"/>
    </row>
    <row r="45" spans="3:14" ht="35.1" customHeight="1" x14ac:dyDescent="0.25">
      <c r="C45" s="131"/>
      <c r="D45" s="132"/>
      <c r="E45" s="132"/>
      <c r="F45" s="132"/>
      <c r="G45" s="132"/>
      <c r="H45" s="132"/>
      <c r="I45" s="132"/>
      <c r="J45" s="132"/>
      <c r="K45" s="132"/>
      <c r="L45" s="132"/>
      <c r="M45" s="132"/>
      <c r="N45" s="133"/>
    </row>
    <row r="46" spans="3:14" ht="35.1" customHeight="1" x14ac:dyDescent="0.25">
      <c r="C46" s="131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3"/>
    </row>
    <row r="47" spans="3:14" ht="35.1" customHeight="1" x14ac:dyDescent="0.25">
      <c r="C47" s="131"/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3"/>
    </row>
    <row r="48" spans="3:14" ht="35.1" customHeight="1" x14ac:dyDescent="0.25">
      <c r="C48" s="131"/>
      <c r="D48" s="132"/>
      <c r="E48" s="132"/>
      <c r="F48" s="132"/>
      <c r="G48" s="132"/>
      <c r="H48" s="132"/>
      <c r="I48" s="132"/>
      <c r="J48" s="132"/>
      <c r="K48" s="132"/>
      <c r="L48" s="132"/>
      <c r="M48" s="132"/>
      <c r="N48" s="133"/>
    </row>
    <row r="49" spans="3:14" ht="35.1" customHeight="1" x14ac:dyDescent="0.25">
      <c r="C49" s="131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3"/>
    </row>
    <row r="50" spans="3:14" ht="35.1" customHeight="1" x14ac:dyDescent="0.25">
      <c r="C50" s="131"/>
      <c r="D50" s="132"/>
      <c r="E50" s="132"/>
      <c r="F50" s="132"/>
      <c r="G50" s="132"/>
      <c r="H50" s="132"/>
      <c r="I50" s="132"/>
      <c r="J50" s="132"/>
      <c r="K50" s="132"/>
      <c r="L50" s="132"/>
      <c r="M50" s="132"/>
      <c r="N50" s="133"/>
    </row>
    <row r="51" spans="3:14" ht="35.1" customHeight="1" x14ac:dyDescent="0.25">
      <c r="C51" s="131"/>
      <c r="D51" s="132"/>
      <c r="E51" s="132"/>
      <c r="F51" s="132"/>
      <c r="G51" s="132"/>
      <c r="H51" s="132"/>
      <c r="I51" s="132"/>
      <c r="J51" s="132"/>
      <c r="K51" s="132"/>
      <c r="L51" s="132"/>
      <c r="M51" s="132"/>
      <c r="N51" s="133"/>
    </row>
    <row r="52" spans="3:14" ht="35.1" customHeight="1" x14ac:dyDescent="0.25">
      <c r="C52" s="131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3"/>
    </row>
    <row r="53" spans="3:14" ht="35.1" customHeight="1" x14ac:dyDescent="0.25">
      <c r="C53" s="131"/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3"/>
    </row>
    <row r="54" spans="3:14" ht="35.1" customHeight="1" x14ac:dyDescent="0.25">
      <c r="C54" s="131"/>
      <c r="D54" s="132"/>
      <c r="E54" s="132"/>
      <c r="F54" s="132"/>
      <c r="G54" s="132"/>
      <c r="H54" s="132"/>
      <c r="I54" s="132"/>
      <c r="J54" s="132"/>
      <c r="K54" s="132"/>
      <c r="L54" s="132"/>
      <c r="M54" s="132"/>
      <c r="N54" s="133"/>
    </row>
    <row r="55" spans="3:14" ht="35.1" customHeight="1" x14ac:dyDescent="0.25">
      <c r="C55" s="131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3"/>
    </row>
    <row r="56" spans="3:14" ht="35.1" customHeight="1" x14ac:dyDescent="0.25">
      <c r="C56" s="131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3"/>
    </row>
    <row r="57" spans="3:14" ht="35.1" customHeight="1" x14ac:dyDescent="0.25">
      <c r="C57" s="131"/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3"/>
    </row>
    <row r="58" spans="3:14" ht="35.1" customHeight="1" x14ac:dyDescent="0.25">
      <c r="C58" s="131"/>
      <c r="D58" s="132"/>
      <c r="E58" s="132"/>
      <c r="F58" s="132"/>
      <c r="G58" s="132"/>
      <c r="H58" s="132"/>
      <c r="I58" s="132"/>
      <c r="J58" s="132"/>
      <c r="K58" s="132"/>
      <c r="L58" s="132"/>
      <c r="M58" s="132"/>
      <c r="N58" s="133"/>
    </row>
    <row r="59" spans="3:14" ht="35.1" customHeight="1" x14ac:dyDescent="0.25">
      <c r="C59" s="131"/>
      <c r="D59" s="132"/>
      <c r="E59" s="132"/>
      <c r="F59" s="132"/>
      <c r="G59" s="132"/>
      <c r="H59" s="132"/>
      <c r="I59" s="132"/>
      <c r="J59" s="132"/>
      <c r="K59" s="132"/>
      <c r="L59" s="132"/>
      <c r="M59" s="132"/>
      <c r="N59" s="133"/>
    </row>
    <row r="60" spans="3:14" ht="35.1" customHeight="1" x14ac:dyDescent="0.25">
      <c r="C60" s="131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3"/>
    </row>
    <row r="61" spans="3:14" ht="35.1" customHeight="1" x14ac:dyDescent="0.25">
      <c r="C61" s="131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3"/>
    </row>
    <row r="62" spans="3:14" ht="35.1" customHeight="1" x14ac:dyDescent="0.25">
      <c r="C62" s="131"/>
      <c r="D62" s="132"/>
      <c r="E62" s="132"/>
      <c r="F62" s="132"/>
      <c r="G62" s="132"/>
      <c r="H62" s="132"/>
      <c r="I62" s="132"/>
      <c r="J62" s="132"/>
      <c r="K62" s="132"/>
      <c r="L62" s="132"/>
      <c r="M62" s="132"/>
      <c r="N62" s="133"/>
    </row>
    <row r="63" spans="3:14" ht="35.1" customHeight="1" x14ac:dyDescent="0.25">
      <c r="C63" s="131"/>
      <c r="D63" s="132"/>
      <c r="E63" s="132"/>
      <c r="F63" s="132"/>
      <c r="G63" s="132"/>
      <c r="H63" s="132"/>
      <c r="I63" s="132"/>
      <c r="J63" s="132"/>
      <c r="K63" s="132"/>
      <c r="L63" s="132"/>
      <c r="M63" s="132"/>
      <c r="N63" s="133"/>
    </row>
    <row r="64" spans="3:14" ht="35.1" customHeight="1" x14ac:dyDescent="0.25">
      <c r="C64" s="131"/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3"/>
    </row>
    <row r="65" spans="3:14" ht="35.1" customHeight="1" x14ac:dyDescent="0.25">
      <c r="C65" s="131"/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3"/>
    </row>
    <row r="66" spans="3:14" ht="35.1" customHeight="1" x14ac:dyDescent="0.25">
      <c r="C66" s="131"/>
      <c r="D66" s="132"/>
      <c r="E66" s="132"/>
      <c r="F66" s="132"/>
      <c r="G66" s="132"/>
      <c r="H66" s="132"/>
      <c r="I66" s="132"/>
      <c r="J66" s="132"/>
      <c r="K66" s="132"/>
      <c r="L66" s="132"/>
      <c r="M66" s="132"/>
      <c r="N66" s="133"/>
    </row>
    <row r="67" spans="3:14" ht="35.1" customHeight="1" x14ac:dyDescent="0.25">
      <c r="C67" s="131"/>
      <c r="D67" s="132"/>
      <c r="E67" s="132"/>
      <c r="F67" s="132"/>
      <c r="G67" s="132"/>
      <c r="H67" s="132"/>
      <c r="I67" s="132"/>
      <c r="J67" s="132"/>
      <c r="K67" s="132"/>
      <c r="L67" s="132"/>
      <c r="M67" s="132"/>
      <c r="N67" s="133"/>
    </row>
    <row r="68" spans="3:14" ht="35.1" customHeight="1" x14ac:dyDescent="0.25">
      <c r="C68" s="131"/>
      <c r="D68" s="132"/>
      <c r="E68" s="132"/>
      <c r="F68" s="132"/>
      <c r="G68" s="132"/>
      <c r="H68" s="132"/>
      <c r="I68" s="132"/>
      <c r="J68" s="132"/>
      <c r="K68" s="132"/>
      <c r="L68" s="132"/>
      <c r="M68" s="132"/>
      <c r="N68" s="133"/>
    </row>
    <row r="69" spans="3:14" ht="35.1" customHeight="1" x14ac:dyDescent="0.25">
      <c r="C69" s="131"/>
      <c r="D69" s="132"/>
      <c r="E69" s="132"/>
      <c r="F69" s="132"/>
      <c r="G69" s="132"/>
      <c r="H69" s="132"/>
      <c r="I69" s="132"/>
      <c r="J69" s="132"/>
      <c r="K69" s="132"/>
      <c r="L69" s="132"/>
      <c r="M69" s="132"/>
      <c r="N69" s="133"/>
    </row>
    <row r="70" spans="3:14" ht="35.1" customHeight="1" x14ac:dyDescent="0.25">
      <c r="C70" s="131"/>
      <c r="D70" s="132"/>
      <c r="E70" s="132"/>
      <c r="F70" s="132"/>
      <c r="G70" s="132"/>
      <c r="H70" s="132"/>
      <c r="I70" s="132"/>
      <c r="J70" s="132"/>
      <c r="K70" s="132"/>
      <c r="L70" s="132"/>
      <c r="M70" s="132"/>
      <c r="N70" s="133"/>
    </row>
    <row r="71" spans="3:14" ht="35.1" customHeight="1" x14ac:dyDescent="0.25">
      <c r="C71" s="131"/>
      <c r="D71" s="132"/>
      <c r="E71" s="132"/>
      <c r="F71" s="132"/>
      <c r="G71" s="132"/>
      <c r="H71" s="132"/>
      <c r="I71" s="132"/>
      <c r="J71" s="132"/>
      <c r="K71" s="132"/>
      <c r="L71" s="132"/>
      <c r="M71" s="132"/>
      <c r="N71" s="133"/>
    </row>
    <row r="72" spans="3:14" ht="35.1" customHeight="1" x14ac:dyDescent="0.25">
      <c r="C72" s="131"/>
      <c r="D72" s="132"/>
      <c r="E72" s="132"/>
      <c r="F72" s="132"/>
      <c r="G72" s="132"/>
      <c r="H72" s="132"/>
      <c r="I72" s="132"/>
      <c r="J72" s="132"/>
      <c r="K72" s="132"/>
      <c r="L72" s="132"/>
      <c r="M72" s="132"/>
      <c r="N72" s="133"/>
    </row>
    <row r="73" spans="3:14" ht="35.1" customHeight="1" x14ac:dyDescent="0.25">
      <c r="C73" s="131"/>
      <c r="D73" s="132"/>
      <c r="E73" s="132"/>
      <c r="F73" s="132"/>
      <c r="G73" s="132"/>
      <c r="H73" s="132"/>
      <c r="I73" s="132"/>
      <c r="J73" s="132"/>
      <c r="K73" s="132"/>
      <c r="L73" s="132"/>
      <c r="M73" s="132"/>
      <c r="N73" s="133"/>
    </row>
    <row r="74" spans="3:14" ht="35.1" customHeight="1" x14ac:dyDescent="0.25">
      <c r="C74" s="131"/>
      <c r="D74" s="132"/>
      <c r="E74" s="132"/>
      <c r="F74" s="132"/>
      <c r="G74" s="132"/>
      <c r="H74" s="132"/>
      <c r="I74" s="132"/>
      <c r="J74" s="132"/>
      <c r="K74" s="132"/>
      <c r="L74" s="132"/>
      <c r="M74" s="132"/>
      <c r="N74" s="133"/>
    </row>
    <row r="75" spans="3:14" ht="35.1" customHeight="1" x14ac:dyDescent="0.25">
      <c r="C75" s="131"/>
      <c r="D75" s="132"/>
      <c r="E75" s="132"/>
      <c r="F75" s="132"/>
      <c r="G75" s="132"/>
      <c r="H75" s="132"/>
      <c r="I75" s="132"/>
      <c r="J75" s="132"/>
      <c r="K75" s="132"/>
      <c r="L75" s="132"/>
      <c r="M75" s="132"/>
      <c r="N75" s="133"/>
    </row>
    <row r="76" spans="3:14" ht="35.1" customHeight="1" x14ac:dyDescent="0.25">
      <c r="C76" s="131"/>
      <c r="D76" s="132"/>
      <c r="E76" s="132"/>
      <c r="F76" s="132"/>
      <c r="G76" s="132"/>
      <c r="H76" s="132"/>
      <c r="I76" s="132"/>
      <c r="J76" s="132"/>
      <c r="K76" s="132"/>
      <c r="L76" s="132"/>
      <c r="M76" s="132"/>
      <c r="N76" s="133"/>
    </row>
    <row r="77" spans="3:14" ht="35.1" customHeight="1" x14ac:dyDescent="0.25">
      <c r="C77" s="131"/>
      <c r="D77" s="132"/>
      <c r="E77" s="132"/>
      <c r="F77" s="132"/>
      <c r="G77" s="132"/>
      <c r="H77" s="132"/>
      <c r="I77" s="132"/>
      <c r="J77" s="132"/>
      <c r="K77" s="132"/>
      <c r="L77" s="132"/>
      <c r="M77" s="132"/>
      <c r="N77" s="133"/>
    </row>
    <row r="78" spans="3:14" ht="35.1" customHeight="1" x14ac:dyDescent="0.25">
      <c r="C78" s="131"/>
      <c r="D78" s="132"/>
      <c r="E78" s="132"/>
      <c r="F78" s="132"/>
      <c r="G78" s="132"/>
      <c r="H78" s="132"/>
      <c r="I78" s="132"/>
      <c r="J78" s="132"/>
      <c r="K78" s="132"/>
      <c r="L78" s="132"/>
      <c r="M78" s="132"/>
      <c r="N78" s="133"/>
    </row>
    <row r="79" spans="3:14" ht="35.1" customHeight="1" x14ac:dyDescent="0.25">
      <c r="C79" s="131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3"/>
    </row>
    <row r="80" spans="3:14" ht="35.1" customHeight="1" x14ac:dyDescent="0.25">
      <c r="C80" s="131"/>
      <c r="D80" s="132"/>
      <c r="E80" s="132"/>
      <c r="F80" s="132"/>
      <c r="G80" s="132"/>
      <c r="H80" s="132"/>
      <c r="I80" s="132"/>
      <c r="J80" s="132"/>
      <c r="K80" s="132"/>
      <c r="L80" s="132"/>
      <c r="M80" s="132"/>
      <c r="N80" s="133"/>
    </row>
    <row r="81" spans="3:14" ht="35.1" customHeight="1" x14ac:dyDescent="0.25">
      <c r="C81" s="131"/>
      <c r="D81" s="132"/>
      <c r="E81" s="132"/>
      <c r="F81" s="132"/>
      <c r="G81" s="132"/>
      <c r="H81" s="132"/>
      <c r="I81" s="132"/>
      <c r="J81" s="132"/>
      <c r="K81" s="132"/>
      <c r="L81" s="132"/>
      <c r="M81" s="132"/>
      <c r="N81" s="133"/>
    </row>
    <row r="82" spans="3:14" ht="35.1" customHeight="1" x14ac:dyDescent="0.25">
      <c r="C82" s="131"/>
      <c r="D82" s="132"/>
      <c r="E82" s="132"/>
      <c r="F82" s="132"/>
      <c r="G82" s="132"/>
      <c r="H82" s="132"/>
      <c r="I82" s="132"/>
      <c r="J82" s="132"/>
      <c r="K82" s="132"/>
      <c r="L82" s="132"/>
      <c r="M82" s="132"/>
      <c r="N82" s="133"/>
    </row>
    <row r="83" spans="3:14" ht="35.1" customHeight="1" x14ac:dyDescent="0.25">
      <c r="C83" s="131"/>
      <c r="D83" s="132"/>
      <c r="E83" s="132"/>
      <c r="F83" s="132"/>
      <c r="G83" s="132"/>
      <c r="H83" s="132"/>
      <c r="I83" s="132"/>
      <c r="J83" s="132"/>
      <c r="K83" s="132"/>
      <c r="L83" s="132"/>
      <c r="M83" s="132"/>
      <c r="N83" s="133"/>
    </row>
    <row r="84" spans="3:14" ht="35.1" customHeight="1" x14ac:dyDescent="0.25">
      <c r="C84" s="131"/>
      <c r="D84" s="132"/>
      <c r="E84" s="132"/>
      <c r="F84" s="132"/>
      <c r="G84" s="132"/>
      <c r="H84" s="132"/>
      <c r="I84" s="132"/>
      <c r="J84" s="132"/>
      <c r="K84" s="132"/>
      <c r="L84" s="132"/>
      <c r="M84" s="132"/>
      <c r="N84" s="133"/>
    </row>
    <row r="85" spans="3:14" ht="35.1" customHeight="1" x14ac:dyDescent="0.25">
      <c r="C85" s="131"/>
      <c r="D85" s="132"/>
      <c r="E85" s="132"/>
      <c r="F85" s="132"/>
      <c r="G85" s="132"/>
      <c r="H85" s="132"/>
      <c r="I85" s="132"/>
      <c r="J85" s="132"/>
      <c r="K85" s="132"/>
      <c r="L85" s="132"/>
      <c r="M85" s="132"/>
      <c r="N85" s="133"/>
    </row>
    <row r="86" spans="3:14" ht="35.1" customHeight="1" x14ac:dyDescent="0.25">
      <c r="C86" s="131"/>
      <c r="D86" s="132"/>
      <c r="E86" s="132"/>
      <c r="F86" s="132"/>
      <c r="G86" s="132"/>
      <c r="H86" s="132"/>
      <c r="I86" s="132"/>
      <c r="J86" s="132"/>
      <c r="K86" s="132"/>
      <c r="L86" s="132"/>
      <c r="M86" s="132"/>
      <c r="N86" s="133"/>
    </row>
    <row r="87" spans="3:14" ht="35.1" customHeight="1" x14ac:dyDescent="0.25">
      <c r="C87" s="131"/>
      <c r="D87" s="132"/>
      <c r="E87" s="132"/>
      <c r="F87" s="132"/>
      <c r="G87" s="132"/>
      <c r="H87" s="132"/>
      <c r="I87" s="132"/>
      <c r="J87" s="132"/>
      <c r="K87" s="132"/>
      <c r="L87" s="132"/>
      <c r="M87" s="132"/>
      <c r="N87" s="133"/>
    </row>
    <row r="88" spans="3:14" ht="35.1" customHeight="1" x14ac:dyDescent="0.25">
      <c r="C88" s="131"/>
      <c r="D88" s="132"/>
      <c r="E88" s="132"/>
      <c r="F88" s="132"/>
      <c r="G88" s="132"/>
      <c r="H88" s="132"/>
      <c r="I88" s="132"/>
      <c r="J88" s="132"/>
      <c r="K88" s="132"/>
      <c r="L88" s="132"/>
      <c r="M88" s="132"/>
      <c r="N88" s="133"/>
    </row>
    <row r="89" spans="3:14" ht="35.1" customHeight="1" x14ac:dyDescent="0.25">
      <c r="C89" s="131"/>
      <c r="D89" s="132"/>
      <c r="E89" s="132"/>
      <c r="F89" s="132"/>
      <c r="G89" s="132"/>
      <c r="H89" s="132"/>
      <c r="I89" s="132"/>
      <c r="J89" s="132"/>
      <c r="K89" s="132"/>
      <c r="L89" s="132"/>
      <c r="M89" s="132"/>
      <c r="N89" s="133"/>
    </row>
    <row r="90" spans="3:14" ht="35.1" customHeight="1" x14ac:dyDescent="0.25">
      <c r="C90" s="131"/>
      <c r="D90" s="132"/>
      <c r="E90" s="132"/>
      <c r="F90" s="132"/>
      <c r="G90" s="132"/>
      <c r="H90" s="132"/>
      <c r="I90" s="132"/>
      <c r="J90" s="132"/>
      <c r="K90" s="132"/>
      <c r="L90" s="132"/>
      <c r="M90" s="132"/>
      <c r="N90" s="133"/>
    </row>
    <row r="91" spans="3:14" ht="35.1" customHeight="1" x14ac:dyDescent="0.25">
      <c r="C91" s="131"/>
      <c r="D91" s="132"/>
      <c r="E91" s="132"/>
      <c r="F91" s="132"/>
      <c r="G91" s="132"/>
      <c r="H91" s="132"/>
      <c r="I91" s="132"/>
      <c r="J91" s="132"/>
      <c r="K91" s="132"/>
      <c r="L91" s="132"/>
      <c r="M91" s="132"/>
      <c r="N91" s="133"/>
    </row>
    <row r="92" spans="3:14" ht="35.1" customHeight="1" x14ac:dyDescent="0.25">
      <c r="C92" s="131"/>
      <c r="D92" s="132"/>
      <c r="E92" s="132"/>
      <c r="F92" s="132"/>
      <c r="G92" s="132"/>
      <c r="H92" s="132"/>
      <c r="I92" s="132"/>
      <c r="J92" s="132"/>
      <c r="K92" s="132"/>
      <c r="L92" s="132"/>
      <c r="M92" s="132"/>
      <c r="N92" s="133"/>
    </row>
    <row r="93" spans="3:14" ht="35.1" customHeight="1" x14ac:dyDescent="0.25">
      <c r="C93" s="131"/>
      <c r="D93" s="132"/>
      <c r="E93" s="132"/>
      <c r="F93" s="132"/>
      <c r="G93" s="132"/>
      <c r="H93" s="132"/>
      <c r="I93" s="132"/>
      <c r="J93" s="132"/>
      <c r="K93" s="132"/>
      <c r="L93" s="132"/>
      <c r="M93" s="132"/>
      <c r="N93" s="133"/>
    </row>
    <row r="94" spans="3:14" ht="35.1" customHeight="1" x14ac:dyDescent="0.25">
      <c r="C94" s="131"/>
      <c r="D94" s="132"/>
      <c r="E94" s="132"/>
      <c r="F94" s="132"/>
      <c r="G94" s="132"/>
      <c r="H94" s="132"/>
      <c r="I94" s="132"/>
      <c r="J94" s="132"/>
      <c r="K94" s="132"/>
      <c r="L94" s="132"/>
      <c r="M94" s="132"/>
      <c r="N94" s="25"/>
    </row>
    <row r="95" spans="3:14" ht="35.1" customHeight="1" x14ac:dyDescent="0.25">
      <c r="C95" s="131"/>
      <c r="D95" s="132"/>
      <c r="E95" s="132"/>
      <c r="F95" s="132"/>
      <c r="G95" s="132"/>
      <c r="H95" s="132"/>
      <c r="I95" s="132"/>
      <c r="J95" s="132"/>
      <c r="K95" s="132"/>
      <c r="L95" s="132"/>
      <c r="M95" s="132"/>
      <c r="N95" s="25"/>
    </row>
    <row r="96" spans="3:14" ht="35.1" customHeight="1" x14ac:dyDescent="0.25">
      <c r="C96" s="131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25"/>
    </row>
    <row r="97" spans="3:14" ht="35.1" customHeight="1" x14ac:dyDescent="0.25">
      <c r="C97" s="131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25"/>
    </row>
    <row r="98" spans="3:14" ht="35.1" customHeight="1" x14ac:dyDescent="0.25">
      <c r="C98" s="131"/>
      <c r="D98" s="132"/>
      <c r="E98" s="132"/>
      <c r="F98" s="132"/>
      <c r="G98" s="132"/>
      <c r="H98" s="132"/>
      <c r="I98" s="132"/>
      <c r="J98" s="132"/>
      <c r="K98" s="132"/>
      <c r="L98" s="132"/>
      <c r="M98" s="132"/>
      <c r="N98" s="25"/>
    </row>
    <row r="99" spans="3:14" ht="35.1" customHeight="1" x14ac:dyDescent="0.25">
      <c r="C99" s="131"/>
      <c r="D99" s="132"/>
      <c r="E99" s="132"/>
      <c r="F99" s="132"/>
      <c r="G99" s="132"/>
      <c r="H99" s="132"/>
      <c r="I99" s="132"/>
      <c r="J99" s="132"/>
      <c r="K99" s="132"/>
      <c r="L99" s="132"/>
      <c r="M99" s="132"/>
      <c r="N99" s="25"/>
    </row>
    <row r="100" spans="3:14" ht="35.1" customHeight="1" x14ac:dyDescent="0.25">
      <c r="C100" s="131"/>
      <c r="D100" s="132"/>
      <c r="E100" s="132"/>
      <c r="F100" s="132"/>
      <c r="G100" s="132"/>
      <c r="H100" s="132"/>
      <c r="I100" s="132"/>
      <c r="J100" s="132"/>
      <c r="K100" s="132"/>
      <c r="L100" s="132"/>
      <c r="M100" s="132"/>
      <c r="N100" s="25"/>
    </row>
    <row r="101" spans="3:14" ht="35.1" customHeight="1" x14ac:dyDescent="0.25">
      <c r="C101" s="131"/>
      <c r="D101" s="132"/>
      <c r="E101" s="132"/>
      <c r="F101" s="132"/>
      <c r="G101" s="132"/>
      <c r="H101" s="132"/>
      <c r="I101" s="132"/>
      <c r="J101" s="132"/>
      <c r="K101" s="132"/>
      <c r="L101" s="132"/>
      <c r="M101" s="132"/>
      <c r="N101" s="25"/>
    </row>
    <row r="102" spans="3:14" ht="35.1" customHeight="1" x14ac:dyDescent="0.25">
      <c r="C102" s="131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  <c r="N102" s="25"/>
    </row>
    <row r="103" spans="3:14" ht="35.1" customHeight="1" x14ac:dyDescent="0.25">
      <c r="C103" s="131"/>
      <c r="D103" s="132"/>
      <c r="E103" s="132"/>
      <c r="F103" s="132"/>
      <c r="G103" s="132"/>
      <c r="H103" s="132"/>
      <c r="I103" s="132"/>
      <c r="J103" s="132"/>
      <c r="K103" s="132"/>
      <c r="L103" s="132"/>
      <c r="M103" s="132"/>
      <c r="N103" s="25"/>
    </row>
    <row r="104" spans="3:14" ht="35.1" customHeight="1" x14ac:dyDescent="0.25">
      <c r="C104" s="131"/>
      <c r="D104" s="132"/>
      <c r="E104" s="132"/>
      <c r="F104" s="132"/>
      <c r="G104" s="132"/>
      <c r="H104" s="132"/>
      <c r="I104" s="132"/>
      <c r="J104" s="132"/>
      <c r="K104" s="132"/>
      <c r="L104" s="132"/>
      <c r="M104" s="132"/>
      <c r="N104" s="25"/>
    </row>
    <row r="105" spans="3:14" ht="35.1" customHeight="1" x14ac:dyDescent="0.25">
      <c r="C105" s="131"/>
      <c r="D105" s="132"/>
      <c r="E105" s="132"/>
      <c r="F105" s="132"/>
      <c r="G105" s="132"/>
      <c r="H105" s="132"/>
      <c r="I105" s="132"/>
      <c r="J105" s="132"/>
      <c r="K105" s="132"/>
      <c r="L105" s="132"/>
      <c r="M105" s="132"/>
      <c r="N105" s="25"/>
    </row>
    <row r="106" spans="3:14" ht="35.1" customHeight="1" x14ac:dyDescent="0.25">
      <c r="C106" s="131"/>
      <c r="D106" s="132"/>
      <c r="E106" s="132"/>
      <c r="F106" s="132"/>
      <c r="G106" s="132"/>
      <c r="H106" s="132"/>
      <c r="I106" s="132"/>
      <c r="J106" s="132"/>
      <c r="K106" s="132"/>
      <c r="L106" s="132"/>
      <c r="M106" s="132"/>
      <c r="N106" s="25"/>
    </row>
    <row r="107" spans="3:14" ht="35.1" customHeight="1" x14ac:dyDescent="0.25">
      <c r="C107" s="131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  <c r="N107" s="25"/>
    </row>
    <row r="108" spans="3:14" ht="35.1" customHeight="1" x14ac:dyDescent="0.25">
      <c r="C108" s="131"/>
      <c r="D108" s="132"/>
      <c r="E108" s="132"/>
      <c r="F108" s="132"/>
      <c r="G108" s="132"/>
      <c r="H108" s="132"/>
      <c r="I108" s="132"/>
      <c r="J108" s="132"/>
      <c r="K108" s="132"/>
      <c r="L108" s="132"/>
      <c r="M108" s="132"/>
      <c r="N108" s="25"/>
    </row>
    <row r="109" spans="3:14" ht="35.1" customHeight="1" x14ac:dyDescent="0.25">
      <c r="C109" s="131"/>
      <c r="D109" s="132"/>
      <c r="E109" s="132"/>
      <c r="F109" s="132"/>
      <c r="G109" s="132"/>
      <c r="H109" s="132"/>
      <c r="I109" s="132"/>
      <c r="J109" s="132"/>
      <c r="K109" s="132"/>
      <c r="L109" s="132"/>
      <c r="M109" s="132"/>
      <c r="N109" s="25"/>
    </row>
    <row r="110" spans="3:14" ht="35.1" customHeight="1" x14ac:dyDescent="0.25">
      <c r="C110" s="131"/>
      <c r="D110" s="132"/>
      <c r="E110" s="132"/>
      <c r="F110" s="132"/>
      <c r="G110" s="132"/>
      <c r="H110" s="132"/>
      <c r="I110" s="132"/>
      <c r="J110" s="132"/>
      <c r="K110" s="132"/>
      <c r="L110" s="132"/>
      <c r="M110" s="132"/>
      <c r="N110" s="25"/>
    </row>
    <row r="111" spans="3:14" ht="35.1" customHeight="1" x14ac:dyDescent="0.25">
      <c r="C111" s="131"/>
      <c r="D111" s="132"/>
      <c r="E111" s="132"/>
      <c r="F111" s="132"/>
      <c r="G111" s="132"/>
      <c r="H111" s="132"/>
      <c r="I111" s="132"/>
      <c r="J111" s="132"/>
      <c r="K111" s="132"/>
      <c r="L111" s="132"/>
      <c r="M111" s="132"/>
      <c r="N111" s="25"/>
    </row>
    <row r="112" spans="3:14" ht="35.1" customHeight="1" x14ac:dyDescent="0.25">
      <c r="C112" s="13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5"/>
    </row>
    <row r="113" spans="3:14" ht="35.1" customHeight="1" x14ac:dyDescent="0.25">
      <c r="C113" s="13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5"/>
    </row>
    <row r="114" spans="3:14" ht="35.1" customHeight="1" x14ac:dyDescent="0.25">
      <c r="C114" s="13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5"/>
    </row>
    <row r="115" spans="3:14" ht="35.1" customHeight="1" thickBot="1" x14ac:dyDescent="0.3">
      <c r="C115" s="14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27"/>
    </row>
    <row r="116" spans="3:14" ht="31.35" customHeight="1" x14ac:dyDescent="0.25">
      <c r="C116" s="134"/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6"/>
    </row>
    <row r="117" spans="3:14" ht="9.75" hidden="1" customHeight="1" x14ac:dyDescent="0.25"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</row>
    <row r="118" spans="3:14" ht="21" customHeight="1" thickBot="1" x14ac:dyDescent="0.3">
      <c r="C118" s="137" t="s">
        <v>20</v>
      </c>
      <c r="D118" s="138"/>
      <c r="E118" s="138"/>
      <c r="F118" s="138"/>
      <c r="G118" s="138"/>
      <c r="H118" s="138"/>
      <c r="I118" s="7"/>
      <c r="J118" s="138" t="s">
        <v>21</v>
      </c>
      <c r="K118" s="138"/>
      <c r="L118" s="7"/>
      <c r="M118" s="8" t="s">
        <v>22</v>
      </c>
      <c r="N118" s="9"/>
    </row>
    <row r="119" spans="3:14" ht="24" customHeight="1" thickBot="1" x14ac:dyDescent="0.3">
      <c r="C119" s="125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7"/>
    </row>
    <row r="120" spans="3:14" ht="15.75" x14ac:dyDescent="0.25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</sheetData>
  <mergeCells count="11">
    <mergeCell ref="C1:N1"/>
    <mergeCell ref="C2:N2"/>
    <mergeCell ref="C3:H3"/>
    <mergeCell ref="L3:M3"/>
    <mergeCell ref="C119:N119"/>
    <mergeCell ref="C4:N93"/>
    <mergeCell ref="C116:N116"/>
    <mergeCell ref="C118:H118"/>
    <mergeCell ref="J118:K118"/>
    <mergeCell ref="C94:M102"/>
    <mergeCell ref="C103:M111"/>
  </mergeCells>
  <printOptions horizontalCentered="1" verticalCentered="1"/>
  <pageMargins left="0" right="0" top="0" bottom="0" header="0" footer="0"/>
  <pageSetup paperSize="9" scale="44" orientation="landscape" r:id="rId1"/>
  <headerFooter scaleWithDoc="0" alignWithMargins="0">
    <firstFooter>&amp;RPage :1 of 2</firstFooter>
  </headerFooter>
  <rowBreaks count="2" manualBreakCount="2">
    <brk id="35" min="2" max="14" man="1"/>
    <brk id="67" min="2" max="1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N132"/>
  <sheetViews>
    <sheetView view="pageBreakPreview" topLeftCell="A118" zoomScale="55" zoomScaleNormal="85" zoomScaleSheetLayoutView="55" workbookViewId="0">
      <selection activeCell="J88" sqref="J88"/>
    </sheetView>
  </sheetViews>
  <sheetFormatPr defaultRowHeight="15" x14ac:dyDescent="0.25"/>
  <cols>
    <col min="1" max="1" width="1" customWidth="1"/>
    <col min="2" max="2" width="7.5703125" customWidth="1"/>
    <col min="3" max="3" width="20.42578125" customWidth="1"/>
    <col min="4" max="6" width="4.140625" customWidth="1"/>
    <col min="7" max="7" width="25.140625" customWidth="1"/>
    <col min="8" max="8" width="50" customWidth="1"/>
    <col min="9" max="9" width="39.5703125" customWidth="1"/>
    <col min="10" max="10" width="34.85546875" customWidth="1"/>
    <col min="11" max="11" width="26.5703125" customWidth="1"/>
    <col min="12" max="12" width="34.28515625" customWidth="1"/>
    <col min="13" max="13" width="18.140625" customWidth="1"/>
    <col min="14" max="14" width="43.5703125" customWidth="1"/>
    <col min="15" max="15" width="6.85546875" customWidth="1"/>
  </cols>
  <sheetData>
    <row r="1" spans="2:14" ht="55.5" customHeight="1" thickBot="1" x14ac:dyDescent="0.3">
      <c r="B1" s="118" t="s">
        <v>0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20"/>
    </row>
    <row r="2" spans="2:14" ht="28.35" customHeight="1" x14ac:dyDescent="0.25">
      <c r="B2" s="139" t="s">
        <v>1</v>
      </c>
      <c r="C2" s="140"/>
      <c r="D2" s="140"/>
      <c r="E2" s="140"/>
      <c r="F2" s="140"/>
      <c r="G2" s="141"/>
      <c r="H2" s="141"/>
      <c r="I2" s="141"/>
      <c r="J2" s="141"/>
      <c r="K2" s="141"/>
      <c r="L2" s="141"/>
      <c r="M2" s="141"/>
      <c r="N2" s="142"/>
    </row>
    <row r="3" spans="2:14" ht="15.95" customHeight="1" x14ac:dyDescent="0.25">
      <c r="B3" s="78" t="s">
        <v>2</v>
      </c>
      <c r="C3" s="79"/>
      <c r="D3" s="79"/>
      <c r="E3" s="79"/>
      <c r="F3" s="79"/>
      <c r="G3" s="80"/>
      <c r="H3" s="31" t="s">
        <v>228</v>
      </c>
      <c r="I3" s="10" t="s">
        <v>208</v>
      </c>
      <c r="J3" s="30" t="s">
        <v>265</v>
      </c>
      <c r="K3" s="91" t="s">
        <v>209</v>
      </c>
      <c r="L3" s="80"/>
      <c r="M3" s="91" t="s">
        <v>210</v>
      </c>
      <c r="N3" s="80"/>
    </row>
    <row r="4" spans="2:14" ht="21" customHeight="1" x14ac:dyDescent="0.25">
      <c r="B4" s="84" t="s">
        <v>3</v>
      </c>
      <c r="C4" s="82"/>
      <c r="D4" s="82"/>
      <c r="E4" s="82"/>
      <c r="F4" s="82"/>
      <c r="G4" s="70"/>
      <c r="H4" s="30" t="s">
        <v>4</v>
      </c>
      <c r="I4" s="11" t="s">
        <v>211</v>
      </c>
      <c r="J4" s="30">
        <v>0</v>
      </c>
      <c r="K4" s="81" t="s">
        <v>212</v>
      </c>
      <c r="L4" s="82"/>
      <c r="M4" s="70" t="s">
        <v>221</v>
      </c>
      <c r="N4" s="83"/>
    </row>
    <row r="5" spans="2:14" ht="21" customHeight="1" x14ac:dyDescent="0.25">
      <c r="B5" s="85" t="s">
        <v>5</v>
      </c>
      <c r="C5" s="80"/>
      <c r="D5" s="80"/>
      <c r="E5" s="80"/>
      <c r="F5" s="80"/>
      <c r="G5" s="86"/>
      <c r="H5" s="31" t="s">
        <v>23</v>
      </c>
      <c r="I5" s="11" t="s">
        <v>213</v>
      </c>
      <c r="J5" s="30" t="s">
        <v>223</v>
      </c>
      <c r="K5" s="87" t="s">
        <v>6</v>
      </c>
      <c r="L5" s="88"/>
      <c r="M5" s="89" t="s">
        <v>7</v>
      </c>
      <c r="N5" s="90"/>
    </row>
    <row r="6" spans="2:14" ht="56.25" customHeight="1" x14ac:dyDescent="0.25">
      <c r="B6" s="5" t="s">
        <v>216</v>
      </c>
      <c r="C6" s="5" t="s">
        <v>8</v>
      </c>
      <c r="D6" s="144" t="s">
        <v>9</v>
      </c>
      <c r="E6" s="144"/>
      <c r="F6" s="144"/>
      <c r="G6" s="144"/>
      <c r="H6" s="4" t="s">
        <v>10</v>
      </c>
      <c r="I6" s="32" t="s">
        <v>11</v>
      </c>
      <c r="J6" s="32" t="s">
        <v>12</v>
      </c>
      <c r="K6" s="4" t="s">
        <v>13</v>
      </c>
      <c r="L6" s="4" t="s">
        <v>14</v>
      </c>
      <c r="M6" s="4" t="s">
        <v>13</v>
      </c>
      <c r="N6" s="6" t="s">
        <v>14</v>
      </c>
    </row>
    <row r="7" spans="2:14" ht="40.5" customHeight="1" x14ac:dyDescent="0.25">
      <c r="B7" s="12">
        <v>1</v>
      </c>
      <c r="C7" s="18" t="s">
        <v>119</v>
      </c>
      <c r="D7" s="143" t="s">
        <v>31</v>
      </c>
      <c r="E7" s="143"/>
      <c r="F7" s="143"/>
      <c r="G7" s="143"/>
      <c r="H7" s="28" t="s">
        <v>214</v>
      </c>
      <c r="I7" s="28" t="s">
        <v>32</v>
      </c>
      <c r="J7" s="28">
        <v>980</v>
      </c>
      <c r="K7" s="19">
        <v>5</v>
      </c>
      <c r="L7" s="28" t="s">
        <v>34</v>
      </c>
      <c r="M7" s="19">
        <v>10</v>
      </c>
      <c r="N7" s="20" t="s">
        <v>38</v>
      </c>
    </row>
    <row r="8" spans="2:14" ht="40.5" customHeight="1" x14ac:dyDescent="0.25">
      <c r="B8" s="12">
        <v>2</v>
      </c>
      <c r="C8" s="18" t="s">
        <v>120</v>
      </c>
      <c r="D8" s="143" t="s">
        <v>31</v>
      </c>
      <c r="E8" s="143"/>
      <c r="F8" s="143"/>
      <c r="G8" s="143"/>
      <c r="H8" s="28" t="s">
        <v>214</v>
      </c>
      <c r="I8" s="28" t="s">
        <v>33</v>
      </c>
      <c r="J8" s="28">
        <v>1200</v>
      </c>
      <c r="K8" s="33">
        <v>10</v>
      </c>
      <c r="L8" s="20" t="s">
        <v>39</v>
      </c>
      <c r="M8" s="19">
        <v>5</v>
      </c>
      <c r="N8" s="22" t="s">
        <v>34</v>
      </c>
    </row>
    <row r="9" spans="2:14" ht="40.5" customHeight="1" x14ac:dyDescent="0.25">
      <c r="B9" s="12">
        <v>3</v>
      </c>
      <c r="C9" s="18" t="s">
        <v>225</v>
      </c>
      <c r="D9" s="143" t="s">
        <v>24</v>
      </c>
      <c r="E9" s="143"/>
      <c r="F9" s="143"/>
      <c r="G9" s="143"/>
      <c r="H9" s="28" t="s">
        <v>222</v>
      </c>
      <c r="I9" s="28" t="s">
        <v>100</v>
      </c>
      <c r="J9" s="28">
        <v>1810</v>
      </c>
      <c r="K9" s="19">
        <v>2</v>
      </c>
      <c r="L9" s="28" t="s">
        <v>37</v>
      </c>
      <c r="M9" s="19">
        <v>3.5</v>
      </c>
      <c r="N9" s="20" t="s">
        <v>92</v>
      </c>
    </row>
    <row r="10" spans="2:14" ht="40.5" customHeight="1" x14ac:dyDescent="0.25">
      <c r="B10" s="12">
        <v>4</v>
      </c>
      <c r="C10" s="18" t="s">
        <v>121</v>
      </c>
      <c r="D10" s="143" t="s">
        <v>35</v>
      </c>
      <c r="E10" s="143"/>
      <c r="F10" s="143"/>
      <c r="G10" s="143"/>
      <c r="H10" s="28" t="s">
        <v>215</v>
      </c>
      <c r="I10" s="28" t="s">
        <v>29</v>
      </c>
      <c r="J10" s="28">
        <v>2650</v>
      </c>
      <c r="K10" s="33">
        <v>3</v>
      </c>
      <c r="L10" s="28" t="s">
        <v>36</v>
      </c>
      <c r="M10" s="19">
        <v>3</v>
      </c>
      <c r="N10" s="22">
        <v>39000040</v>
      </c>
    </row>
    <row r="11" spans="2:14" ht="40.5" customHeight="1" x14ac:dyDescent="0.25">
      <c r="B11" s="12">
        <v>5</v>
      </c>
      <c r="C11" s="18" t="s">
        <v>122</v>
      </c>
      <c r="D11" s="143" t="s">
        <v>31</v>
      </c>
      <c r="E11" s="143"/>
      <c r="F11" s="143"/>
      <c r="G11" s="143"/>
      <c r="H11" s="28" t="s">
        <v>214</v>
      </c>
      <c r="I11" s="28" t="s">
        <v>32</v>
      </c>
      <c r="J11" s="28">
        <v>625</v>
      </c>
      <c r="K11" s="19">
        <v>3</v>
      </c>
      <c r="L11" s="22">
        <v>39000040</v>
      </c>
      <c r="M11" s="19">
        <v>10</v>
      </c>
      <c r="N11" s="20" t="s">
        <v>200</v>
      </c>
    </row>
    <row r="12" spans="2:14" ht="40.5" customHeight="1" x14ac:dyDescent="0.25">
      <c r="B12" s="12">
        <v>6</v>
      </c>
      <c r="C12" s="18" t="s">
        <v>123</v>
      </c>
      <c r="D12" s="143" t="s">
        <v>24</v>
      </c>
      <c r="E12" s="143"/>
      <c r="F12" s="143"/>
      <c r="G12" s="143"/>
      <c r="H12" s="28" t="s">
        <v>222</v>
      </c>
      <c r="I12" s="28" t="s">
        <v>15</v>
      </c>
      <c r="J12" s="28">
        <v>1610</v>
      </c>
      <c r="K12" s="19">
        <v>2</v>
      </c>
      <c r="L12" s="28" t="s">
        <v>37</v>
      </c>
      <c r="M12" s="19">
        <v>7</v>
      </c>
      <c r="N12" s="20" t="s">
        <v>201</v>
      </c>
    </row>
    <row r="13" spans="2:14" ht="40.5" customHeight="1" x14ac:dyDescent="0.25">
      <c r="B13" s="12">
        <v>7</v>
      </c>
      <c r="C13" s="18" t="s">
        <v>124</v>
      </c>
      <c r="D13" s="143" t="s">
        <v>24</v>
      </c>
      <c r="E13" s="143"/>
      <c r="F13" s="143"/>
      <c r="G13" s="143"/>
      <c r="H13" s="28" t="s">
        <v>222</v>
      </c>
      <c r="I13" s="28" t="s">
        <v>33</v>
      </c>
      <c r="J13" s="28">
        <v>650</v>
      </c>
      <c r="K13" s="19">
        <v>3</v>
      </c>
      <c r="L13" s="28">
        <v>39000048</v>
      </c>
      <c r="M13" s="19">
        <v>7</v>
      </c>
      <c r="N13" s="20" t="s">
        <v>202</v>
      </c>
    </row>
    <row r="14" spans="2:14" ht="40.5" customHeight="1" x14ac:dyDescent="0.25">
      <c r="B14" s="12">
        <v>8</v>
      </c>
      <c r="C14" s="18" t="s">
        <v>125</v>
      </c>
      <c r="D14" s="143" t="s">
        <v>24</v>
      </c>
      <c r="E14" s="143"/>
      <c r="F14" s="143"/>
      <c r="G14" s="143"/>
      <c r="H14" s="28" t="s">
        <v>222</v>
      </c>
      <c r="I14" s="28" t="s">
        <v>15</v>
      </c>
      <c r="J14" s="28">
        <f>1400+10</f>
        <v>1410</v>
      </c>
      <c r="K14" s="19">
        <v>2</v>
      </c>
      <c r="L14" s="28" t="s">
        <v>40</v>
      </c>
      <c r="M14" s="19">
        <v>3</v>
      </c>
      <c r="N14" s="22">
        <v>39000048</v>
      </c>
    </row>
    <row r="15" spans="2:14" ht="40.5" customHeight="1" x14ac:dyDescent="0.25">
      <c r="B15" s="12">
        <v>9</v>
      </c>
      <c r="C15" s="18" t="s">
        <v>126</v>
      </c>
      <c r="D15" s="143" t="s">
        <v>24</v>
      </c>
      <c r="E15" s="143"/>
      <c r="F15" s="143"/>
      <c r="G15" s="143"/>
      <c r="H15" s="28" t="s">
        <v>222</v>
      </c>
      <c r="I15" s="28" t="s">
        <v>17</v>
      </c>
      <c r="J15" s="28">
        <f>1400+10</f>
        <v>1410</v>
      </c>
      <c r="K15" s="19">
        <v>3</v>
      </c>
      <c r="L15" s="28">
        <v>39000048</v>
      </c>
      <c r="M15" s="19">
        <v>2</v>
      </c>
      <c r="N15" s="20" t="s">
        <v>40</v>
      </c>
    </row>
    <row r="16" spans="2:14" ht="40.5" customHeight="1" x14ac:dyDescent="0.25">
      <c r="B16" s="12">
        <v>10</v>
      </c>
      <c r="C16" s="18" t="s">
        <v>127</v>
      </c>
      <c r="D16" s="143" t="s">
        <v>35</v>
      </c>
      <c r="E16" s="143"/>
      <c r="F16" s="143"/>
      <c r="G16" s="143"/>
      <c r="H16" s="28" t="s">
        <v>215</v>
      </c>
      <c r="I16" s="28" t="s">
        <v>16</v>
      </c>
      <c r="J16" s="28">
        <v>1230</v>
      </c>
      <c r="K16" s="33">
        <v>3.5</v>
      </c>
      <c r="L16" s="28" t="s">
        <v>36</v>
      </c>
      <c r="M16" s="19">
        <v>7</v>
      </c>
      <c r="N16" s="20" t="s">
        <v>41</v>
      </c>
    </row>
    <row r="17" spans="2:14" ht="40.5" customHeight="1" x14ac:dyDescent="0.25">
      <c r="B17" s="12">
        <v>11</v>
      </c>
      <c r="C17" s="18" t="s">
        <v>217</v>
      </c>
      <c r="D17" s="143" t="s">
        <v>24</v>
      </c>
      <c r="E17" s="143"/>
      <c r="F17" s="143"/>
      <c r="G17" s="143"/>
      <c r="H17" s="28" t="s">
        <v>222</v>
      </c>
      <c r="I17" s="28" t="s">
        <v>17</v>
      </c>
      <c r="J17" s="34">
        <v>830</v>
      </c>
      <c r="K17" s="19">
        <v>2</v>
      </c>
      <c r="L17" s="28" t="s">
        <v>40</v>
      </c>
      <c r="M17" s="19">
        <v>7</v>
      </c>
      <c r="N17" s="20" t="s">
        <v>229</v>
      </c>
    </row>
    <row r="18" spans="2:14" ht="40.5" customHeight="1" x14ac:dyDescent="0.25">
      <c r="B18" s="12">
        <v>12</v>
      </c>
      <c r="C18" s="18" t="s">
        <v>128</v>
      </c>
      <c r="D18" s="143" t="s">
        <v>24</v>
      </c>
      <c r="E18" s="143"/>
      <c r="F18" s="143"/>
      <c r="G18" s="143"/>
      <c r="H18" s="28" t="s">
        <v>222</v>
      </c>
      <c r="I18" s="28" t="s">
        <v>27</v>
      </c>
      <c r="J18" s="28">
        <f>1320+5</f>
        <v>1325</v>
      </c>
      <c r="K18" s="19">
        <v>3</v>
      </c>
      <c r="L18" s="28">
        <v>39000048</v>
      </c>
      <c r="M18" s="19">
        <v>2</v>
      </c>
      <c r="N18" s="22">
        <v>561349000</v>
      </c>
    </row>
    <row r="19" spans="2:14" ht="40.5" customHeight="1" x14ac:dyDescent="0.25">
      <c r="B19" s="12">
        <v>13</v>
      </c>
      <c r="C19" s="18" t="s">
        <v>129</v>
      </c>
      <c r="D19" s="143" t="s">
        <v>31</v>
      </c>
      <c r="E19" s="143"/>
      <c r="F19" s="143"/>
      <c r="G19" s="143"/>
      <c r="H19" s="28" t="s">
        <v>214</v>
      </c>
      <c r="I19" s="28" t="s">
        <v>32</v>
      </c>
      <c r="J19" s="28">
        <v>950</v>
      </c>
      <c r="K19" s="33">
        <v>3.5</v>
      </c>
      <c r="L19" s="28" t="s">
        <v>42</v>
      </c>
      <c r="M19" s="33">
        <v>10</v>
      </c>
      <c r="N19" s="20" t="s">
        <v>43</v>
      </c>
    </row>
    <row r="20" spans="2:14" ht="40.5" customHeight="1" x14ac:dyDescent="0.25">
      <c r="B20" s="12">
        <v>14</v>
      </c>
      <c r="C20" s="18" t="s">
        <v>130</v>
      </c>
      <c r="D20" s="143" t="s">
        <v>35</v>
      </c>
      <c r="E20" s="143"/>
      <c r="F20" s="143"/>
      <c r="G20" s="143"/>
      <c r="H20" s="28" t="s">
        <v>215</v>
      </c>
      <c r="I20" s="28" t="s">
        <v>28</v>
      </c>
      <c r="J20" s="28">
        <f>2590+10</f>
        <v>2600</v>
      </c>
      <c r="K20" s="19">
        <v>3</v>
      </c>
      <c r="L20" s="28" t="s">
        <v>36</v>
      </c>
      <c r="M20" s="19">
        <v>3</v>
      </c>
      <c r="N20" s="22">
        <v>39000048</v>
      </c>
    </row>
    <row r="21" spans="2:14" ht="40.5" customHeight="1" x14ac:dyDescent="0.25">
      <c r="B21" s="12">
        <v>15</v>
      </c>
      <c r="C21" s="18" t="s">
        <v>131</v>
      </c>
      <c r="D21" s="143" t="s">
        <v>24</v>
      </c>
      <c r="E21" s="143"/>
      <c r="F21" s="143"/>
      <c r="G21" s="143"/>
      <c r="H21" s="28" t="s">
        <v>222</v>
      </c>
      <c r="I21" s="28" t="s">
        <v>44</v>
      </c>
      <c r="J21" s="28">
        <v>1400</v>
      </c>
      <c r="K21" s="19">
        <v>2</v>
      </c>
      <c r="L21" s="28" t="s">
        <v>40</v>
      </c>
      <c r="M21" s="19">
        <v>3</v>
      </c>
      <c r="N21" s="22">
        <v>39000048</v>
      </c>
    </row>
    <row r="22" spans="2:14" ht="40.5" customHeight="1" x14ac:dyDescent="0.25">
      <c r="B22" s="12">
        <v>16</v>
      </c>
      <c r="C22" s="18" t="s">
        <v>132</v>
      </c>
      <c r="D22" s="143" t="s">
        <v>31</v>
      </c>
      <c r="E22" s="143"/>
      <c r="F22" s="143"/>
      <c r="G22" s="143"/>
      <c r="H22" s="28" t="s">
        <v>214</v>
      </c>
      <c r="I22" s="28" t="s">
        <v>19</v>
      </c>
      <c r="J22" s="28">
        <v>1120</v>
      </c>
      <c r="K22" s="33">
        <v>3.5</v>
      </c>
      <c r="L22" s="28" t="s">
        <v>42</v>
      </c>
      <c r="M22" s="33">
        <v>4.8</v>
      </c>
      <c r="N22" s="20" t="s">
        <v>45</v>
      </c>
    </row>
    <row r="23" spans="2:14" ht="40.5" customHeight="1" x14ac:dyDescent="0.25">
      <c r="B23" s="12">
        <v>17</v>
      </c>
      <c r="C23" s="18" t="s">
        <v>133</v>
      </c>
      <c r="D23" s="143" t="s">
        <v>24</v>
      </c>
      <c r="E23" s="143"/>
      <c r="F23" s="143"/>
      <c r="G23" s="143"/>
      <c r="H23" s="28" t="s">
        <v>222</v>
      </c>
      <c r="I23" s="28" t="s">
        <v>46</v>
      </c>
      <c r="J23" s="28">
        <f>660+5</f>
        <v>665</v>
      </c>
      <c r="K23" s="19">
        <v>7</v>
      </c>
      <c r="L23" s="21" t="s">
        <v>203</v>
      </c>
      <c r="M23" s="19">
        <v>3</v>
      </c>
      <c r="N23" s="22">
        <v>39000048</v>
      </c>
    </row>
    <row r="24" spans="2:14" ht="40.5" customHeight="1" x14ac:dyDescent="0.25">
      <c r="B24" s="12">
        <v>18</v>
      </c>
      <c r="C24" s="18" t="s">
        <v>134</v>
      </c>
      <c r="D24" s="143" t="s">
        <v>24</v>
      </c>
      <c r="E24" s="143"/>
      <c r="F24" s="143"/>
      <c r="G24" s="143"/>
      <c r="H24" s="28" t="s">
        <v>222</v>
      </c>
      <c r="I24" s="28" t="s">
        <v>30</v>
      </c>
      <c r="J24" s="28">
        <f>1320-15</f>
        <v>1305</v>
      </c>
      <c r="K24" s="19">
        <v>3</v>
      </c>
      <c r="L24" s="28" t="s">
        <v>48</v>
      </c>
      <c r="M24" s="19">
        <v>2</v>
      </c>
      <c r="N24" s="22" t="s">
        <v>40</v>
      </c>
    </row>
    <row r="25" spans="2:14" ht="40.5" customHeight="1" x14ac:dyDescent="0.25">
      <c r="B25" s="12">
        <v>19</v>
      </c>
      <c r="C25" s="18" t="s">
        <v>135</v>
      </c>
      <c r="D25" s="143" t="s">
        <v>24</v>
      </c>
      <c r="E25" s="143"/>
      <c r="F25" s="143"/>
      <c r="G25" s="143"/>
      <c r="H25" s="28" t="s">
        <v>222</v>
      </c>
      <c r="I25" s="28" t="s">
        <v>47</v>
      </c>
      <c r="J25" s="28">
        <v>1305</v>
      </c>
      <c r="K25" s="19">
        <v>3</v>
      </c>
      <c r="L25" s="28" t="s">
        <v>48</v>
      </c>
      <c r="M25" s="19">
        <v>2</v>
      </c>
      <c r="N25" s="22" t="s">
        <v>40</v>
      </c>
    </row>
    <row r="26" spans="2:14" ht="40.5" customHeight="1" x14ac:dyDescent="0.25">
      <c r="B26" s="12">
        <v>20</v>
      </c>
      <c r="C26" s="18" t="s">
        <v>136</v>
      </c>
      <c r="D26" s="143" t="s">
        <v>35</v>
      </c>
      <c r="E26" s="143"/>
      <c r="F26" s="143"/>
      <c r="G26" s="143"/>
      <c r="H26" s="28" t="s">
        <v>215</v>
      </c>
      <c r="I26" s="28" t="s">
        <v>18</v>
      </c>
      <c r="J26" s="28">
        <v>1235</v>
      </c>
      <c r="K26" s="19">
        <v>3.5</v>
      </c>
      <c r="L26" s="28" t="s">
        <v>36</v>
      </c>
      <c r="M26" s="19">
        <v>7</v>
      </c>
      <c r="N26" s="20" t="s">
        <v>204</v>
      </c>
    </row>
    <row r="27" spans="2:14" ht="40.5" customHeight="1" x14ac:dyDescent="0.25">
      <c r="B27" s="12">
        <v>21</v>
      </c>
      <c r="C27" s="18" t="s">
        <v>137</v>
      </c>
      <c r="D27" s="143" t="s">
        <v>31</v>
      </c>
      <c r="E27" s="143"/>
      <c r="F27" s="143"/>
      <c r="G27" s="143"/>
      <c r="H27" s="28" t="s">
        <v>214</v>
      </c>
      <c r="I27" s="28" t="s">
        <v>49</v>
      </c>
      <c r="J27" s="28">
        <f>1280-300</f>
        <v>980</v>
      </c>
      <c r="K27" s="19">
        <v>3</v>
      </c>
      <c r="L27" s="28">
        <v>39000040</v>
      </c>
      <c r="M27" s="33">
        <v>12</v>
      </c>
      <c r="N27" s="20" t="s">
        <v>50</v>
      </c>
    </row>
    <row r="28" spans="2:14" ht="40.5" customHeight="1" x14ac:dyDescent="0.25">
      <c r="B28" s="12">
        <v>22</v>
      </c>
      <c r="C28" s="18" t="s">
        <v>138</v>
      </c>
      <c r="D28" s="143" t="s">
        <v>24</v>
      </c>
      <c r="E28" s="143"/>
      <c r="F28" s="143"/>
      <c r="G28" s="143"/>
      <c r="H28" s="28" t="s">
        <v>222</v>
      </c>
      <c r="I28" s="28" t="s">
        <v>44</v>
      </c>
      <c r="J28" s="28">
        <f>220+15</f>
        <v>235</v>
      </c>
      <c r="K28" s="19">
        <v>5</v>
      </c>
      <c r="L28" s="28" t="s">
        <v>51</v>
      </c>
      <c r="M28" s="19">
        <v>7</v>
      </c>
      <c r="N28" s="20" t="s">
        <v>52</v>
      </c>
    </row>
    <row r="29" spans="2:14" ht="40.5" customHeight="1" x14ac:dyDescent="0.25">
      <c r="B29" s="12">
        <v>23</v>
      </c>
      <c r="C29" s="18" t="s">
        <v>139</v>
      </c>
      <c r="D29" s="143" t="s">
        <v>31</v>
      </c>
      <c r="E29" s="143"/>
      <c r="F29" s="143"/>
      <c r="G29" s="143"/>
      <c r="H29" s="28" t="s">
        <v>214</v>
      </c>
      <c r="I29" s="28" t="s">
        <v>19</v>
      </c>
      <c r="J29" s="28">
        <v>625</v>
      </c>
      <c r="K29" s="19">
        <v>3</v>
      </c>
      <c r="L29" s="28">
        <v>39000040</v>
      </c>
      <c r="M29" s="19">
        <v>10</v>
      </c>
      <c r="N29" s="20" t="s">
        <v>53</v>
      </c>
    </row>
    <row r="30" spans="2:14" ht="40.5" customHeight="1" x14ac:dyDescent="0.25">
      <c r="B30" s="12">
        <v>24</v>
      </c>
      <c r="C30" s="18" t="s">
        <v>140</v>
      </c>
      <c r="D30" s="143" t="s">
        <v>35</v>
      </c>
      <c r="E30" s="143"/>
      <c r="F30" s="143"/>
      <c r="G30" s="143"/>
      <c r="H30" s="28" t="s">
        <v>215</v>
      </c>
      <c r="I30" s="28" t="s">
        <v>19</v>
      </c>
      <c r="J30" s="28">
        <v>855</v>
      </c>
      <c r="K30" s="33">
        <v>3.5</v>
      </c>
      <c r="L30" s="28" t="s">
        <v>36</v>
      </c>
      <c r="M30" s="33">
        <v>7</v>
      </c>
      <c r="N30" s="20" t="s">
        <v>54</v>
      </c>
    </row>
    <row r="31" spans="2:14" ht="40.5" customHeight="1" x14ac:dyDescent="0.25">
      <c r="B31" s="12">
        <v>25</v>
      </c>
      <c r="C31" s="18" t="s">
        <v>141</v>
      </c>
      <c r="D31" s="143" t="s">
        <v>31</v>
      </c>
      <c r="E31" s="143"/>
      <c r="F31" s="143"/>
      <c r="G31" s="143"/>
      <c r="H31" s="28" t="s">
        <v>214</v>
      </c>
      <c r="I31" s="28" t="s">
        <v>55</v>
      </c>
      <c r="J31" s="28">
        <v>2190</v>
      </c>
      <c r="K31" s="19">
        <v>3</v>
      </c>
      <c r="L31" s="28">
        <v>39000040</v>
      </c>
      <c r="M31" s="19">
        <v>10</v>
      </c>
      <c r="N31" s="20" t="s">
        <v>56</v>
      </c>
    </row>
    <row r="32" spans="2:14" ht="40.5" customHeight="1" x14ac:dyDescent="0.25">
      <c r="B32" s="12">
        <v>26</v>
      </c>
      <c r="C32" s="18" t="s">
        <v>142</v>
      </c>
      <c r="D32" s="143" t="s">
        <v>31</v>
      </c>
      <c r="E32" s="143"/>
      <c r="F32" s="143"/>
      <c r="G32" s="143"/>
      <c r="H32" s="28" t="s">
        <v>214</v>
      </c>
      <c r="I32" s="28" t="s">
        <v>55</v>
      </c>
      <c r="J32" s="28">
        <v>780</v>
      </c>
      <c r="K32" s="19">
        <v>3</v>
      </c>
      <c r="L32" s="28">
        <v>39000040</v>
      </c>
      <c r="M32" s="33">
        <v>10</v>
      </c>
      <c r="N32" s="20" t="s">
        <v>57</v>
      </c>
    </row>
    <row r="33" spans="2:14" ht="40.5" customHeight="1" x14ac:dyDescent="0.25">
      <c r="B33" s="12">
        <v>27</v>
      </c>
      <c r="C33" s="18" t="s">
        <v>143</v>
      </c>
      <c r="D33" s="143" t="s">
        <v>24</v>
      </c>
      <c r="E33" s="143"/>
      <c r="F33" s="143"/>
      <c r="G33" s="143"/>
      <c r="H33" s="28" t="s">
        <v>222</v>
      </c>
      <c r="I33" s="28" t="s">
        <v>29</v>
      </c>
      <c r="J33" s="28">
        <v>890</v>
      </c>
      <c r="K33" s="19">
        <v>3</v>
      </c>
      <c r="L33" s="20">
        <v>39000048</v>
      </c>
      <c r="M33" s="19">
        <v>7</v>
      </c>
      <c r="N33" s="20" t="s">
        <v>52</v>
      </c>
    </row>
    <row r="34" spans="2:14" ht="40.5" customHeight="1" x14ac:dyDescent="0.25">
      <c r="B34" s="12">
        <v>28</v>
      </c>
      <c r="C34" s="18" t="s">
        <v>145</v>
      </c>
      <c r="D34" s="143" t="s">
        <v>35</v>
      </c>
      <c r="E34" s="143"/>
      <c r="F34" s="143"/>
      <c r="G34" s="143"/>
      <c r="H34" s="28" t="s">
        <v>215</v>
      </c>
      <c r="I34" s="28" t="s">
        <v>49</v>
      </c>
      <c r="J34" s="28">
        <v>2580</v>
      </c>
      <c r="K34" s="33">
        <v>3.5</v>
      </c>
      <c r="L34" s="28" t="s">
        <v>36</v>
      </c>
      <c r="M34" s="19">
        <v>3</v>
      </c>
      <c r="N34" s="22">
        <v>39000040</v>
      </c>
    </row>
    <row r="35" spans="2:14" ht="40.5" customHeight="1" x14ac:dyDescent="0.25">
      <c r="B35" s="12">
        <v>29</v>
      </c>
      <c r="C35" s="18" t="s">
        <v>144</v>
      </c>
      <c r="D35" s="143" t="s">
        <v>24</v>
      </c>
      <c r="E35" s="143"/>
      <c r="F35" s="143"/>
      <c r="G35" s="143"/>
      <c r="H35" s="28" t="s">
        <v>222</v>
      </c>
      <c r="I35" s="28" t="s">
        <v>58</v>
      </c>
      <c r="J35" s="28">
        <f>1400+10</f>
        <v>1410</v>
      </c>
      <c r="K35" s="19">
        <v>2</v>
      </c>
      <c r="L35" s="28" t="s">
        <v>40</v>
      </c>
      <c r="M35" s="19">
        <v>3</v>
      </c>
      <c r="N35" s="20">
        <v>39000048</v>
      </c>
    </row>
    <row r="36" spans="2:14" ht="40.5" customHeight="1" x14ac:dyDescent="0.25">
      <c r="B36" s="12">
        <v>30</v>
      </c>
      <c r="C36" s="18" t="s">
        <v>146</v>
      </c>
      <c r="D36" s="143" t="s">
        <v>31</v>
      </c>
      <c r="E36" s="143"/>
      <c r="F36" s="143"/>
      <c r="G36" s="143"/>
      <c r="H36" s="28" t="s">
        <v>214</v>
      </c>
      <c r="I36" s="28" t="s">
        <v>49</v>
      </c>
      <c r="J36" s="28">
        <f>450-30</f>
        <v>420</v>
      </c>
      <c r="K36" s="19">
        <v>3</v>
      </c>
      <c r="L36" s="28">
        <v>39000040</v>
      </c>
      <c r="M36" s="33">
        <v>12</v>
      </c>
      <c r="N36" s="20" t="s">
        <v>60</v>
      </c>
    </row>
    <row r="37" spans="2:14" ht="40.5" customHeight="1" x14ac:dyDescent="0.25">
      <c r="B37" s="12">
        <v>31</v>
      </c>
      <c r="C37" s="18" t="s">
        <v>147</v>
      </c>
      <c r="D37" s="143" t="s">
        <v>31</v>
      </c>
      <c r="E37" s="143"/>
      <c r="F37" s="143"/>
      <c r="G37" s="143"/>
      <c r="H37" s="28" t="s">
        <v>214</v>
      </c>
      <c r="I37" s="28" t="s">
        <v>59</v>
      </c>
      <c r="J37" s="28">
        <f>450-30</f>
        <v>420</v>
      </c>
      <c r="K37" s="19">
        <v>3</v>
      </c>
      <c r="L37" s="28">
        <v>39000040</v>
      </c>
      <c r="M37" s="33">
        <v>12</v>
      </c>
      <c r="N37" s="20" t="s">
        <v>60</v>
      </c>
    </row>
    <row r="38" spans="2:14" ht="40.5" customHeight="1" x14ac:dyDescent="0.25">
      <c r="B38" s="12">
        <v>32</v>
      </c>
      <c r="C38" s="18" t="s">
        <v>226</v>
      </c>
      <c r="D38" s="143" t="s">
        <v>24</v>
      </c>
      <c r="E38" s="143"/>
      <c r="F38" s="143"/>
      <c r="G38" s="143"/>
      <c r="H38" s="28" t="s">
        <v>222</v>
      </c>
      <c r="I38" s="28" t="s">
        <v>106</v>
      </c>
      <c r="J38" s="28">
        <v>1810</v>
      </c>
      <c r="K38" s="19">
        <v>2</v>
      </c>
      <c r="L38" s="28" t="s">
        <v>37</v>
      </c>
      <c r="M38" s="19">
        <v>3.5</v>
      </c>
      <c r="N38" s="20" t="s">
        <v>92</v>
      </c>
    </row>
    <row r="39" spans="2:14" ht="40.5" customHeight="1" x14ac:dyDescent="0.25">
      <c r="B39" s="12">
        <v>33</v>
      </c>
      <c r="C39" s="18" t="s">
        <v>224</v>
      </c>
      <c r="D39" s="143" t="s">
        <v>24</v>
      </c>
      <c r="E39" s="143"/>
      <c r="F39" s="143"/>
      <c r="G39" s="143"/>
      <c r="H39" s="28" t="s">
        <v>222</v>
      </c>
      <c r="I39" s="28" t="s">
        <v>105</v>
      </c>
      <c r="J39" s="28">
        <v>1810</v>
      </c>
      <c r="K39" s="19">
        <v>2</v>
      </c>
      <c r="L39" s="28" t="s">
        <v>37</v>
      </c>
      <c r="M39" s="19">
        <v>3.5</v>
      </c>
      <c r="N39" s="20" t="s">
        <v>92</v>
      </c>
    </row>
    <row r="40" spans="2:14" ht="40.5" customHeight="1" x14ac:dyDescent="0.25">
      <c r="B40" s="12">
        <v>34</v>
      </c>
      <c r="C40" s="18" t="s">
        <v>148</v>
      </c>
      <c r="D40" s="143" t="s">
        <v>35</v>
      </c>
      <c r="E40" s="143"/>
      <c r="F40" s="143"/>
      <c r="G40" s="143"/>
      <c r="H40" s="28" t="s">
        <v>215</v>
      </c>
      <c r="I40" s="28" t="s">
        <v>49</v>
      </c>
      <c r="J40" s="28">
        <f>1505+15</f>
        <v>1520</v>
      </c>
      <c r="K40" s="19">
        <v>3</v>
      </c>
      <c r="L40" s="28">
        <v>39000040</v>
      </c>
      <c r="M40" s="33">
        <v>12</v>
      </c>
      <c r="N40" s="20" t="s">
        <v>60</v>
      </c>
    </row>
    <row r="41" spans="2:14" ht="40.5" customHeight="1" x14ac:dyDescent="0.25">
      <c r="B41" s="12">
        <v>35</v>
      </c>
      <c r="C41" s="18" t="s">
        <v>149</v>
      </c>
      <c r="D41" s="143" t="s">
        <v>24</v>
      </c>
      <c r="E41" s="143"/>
      <c r="F41" s="143"/>
      <c r="G41" s="143"/>
      <c r="H41" s="28" t="s">
        <v>222</v>
      </c>
      <c r="I41" s="28" t="s">
        <v>61</v>
      </c>
      <c r="J41" s="28">
        <v>1410</v>
      </c>
      <c r="K41" s="19">
        <v>2</v>
      </c>
      <c r="L41" s="28" t="s">
        <v>40</v>
      </c>
      <c r="M41" s="19">
        <v>3</v>
      </c>
      <c r="N41" s="20">
        <v>39000048</v>
      </c>
    </row>
    <row r="42" spans="2:14" ht="40.5" customHeight="1" x14ac:dyDescent="0.25">
      <c r="B42" s="12">
        <v>36</v>
      </c>
      <c r="C42" s="18" t="s">
        <v>150</v>
      </c>
      <c r="D42" s="143" t="s">
        <v>24</v>
      </c>
      <c r="E42" s="143"/>
      <c r="F42" s="143"/>
      <c r="G42" s="143"/>
      <c r="H42" s="28" t="s">
        <v>222</v>
      </c>
      <c r="I42" s="28" t="s">
        <v>18</v>
      </c>
      <c r="J42" s="28">
        <v>1355</v>
      </c>
      <c r="K42" s="19">
        <v>3.5</v>
      </c>
      <c r="L42" s="28" t="s">
        <v>62</v>
      </c>
      <c r="M42" s="19">
        <v>7</v>
      </c>
      <c r="N42" s="20" t="s">
        <v>63</v>
      </c>
    </row>
    <row r="43" spans="2:14" ht="40.5" customHeight="1" x14ac:dyDescent="0.25">
      <c r="B43" s="12">
        <v>37</v>
      </c>
      <c r="C43" s="18" t="s">
        <v>151</v>
      </c>
      <c r="D43" s="143" t="s">
        <v>24</v>
      </c>
      <c r="E43" s="143"/>
      <c r="F43" s="143"/>
      <c r="G43" s="143"/>
      <c r="H43" s="28" t="s">
        <v>222</v>
      </c>
      <c r="I43" s="28" t="s">
        <v>16</v>
      </c>
      <c r="J43" s="28">
        <v>1350</v>
      </c>
      <c r="K43" s="19">
        <v>3.5</v>
      </c>
      <c r="L43" s="28" t="s">
        <v>62</v>
      </c>
      <c r="M43" s="19">
        <v>7</v>
      </c>
      <c r="N43" s="20" t="s">
        <v>64</v>
      </c>
    </row>
    <row r="44" spans="2:14" ht="40.5" customHeight="1" x14ac:dyDescent="0.25">
      <c r="B44" s="12">
        <v>38</v>
      </c>
      <c r="C44" s="18" t="s">
        <v>152</v>
      </c>
      <c r="D44" s="143" t="s">
        <v>24</v>
      </c>
      <c r="E44" s="143"/>
      <c r="F44" s="143"/>
      <c r="G44" s="143"/>
      <c r="H44" s="28" t="s">
        <v>222</v>
      </c>
      <c r="I44" s="28" t="s">
        <v>19</v>
      </c>
      <c r="J44" s="28">
        <f>950+20</f>
        <v>970</v>
      </c>
      <c r="K44" s="19">
        <v>3.5</v>
      </c>
      <c r="L44" s="28" t="s">
        <v>62</v>
      </c>
      <c r="M44" s="19">
        <v>7</v>
      </c>
      <c r="N44" s="20" t="s">
        <v>54</v>
      </c>
    </row>
    <row r="45" spans="2:14" ht="40.5" customHeight="1" x14ac:dyDescent="0.25">
      <c r="B45" s="12">
        <v>39</v>
      </c>
      <c r="C45" s="18" t="s">
        <v>153</v>
      </c>
      <c r="D45" s="143" t="s">
        <v>35</v>
      </c>
      <c r="E45" s="143"/>
      <c r="F45" s="143"/>
      <c r="G45" s="143"/>
      <c r="H45" s="28" t="s">
        <v>215</v>
      </c>
      <c r="I45" s="28" t="s">
        <v>65</v>
      </c>
      <c r="J45" s="28">
        <f>1415+10</f>
        <v>1425</v>
      </c>
      <c r="K45" s="19">
        <v>3</v>
      </c>
      <c r="L45" s="28">
        <v>39000040</v>
      </c>
      <c r="M45" s="19">
        <v>7</v>
      </c>
      <c r="N45" s="20" t="s">
        <v>66</v>
      </c>
    </row>
    <row r="46" spans="2:14" ht="40.5" customHeight="1" x14ac:dyDescent="0.25">
      <c r="B46" s="12">
        <v>40</v>
      </c>
      <c r="C46" s="18" t="s">
        <v>154</v>
      </c>
      <c r="D46" s="143" t="s">
        <v>24</v>
      </c>
      <c r="E46" s="143"/>
      <c r="F46" s="143"/>
      <c r="G46" s="143"/>
      <c r="H46" s="28" t="s">
        <v>222</v>
      </c>
      <c r="I46" s="28" t="s">
        <v>16</v>
      </c>
      <c r="J46" s="28">
        <v>1070</v>
      </c>
      <c r="K46" s="19">
        <v>3</v>
      </c>
      <c r="L46" s="28">
        <v>39000048</v>
      </c>
      <c r="M46" s="19">
        <v>7</v>
      </c>
      <c r="N46" s="20" t="s">
        <v>67</v>
      </c>
    </row>
    <row r="47" spans="2:14" ht="40.5" customHeight="1" x14ac:dyDescent="0.25">
      <c r="B47" s="12">
        <v>41</v>
      </c>
      <c r="C47" s="18" t="s">
        <v>155</v>
      </c>
      <c r="D47" s="143" t="s">
        <v>24</v>
      </c>
      <c r="E47" s="143"/>
      <c r="F47" s="143"/>
      <c r="G47" s="143"/>
      <c r="H47" s="28" t="s">
        <v>222</v>
      </c>
      <c r="I47" s="28" t="s">
        <v>18</v>
      </c>
      <c r="J47" s="28">
        <v>1060</v>
      </c>
      <c r="K47" s="19">
        <v>3</v>
      </c>
      <c r="L47" s="28">
        <v>39000048</v>
      </c>
      <c r="M47" s="19">
        <v>7</v>
      </c>
      <c r="N47" s="20" t="s">
        <v>68</v>
      </c>
    </row>
    <row r="48" spans="2:14" ht="40.5" customHeight="1" x14ac:dyDescent="0.25">
      <c r="B48" s="12">
        <v>42</v>
      </c>
      <c r="C48" s="18" t="s">
        <v>156</v>
      </c>
      <c r="D48" s="143" t="s">
        <v>24</v>
      </c>
      <c r="E48" s="143"/>
      <c r="F48" s="143"/>
      <c r="G48" s="143"/>
      <c r="H48" s="28" t="s">
        <v>222</v>
      </c>
      <c r="I48" s="28" t="s">
        <v>19</v>
      </c>
      <c r="J48" s="28">
        <v>1130</v>
      </c>
      <c r="K48" s="19">
        <v>2</v>
      </c>
      <c r="L48" s="28" t="s">
        <v>37</v>
      </c>
      <c r="M48" s="19">
        <v>7</v>
      </c>
      <c r="N48" s="20" t="s">
        <v>205</v>
      </c>
    </row>
    <row r="49" spans="2:14" ht="40.5" customHeight="1" x14ac:dyDescent="0.25">
      <c r="B49" s="12">
        <v>43</v>
      </c>
      <c r="C49" s="18" t="s">
        <v>157</v>
      </c>
      <c r="D49" s="143" t="s">
        <v>24</v>
      </c>
      <c r="E49" s="143"/>
      <c r="F49" s="143"/>
      <c r="G49" s="143"/>
      <c r="H49" s="28" t="s">
        <v>222</v>
      </c>
      <c r="I49" s="28" t="s">
        <v>30</v>
      </c>
      <c r="J49" s="28">
        <v>2020</v>
      </c>
      <c r="K49" s="19">
        <v>2</v>
      </c>
      <c r="L49" s="28">
        <v>561349000</v>
      </c>
      <c r="M49" s="19">
        <v>3</v>
      </c>
      <c r="N49" s="20" t="s">
        <v>25</v>
      </c>
    </row>
    <row r="50" spans="2:14" ht="40.5" customHeight="1" x14ac:dyDescent="0.25">
      <c r="B50" s="12">
        <v>44</v>
      </c>
      <c r="C50" s="18" t="s">
        <v>158</v>
      </c>
      <c r="D50" s="143" t="s">
        <v>24</v>
      </c>
      <c r="E50" s="143"/>
      <c r="F50" s="143"/>
      <c r="G50" s="143"/>
      <c r="H50" s="28" t="s">
        <v>222</v>
      </c>
      <c r="I50" s="28" t="s">
        <v>17</v>
      </c>
      <c r="J50" s="28">
        <v>1020</v>
      </c>
      <c r="K50" s="19">
        <v>3</v>
      </c>
      <c r="L50" s="28">
        <v>39000048</v>
      </c>
      <c r="M50" s="19">
        <v>2</v>
      </c>
      <c r="N50" s="22">
        <v>561349000</v>
      </c>
    </row>
    <row r="51" spans="2:14" ht="40.5" customHeight="1" x14ac:dyDescent="0.25">
      <c r="B51" s="12">
        <v>45</v>
      </c>
      <c r="C51" s="18" t="s">
        <v>159</v>
      </c>
      <c r="D51" s="143" t="s">
        <v>24</v>
      </c>
      <c r="E51" s="143"/>
      <c r="F51" s="143"/>
      <c r="G51" s="143"/>
      <c r="H51" s="28" t="s">
        <v>222</v>
      </c>
      <c r="I51" s="28" t="s">
        <v>33</v>
      </c>
      <c r="J51" s="28">
        <v>1020</v>
      </c>
      <c r="K51" s="19">
        <v>3</v>
      </c>
      <c r="L51" s="28">
        <v>39000048</v>
      </c>
      <c r="M51" s="19">
        <v>2</v>
      </c>
      <c r="N51" s="22">
        <v>561349000</v>
      </c>
    </row>
    <row r="52" spans="2:14" ht="40.5" customHeight="1" x14ac:dyDescent="0.25">
      <c r="B52" s="12">
        <v>46</v>
      </c>
      <c r="C52" s="18" t="s">
        <v>160</v>
      </c>
      <c r="D52" s="143" t="s">
        <v>24</v>
      </c>
      <c r="E52" s="143"/>
      <c r="F52" s="143"/>
      <c r="G52" s="143"/>
      <c r="H52" s="28" t="s">
        <v>222</v>
      </c>
      <c r="I52" s="28" t="s">
        <v>69</v>
      </c>
      <c r="J52" s="28">
        <v>1610</v>
      </c>
      <c r="K52" s="19">
        <v>3</v>
      </c>
      <c r="L52" s="28">
        <v>39000048</v>
      </c>
      <c r="M52" s="19">
        <v>2</v>
      </c>
      <c r="N52" s="22">
        <v>561349000</v>
      </c>
    </row>
    <row r="53" spans="2:14" ht="40.5" customHeight="1" x14ac:dyDescent="0.25">
      <c r="B53" s="12">
        <v>47</v>
      </c>
      <c r="C53" s="18" t="s">
        <v>161</v>
      </c>
      <c r="D53" s="143" t="s">
        <v>24</v>
      </c>
      <c r="E53" s="143"/>
      <c r="F53" s="143"/>
      <c r="G53" s="143"/>
      <c r="H53" s="28" t="s">
        <v>222</v>
      </c>
      <c r="I53" s="28" t="s">
        <v>26</v>
      </c>
      <c r="J53" s="28">
        <v>1610</v>
      </c>
      <c r="K53" s="19">
        <v>3</v>
      </c>
      <c r="L53" s="28">
        <v>39000048</v>
      </c>
      <c r="M53" s="19">
        <v>2</v>
      </c>
      <c r="N53" s="22">
        <v>561349000</v>
      </c>
    </row>
    <row r="54" spans="2:14" ht="40.5" customHeight="1" x14ac:dyDescent="0.25">
      <c r="B54" s="12">
        <v>48</v>
      </c>
      <c r="C54" s="18" t="s">
        <v>162</v>
      </c>
      <c r="D54" s="143" t="s">
        <v>24</v>
      </c>
      <c r="E54" s="143"/>
      <c r="F54" s="143"/>
      <c r="G54" s="143"/>
      <c r="H54" s="28" t="s">
        <v>222</v>
      </c>
      <c r="I54" s="28" t="s">
        <v>70</v>
      </c>
      <c r="J54" s="28">
        <v>960</v>
      </c>
      <c r="K54" s="19">
        <v>5</v>
      </c>
      <c r="L54" s="28" t="s">
        <v>51</v>
      </c>
      <c r="M54" s="19">
        <v>2</v>
      </c>
      <c r="N54" s="22">
        <v>561349000</v>
      </c>
    </row>
    <row r="55" spans="2:14" ht="40.5" customHeight="1" x14ac:dyDescent="0.25">
      <c r="B55" s="12">
        <v>49</v>
      </c>
      <c r="C55" s="18" t="s">
        <v>163</v>
      </c>
      <c r="D55" s="143" t="s">
        <v>24</v>
      </c>
      <c r="E55" s="143"/>
      <c r="F55" s="143"/>
      <c r="G55" s="143"/>
      <c r="H55" s="28" t="s">
        <v>222</v>
      </c>
      <c r="I55" s="28" t="s">
        <v>58</v>
      </c>
      <c r="J55" s="28">
        <v>960</v>
      </c>
      <c r="K55" s="19">
        <v>5</v>
      </c>
      <c r="L55" s="28" t="s">
        <v>51</v>
      </c>
      <c r="M55" s="19">
        <v>2</v>
      </c>
      <c r="N55" s="22">
        <v>561349000</v>
      </c>
    </row>
    <row r="56" spans="2:14" ht="40.5" customHeight="1" x14ac:dyDescent="0.25">
      <c r="B56" s="12">
        <v>50</v>
      </c>
      <c r="C56" s="18" t="s">
        <v>164</v>
      </c>
      <c r="D56" s="143" t="s">
        <v>24</v>
      </c>
      <c r="E56" s="143"/>
      <c r="F56" s="143"/>
      <c r="G56" s="143"/>
      <c r="H56" s="28" t="s">
        <v>222</v>
      </c>
      <c r="I56" s="28" t="s">
        <v>18</v>
      </c>
      <c r="J56" s="28">
        <f>1320+5</f>
        <v>1325</v>
      </c>
      <c r="K56" s="19">
        <v>3</v>
      </c>
      <c r="L56" s="28">
        <v>39000048</v>
      </c>
      <c r="M56" s="19">
        <v>2</v>
      </c>
      <c r="N56" s="22">
        <v>561349000</v>
      </c>
    </row>
    <row r="57" spans="2:14" ht="40.5" customHeight="1" x14ac:dyDescent="0.25">
      <c r="B57" s="12">
        <v>51</v>
      </c>
      <c r="C57" s="18" t="s">
        <v>165</v>
      </c>
      <c r="D57" s="143" t="s">
        <v>24</v>
      </c>
      <c r="E57" s="143"/>
      <c r="F57" s="143"/>
      <c r="G57" s="143"/>
      <c r="H57" s="28" t="s">
        <v>222</v>
      </c>
      <c r="I57" s="28" t="s">
        <v>29</v>
      </c>
      <c r="J57" s="28">
        <f>1320+5</f>
        <v>1325</v>
      </c>
      <c r="K57" s="19">
        <v>2</v>
      </c>
      <c r="L57" s="28">
        <v>561349000</v>
      </c>
      <c r="M57" s="19">
        <v>3</v>
      </c>
      <c r="N57" s="20">
        <v>39000048</v>
      </c>
    </row>
    <row r="58" spans="2:14" ht="40.5" customHeight="1" x14ac:dyDescent="0.25">
      <c r="B58" s="12">
        <v>52</v>
      </c>
      <c r="C58" s="18" t="s">
        <v>166</v>
      </c>
      <c r="D58" s="143" t="s">
        <v>24</v>
      </c>
      <c r="E58" s="143"/>
      <c r="F58" s="143"/>
      <c r="G58" s="143"/>
      <c r="H58" s="28" t="s">
        <v>222</v>
      </c>
      <c r="I58" s="28" t="s">
        <v>29</v>
      </c>
      <c r="J58" s="28">
        <v>520</v>
      </c>
      <c r="K58" s="19">
        <v>2</v>
      </c>
      <c r="L58" s="28" t="s">
        <v>37</v>
      </c>
      <c r="M58" s="19">
        <v>7</v>
      </c>
      <c r="N58" s="20" t="s">
        <v>71</v>
      </c>
    </row>
    <row r="59" spans="2:14" ht="40.5" customHeight="1" x14ac:dyDescent="0.25">
      <c r="B59" s="12">
        <v>53</v>
      </c>
      <c r="C59" s="18" t="s">
        <v>167</v>
      </c>
      <c r="D59" s="143" t="s">
        <v>24</v>
      </c>
      <c r="E59" s="143"/>
      <c r="F59" s="143"/>
      <c r="G59" s="143"/>
      <c r="H59" s="28" t="s">
        <v>222</v>
      </c>
      <c r="I59" s="28" t="s">
        <v>16</v>
      </c>
      <c r="J59" s="28">
        <f>1550+5</f>
        <v>1555</v>
      </c>
      <c r="K59" s="19">
        <v>2</v>
      </c>
      <c r="L59" s="28">
        <v>561349000</v>
      </c>
      <c r="M59" s="19">
        <v>3</v>
      </c>
      <c r="N59" s="20">
        <v>39000048</v>
      </c>
    </row>
    <row r="60" spans="2:14" ht="40.5" customHeight="1" x14ac:dyDescent="0.25">
      <c r="B60" s="12">
        <v>54</v>
      </c>
      <c r="C60" s="18" t="s">
        <v>168</v>
      </c>
      <c r="D60" s="143" t="s">
        <v>24</v>
      </c>
      <c r="E60" s="143"/>
      <c r="F60" s="143"/>
      <c r="G60" s="143"/>
      <c r="H60" s="28" t="s">
        <v>222</v>
      </c>
      <c r="I60" s="28" t="s">
        <v>19</v>
      </c>
      <c r="J60" s="28">
        <f>1550+5</f>
        <v>1555</v>
      </c>
      <c r="K60" s="19">
        <v>2</v>
      </c>
      <c r="L60" s="28">
        <v>561349000</v>
      </c>
      <c r="M60" s="19">
        <v>3</v>
      </c>
      <c r="N60" s="20">
        <v>39000048</v>
      </c>
    </row>
    <row r="61" spans="2:14" ht="40.5" customHeight="1" x14ac:dyDescent="0.25">
      <c r="B61" s="12">
        <v>55</v>
      </c>
      <c r="C61" s="18" t="s">
        <v>199</v>
      </c>
      <c r="D61" s="143" t="s">
        <v>24</v>
      </c>
      <c r="E61" s="143"/>
      <c r="F61" s="143"/>
      <c r="G61" s="143"/>
      <c r="H61" s="28" t="s">
        <v>222</v>
      </c>
      <c r="I61" s="28" t="s">
        <v>30</v>
      </c>
      <c r="J61" s="28">
        <f>1320+10</f>
        <v>1330</v>
      </c>
      <c r="K61" s="19">
        <v>2</v>
      </c>
      <c r="L61" s="28">
        <v>561349000</v>
      </c>
      <c r="M61" s="19">
        <v>3</v>
      </c>
      <c r="N61" s="20">
        <v>39000048</v>
      </c>
    </row>
    <row r="62" spans="2:14" ht="40.5" customHeight="1" x14ac:dyDescent="0.25">
      <c r="B62" s="12">
        <v>56</v>
      </c>
      <c r="C62" s="18" t="s">
        <v>169</v>
      </c>
      <c r="D62" s="143" t="s">
        <v>24</v>
      </c>
      <c r="E62" s="143"/>
      <c r="F62" s="143"/>
      <c r="G62" s="143"/>
      <c r="H62" s="28" t="s">
        <v>222</v>
      </c>
      <c r="I62" s="28" t="s">
        <v>72</v>
      </c>
      <c r="J62" s="28">
        <v>920</v>
      </c>
      <c r="K62" s="19">
        <v>2</v>
      </c>
      <c r="L62" s="28">
        <v>561349000</v>
      </c>
      <c r="M62" s="19">
        <v>5</v>
      </c>
      <c r="N62" s="20" t="s">
        <v>74</v>
      </c>
    </row>
    <row r="63" spans="2:14" ht="40.5" customHeight="1" x14ac:dyDescent="0.25">
      <c r="B63" s="12">
        <v>57</v>
      </c>
      <c r="C63" s="18" t="s">
        <v>170</v>
      </c>
      <c r="D63" s="143" t="s">
        <v>24</v>
      </c>
      <c r="E63" s="143"/>
      <c r="F63" s="143"/>
      <c r="G63" s="143"/>
      <c r="H63" s="28" t="s">
        <v>222</v>
      </c>
      <c r="I63" s="28" t="s">
        <v>73</v>
      </c>
      <c r="J63" s="28">
        <f>920-15</f>
        <v>905</v>
      </c>
      <c r="K63" s="19">
        <v>2</v>
      </c>
      <c r="L63" s="28">
        <v>561349000</v>
      </c>
      <c r="M63" s="19">
        <v>5</v>
      </c>
      <c r="N63" s="20" t="s">
        <v>51</v>
      </c>
    </row>
    <row r="64" spans="2:14" ht="40.5" customHeight="1" x14ac:dyDescent="0.25">
      <c r="B64" s="12">
        <v>58</v>
      </c>
      <c r="C64" s="18" t="s">
        <v>171</v>
      </c>
      <c r="D64" s="143" t="s">
        <v>24</v>
      </c>
      <c r="E64" s="143"/>
      <c r="F64" s="143"/>
      <c r="G64" s="143"/>
      <c r="H64" s="28" t="s">
        <v>222</v>
      </c>
      <c r="I64" s="28" t="s">
        <v>75</v>
      </c>
      <c r="J64" s="28">
        <v>1760</v>
      </c>
      <c r="K64" s="19">
        <v>3</v>
      </c>
      <c r="L64" s="28">
        <v>39000048</v>
      </c>
      <c r="M64" s="19">
        <v>2</v>
      </c>
      <c r="N64" s="22">
        <v>561349000</v>
      </c>
    </row>
    <row r="65" spans="2:14" ht="40.5" customHeight="1" x14ac:dyDescent="0.25">
      <c r="B65" s="12">
        <v>59</v>
      </c>
      <c r="C65" s="18" t="s">
        <v>172</v>
      </c>
      <c r="D65" s="143" t="s">
        <v>24</v>
      </c>
      <c r="E65" s="143"/>
      <c r="F65" s="143"/>
      <c r="G65" s="143"/>
      <c r="H65" s="28" t="s">
        <v>222</v>
      </c>
      <c r="I65" s="28" t="s">
        <v>27</v>
      </c>
      <c r="J65" s="28">
        <v>1760</v>
      </c>
      <c r="K65" s="19">
        <v>3</v>
      </c>
      <c r="L65" s="28">
        <v>39000048</v>
      </c>
      <c r="M65" s="19">
        <v>2</v>
      </c>
      <c r="N65" s="22">
        <v>561349000</v>
      </c>
    </row>
    <row r="66" spans="2:14" ht="40.5" customHeight="1" x14ac:dyDescent="0.25">
      <c r="B66" s="12">
        <v>60</v>
      </c>
      <c r="C66" s="18" t="s">
        <v>173</v>
      </c>
      <c r="D66" s="143" t="s">
        <v>24</v>
      </c>
      <c r="E66" s="143"/>
      <c r="F66" s="143"/>
      <c r="G66" s="143"/>
      <c r="H66" s="28" t="s">
        <v>222</v>
      </c>
      <c r="I66" s="28" t="s">
        <v>76</v>
      </c>
      <c r="J66" s="23">
        <f>2410+10</f>
        <v>2420</v>
      </c>
      <c r="K66" s="19">
        <v>3</v>
      </c>
      <c r="L66" s="28">
        <v>39000048</v>
      </c>
      <c r="M66" s="19">
        <v>2</v>
      </c>
      <c r="N66" s="22">
        <v>561349000</v>
      </c>
    </row>
    <row r="67" spans="2:14" ht="40.5" customHeight="1" x14ac:dyDescent="0.25">
      <c r="B67" s="12">
        <v>61</v>
      </c>
      <c r="C67" s="18" t="s">
        <v>174</v>
      </c>
      <c r="D67" s="143" t="s">
        <v>24</v>
      </c>
      <c r="E67" s="143"/>
      <c r="F67" s="143"/>
      <c r="G67" s="143"/>
      <c r="H67" s="28" t="s">
        <v>222</v>
      </c>
      <c r="I67" s="28" t="s">
        <v>77</v>
      </c>
      <c r="J67" s="28">
        <v>2410</v>
      </c>
      <c r="K67" s="19">
        <v>3</v>
      </c>
      <c r="L67" s="28">
        <v>39000048</v>
      </c>
      <c r="M67" s="19">
        <v>2</v>
      </c>
      <c r="N67" s="22">
        <v>561349000</v>
      </c>
    </row>
    <row r="68" spans="2:14" ht="40.5" customHeight="1" x14ac:dyDescent="0.25">
      <c r="B68" s="12">
        <v>62</v>
      </c>
      <c r="C68" s="18" t="s">
        <v>175</v>
      </c>
      <c r="D68" s="143" t="s">
        <v>24</v>
      </c>
      <c r="E68" s="143"/>
      <c r="F68" s="143"/>
      <c r="G68" s="143"/>
      <c r="H68" s="28" t="s">
        <v>222</v>
      </c>
      <c r="I68" s="28" t="s">
        <v>16</v>
      </c>
      <c r="J68" s="28">
        <v>1160</v>
      </c>
      <c r="K68" s="19">
        <v>2</v>
      </c>
      <c r="L68" s="28" t="s">
        <v>37</v>
      </c>
      <c r="M68" s="19">
        <v>3</v>
      </c>
      <c r="N68" s="20" t="s">
        <v>78</v>
      </c>
    </row>
    <row r="69" spans="2:14" ht="40.5" customHeight="1" x14ac:dyDescent="0.25">
      <c r="B69" s="12">
        <v>63</v>
      </c>
      <c r="C69" s="18" t="s">
        <v>176</v>
      </c>
      <c r="D69" s="143" t="s">
        <v>24</v>
      </c>
      <c r="E69" s="143"/>
      <c r="F69" s="143"/>
      <c r="G69" s="143"/>
      <c r="H69" s="28" t="s">
        <v>222</v>
      </c>
      <c r="I69" s="28" t="s">
        <v>33</v>
      </c>
      <c r="J69" s="28">
        <v>1160</v>
      </c>
      <c r="K69" s="19">
        <v>2</v>
      </c>
      <c r="L69" s="28" t="s">
        <v>37</v>
      </c>
      <c r="M69" s="19">
        <v>3</v>
      </c>
      <c r="N69" s="20" t="s">
        <v>78</v>
      </c>
    </row>
    <row r="70" spans="2:14" ht="40.5" customHeight="1" x14ac:dyDescent="0.25">
      <c r="B70" s="12">
        <v>64</v>
      </c>
      <c r="C70" s="18" t="s">
        <v>177</v>
      </c>
      <c r="D70" s="143" t="s">
        <v>24</v>
      </c>
      <c r="E70" s="143"/>
      <c r="F70" s="143"/>
      <c r="G70" s="143"/>
      <c r="H70" s="28" t="s">
        <v>222</v>
      </c>
      <c r="I70" s="28" t="s">
        <v>79</v>
      </c>
      <c r="J70" s="28">
        <v>1160</v>
      </c>
      <c r="K70" s="19">
        <v>2</v>
      </c>
      <c r="L70" s="28" t="s">
        <v>37</v>
      </c>
      <c r="M70" s="19">
        <v>3</v>
      </c>
      <c r="N70" s="20" t="s">
        <v>78</v>
      </c>
    </row>
    <row r="71" spans="2:14" ht="40.5" customHeight="1" x14ac:dyDescent="0.25">
      <c r="B71" s="12">
        <v>65</v>
      </c>
      <c r="C71" s="18" t="s">
        <v>178</v>
      </c>
      <c r="D71" s="143" t="s">
        <v>24</v>
      </c>
      <c r="E71" s="143"/>
      <c r="F71" s="143"/>
      <c r="G71" s="143"/>
      <c r="H71" s="28" t="s">
        <v>222</v>
      </c>
      <c r="I71" s="28" t="s">
        <v>26</v>
      </c>
      <c r="J71" s="28">
        <v>1160</v>
      </c>
      <c r="K71" s="19">
        <v>2</v>
      </c>
      <c r="L71" s="28" t="s">
        <v>37</v>
      </c>
      <c r="M71" s="19">
        <v>3</v>
      </c>
      <c r="N71" s="20" t="s">
        <v>78</v>
      </c>
    </row>
    <row r="72" spans="2:14" ht="40.5" customHeight="1" x14ac:dyDescent="0.25">
      <c r="B72" s="12">
        <v>66</v>
      </c>
      <c r="C72" s="18" t="s">
        <v>179</v>
      </c>
      <c r="D72" s="143" t="s">
        <v>24</v>
      </c>
      <c r="E72" s="143"/>
      <c r="F72" s="143"/>
      <c r="G72" s="143"/>
      <c r="H72" s="28" t="s">
        <v>222</v>
      </c>
      <c r="I72" s="28" t="s">
        <v>72</v>
      </c>
      <c r="J72" s="28">
        <v>1520</v>
      </c>
      <c r="K72" s="19">
        <v>2</v>
      </c>
      <c r="L72" s="28" t="s">
        <v>37</v>
      </c>
      <c r="M72" s="19">
        <v>3</v>
      </c>
      <c r="N72" s="20" t="s">
        <v>78</v>
      </c>
    </row>
    <row r="73" spans="2:14" ht="40.5" customHeight="1" x14ac:dyDescent="0.25">
      <c r="B73" s="12">
        <v>67</v>
      </c>
      <c r="C73" s="18" t="s">
        <v>180</v>
      </c>
      <c r="D73" s="143" t="s">
        <v>24</v>
      </c>
      <c r="E73" s="143"/>
      <c r="F73" s="143"/>
      <c r="G73" s="143"/>
      <c r="H73" s="28" t="s">
        <v>222</v>
      </c>
      <c r="I73" s="28" t="s">
        <v>80</v>
      </c>
      <c r="J73" s="28">
        <v>1525</v>
      </c>
      <c r="K73" s="19">
        <v>2</v>
      </c>
      <c r="L73" s="28" t="s">
        <v>37</v>
      </c>
      <c r="M73" s="19">
        <v>3</v>
      </c>
      <c r="N73" s="20" t="s">
        <v>78</v>
      </c>
    </row>
    <row r="74" spans="2:14" ht="40.5" customHeight="1" x14ac:dyDescent="0.25">
      <c r="B74" s="12">
        <v>68</v>
      </c>
      <c r="C74" s="18" t="s">
        <v>181</v>
      </c>
      <c r="D74" s="143" t="s">
        <v>24</v>
      </c>
      <c r="E74" s="143"/>
      <c r="F74" s="143"/>
      <c r="G74" s="143"/>
      <c r="H74" s="28" t="s">
        <v>222</v>
      </c>
      <c r="I74" s="28" t="s">
        <v>81</v>
      </c>
      <c r="J74" s="28">
        <v>1525</v>
      </c>
      <c r="K74" s="19">
        <v>2</v>
      </c>
      <c r="L74" s="28" t="s">
        <v>37</v>
      </c>
      <c r="M74" s="19">
        <v>3</v>
      </c>
      <c r="N74" s="20" t="s">
        <v>78</v>
      </c>
    </row>
    <row r="75" spans="2:14" ht="40.5" customHeight="1" x14ac:dyDescent="0.25">
      <c r="B75" s="12">
        <v>69</v>
      </c>
      <c r="C75" s="18" t="s">
        <v>182</v>
      </c>
      <c r="D75" s="143" t="s">
        <v>24</v>
      </c>
      <c r="E75" s="143"/>
      <c r="F75" s="143"/>
      <c r="G75" s="143"/>
      <c r="H75" s="28" t="s">
        <v>222</v>
      </c>
      <c r="I75" s="28" t="s">
        <v>44</v>
      </c>
      <c r="J75" s="28">
        <v>1525</v>
      </c>
      <c r="K75" s="19">
        <v>2</v>
      </c>
      <c r="L75" s="28" t="s">
        <v>37</v>
      </c>
      <c r="M75" s="19">
        <v>3</v>
      </c>
      <c r="N75" s="20" t="s">
        <v>78</v>
      </c>
    </row>
    <row r="76" spans="2:14" ht="40.5" customHeight="1" x14ac:dyDescent="0.25">
      <c r="B76" s="12">
        <v>70</v>
      </c>
      <c r="C76" s="18" t="s">
        <v>183</v>
      </c>
      <c r="D76" s="143" t="s">
        <v>24</v>
      </c>
      <c r="E76" s="143"/>
      <c r="F76" s="143"/>
      <c r="G76" s="143"/>
      <c r="H76" s="28" t="s">
        <v>222</v>
      </c>
      <c r="I76" s="28" t="s">
        <v>30</v>
      </c>
      <c r="J76" s="28">
        <v>1665</v>
      </c>
      <c r="K76" s="19">
        <v>3</v>
      </c>
      <c r="L76" s="20" t="s">
        <v>78</v>
      </c>
      <c r="M76" s="19">
        <v>2</v>
      </c>
      <c r="N76" s="20">
        <v>561349000</v>
      </c>
    </row>
    <row r="77" spans="2:14" ht="40.5" customHeight="1" x14ac:dyDescent="0.25">
      <c r="B77" s="12">
        <v>71</v>
      </c>
      <c r="C77" s="18" t="s">
        <v>184</v>
      </c>
      <c r="D77" s="143" t="s">
        <v>24</v>
      </c>
      <c r="E77" s="143"/>
      <c r="F77" s="143"/>
      <c r="G77" s="143"/>
      <c r="H77" s="28" t="s">
        <v>222</v>
      </c>
      <c r="I77" s="28" t="s">
        <v>49</v>
      </c>
      <c r="J77" s="28">
        <v>1665</v>
      </c>
      <c r="K77" s="19">
        <v>3</v>
      </c>
      <c r="L77" s="20" t="s">
        <v>78</v>
      </c>
      <c r="M77" s="19">
        <v>2</v>
      </c>
      <c r="N77" s="20">
        <v>561349000</v>
      </c>
    </row>
    <row r="78" spans="2:14" ht="40.5" customHeight="1" x14ac:dyDescent="0.25">
      <c r="B78" s="12">
        <v>72</v>
      </c>
      <c r="C78" s="18" t="s">
        <v>185</v>
      </c>
      <c r="D78" s="143" t="s">
        <v>24</v>
      </c>
      <c r="E78" s="143"/>
      <c r="F78" s="143"/>
      <c r="G78" s="143"/>
      <c r="H78" s="28" t="s">
        <v>222</v>
      </c>
      <c r="I78" s="28" t="s">
        <v>33</v>
      </c>
      <c r="J78" s="28">
        <v>1665</v>
      </c>
      <c r="K78" s="19">
        <v>3</v>
      </c>
      <c r="L78" s="20" t="s">
        <v>78</v>
      </c>
      <c r="M78" s="19">
        <v>2</v>
      </c>
      <c r="N78" s="20">
        <v>561349000</v>
      </c>
    </row>
    <row r="79" spans="2:14" ht="40.5" customHeight="1" x14ac:dyDescent="0.25">
      <c r="B79" s="12">
        <v>73</v>
      </c>
      <c r="C79" s="18" t="s">
        <v>186</v>
      </c>
      <c r="D79" s="143" t="s">
        <v>24</v>
      </c>
      <c r="E79" s="143"/>
      <c r="F79" s="143"/>
      <c r="G79" s="143"/>
      <c r="H79" s="28" t="s">
        <v>222</v>
      </c>
      <c r="I79" s="28" t="s">
        <v>19</v>
      </c>
      <c r="J79" s="28">
        <v>1300</v>
      </c>
      <c r="K79" s="19">
        <v>3</v>
      </c>
      <c r="L79" s="20" t="s">
        <v>78</v>
      </c>
      <c r="M79" s="19">
        <v>2</v>
      </c>
      <c r="N79" s="20">
        <v>561349000</v>
      </c>
    </row>
    <row r="80" spans="2:14" ht="40.5" customHeight="1" x14ac:dyDescent="0.25">
      <c r="B80" s="12">
        <v>74</v>
      </c>
      <c r="C80" s="18" t="s">
        <v>187</v>
      </c>
      <c r="D80" s="143" t="s">
        <v>24</v>
      </c>
      <c r="E80" s="143"/>
      <c r="F80" s="143"/>
      <c r="G80" s="143"/>
      <c r="H80" s="28" t="s">
        <v>222</v>
      </c>
      <c r="I80" s="28" t="s">
        <v>82</v>
      </c>
      <c r="J80" s="28">
        <v>1300</v>
      </c>
      <c r="K80" s="19">
        <v>3</v>
      </c>
      <c r="L80" s="20" t="s">
        <v>78</v>
      </c>
      <c r="M80" s="19">
        <v>2</v>
      </c>
      <c r="N80" s="20">
        <v>561349000</v>
      </c>
    </row>
    <row r="81" spans="2:14" ht="40.5" customHeight="1" x14ac:dyDescent="0.25">
      <c r="B81" s="12">
        <v>75</v>
      </c>
      <c r="C81" s="18" t="s">
        <v>188</v>
      </c>
      <c r="D81" s="143" t="s">
        <v>24</v>
      </c>
      <c r="E81" s="143"/>
      <c r="F81" s="143"/>
      <c r="G81" s="143"/>
      <c r="H81" s="28" t="s">
        <v>222</v>
      </c>
      <c r="I81" s="28" t="s">
        <v>83</v>
      </c>
      <c r="J81" s="28">
        <v>1300</v>
      </c>
      <c r="K81" s="19">
        <v>3</v>
      </c>
      <c r="L81" s="20" t="s">
        <v>78</v>
      </c>
      <c r="M81" s="19">
        <v>2</v>
      </c>
      <c r="N81" s="20">
        <v>561349000</v>
      </c>
    </row>
    <row r="82" spans="2:14" ht="40.5" customHeight="1" x14ac:dyDescent="0.25">
      <c r="B82" s="12">
        <v>76</v>
      </c>
      <c r="C82" s="18" t="s">
        <v>189</v>
      </c>
      <c r="D82" s="143" t="s">
        <v>24</v>
      </c>
      <c r="E82" s="143"/>
      <c r="F82" s="143"/>
      <c r="G82" s="143"/>
      <c r="H82" s="28" t="s">
        <v>222</v>
      </c>
      <c r="I82" s="28" t="s">
        <v>76</v>
      </c>
      <c r="J82" s="28">
        <v>300</v>
      </c>
      <c r="K82" s="19">
        <v>2</v>
      </c>
      <c r="L82" s="28" t="s">
        <v>37</v>
      </c>
      <c r="M82" s="19">
        <v>7</v>
      </c>
      <c r="N82" s="20" t="s">
        <v>85</v>
      </c>
    </row>
    <row r="83" spans="2:14" ht="40.5" customHeight="1" x14ac:dyDescent="0.25">
      <c r="B83" s="12">
        <v>77</v>
      </c>
      <c r="C83" s="18" t="s">
        <v>190</v>
      </c>
      <c r="D83" s="143" t="s">
        <v>24</v>
      </c>
      <c r="E83" s="143"/>
      <c r="F83" s="143"/>
      <c r="G83" s="143"/>
      <c r="H83" s="28" t="s">
        <v>222</v>
      </c>
      <c r="I83" s="28" t="s">
        <v>76</v>
      </c>
      <c r="J83" s="28">
        <v>800</v>
      </c>
      <c r="K83" s="19">
        <v>3</v>
      </c>
      <c r="L83" s="20" t="s">
        <v>78</v>
      </c>
      <c r="M83" s="19">
        <v>7</v>
      </c>
      <c r="N83" s="20" t="s">
        <v>84</v>
      </c>
    </row>
    <row r="84" spans="2:14" ht="40.5" customHeight="1" x14ac:dyDescent="0.25">
      <c r="B84" s="12">
        <v>78</v>
      </c>
      <c r="C84" s="18" t="s">
        <v>191</v>
      </c>
      <c r="D84" s="143" t="s">
        <v>24</v>
      </c>
      <c r="E84" s="143"/>
      <c r="F84" s="143"/>
      <c r="G84" s="143"/>
      <c r="H84" s="28" t="s">
        <v>222</v>
      </c>
      <c r="I84" s="28" t="s">
        <v>76</v>
      </c>
      <c r="J84" s="28">
        <v>1170</v>
      </c>
      <c r="K84" s="19">
        <v>3</v>
      </c>
      <c r="L84" s="20" t="s">
        <v>78</v>
      </c>
      <c r="M84" s="19">
        <v>7</v>
      </c>
      <c r="N84" s="20" t="s">
        <v>84</v>
      </c>
    </row>
    <row r="85" spans="2:14" ht="40.5" customHeight="1" x14ac:dyDescent="0.25">
      <c r="B85" s="12">
        <v>79</v>
      </c>
      <c r="C85" s="18" t="s">
        <v>192</v>
      </c>
      <c r="D85" s="143" t="s">
        <v>24</v>
      </c>
      <c r="E85" s="143"/>
      <c r="F85" s="143"/>
      <c r="G85" s="143"/>
      <c r="H85" s="28" t="s">
        <v>222</v>
      </c>
      <c r="I85" s="28" t="s">
        <v>49</v>
      </c>
      <c r="J85" s="28">
        <v>1610</v>
      </c>
      <c r="K85" s="19">
        <v>2</v>
      </c>
      <c r="L85" s="28" t="s">
        <v>37</v>
      </c>
      <c r="M85" s="19">
        <v>7</v>
      </c>
      <c r="N85" s="20" t="s">
        <v>86</v>
      </c>
    </row>
    <row r="86" spans="2:14" ht="40.5" customHeight="1" x14ac:dyDescent="0.25">
      <c r="B86" s="12">
        <v>80</v>
      </c>
      <c r="C86" s="18" t="s">
        <v>193</v>
      </c>
      <c r="D86" s="143" t="s">
        <v>24</v>
      </c>
      <c r="E86" s="143"/>
      <c r="F86" s="143"/>
      <c r="G86" s="143"/>
      <c r="H86" s="28" t="s">
        <v>222</v>
      </c>
      <c r="I86" s="28" t="s">
        <v>15</v>
      </c>
      <c r="J86" s="28">
        <v>650</v>
      </c>
      <c r="K86" s="19">
        <v>3</v>
      </c>
      <c r="L86" s="28">
        <v>39000048</v>
      </c>
      <c r="M86" s="19">
        <v>7</v>
      </c>
      <c r="N86" s="20" t="s">
        <v>87</v>
      </c>
    </row>
    <row r="87" spans="2:14" ht="40.5" customHeight="1" x14ac:dyDescent="0.25">
      <c r="B87" s="12">
        <v>81</v>
      </c>
      <c r="C87" s="18" t="s">
        <v>194</v>
      </c>
      <c r="D87" s="143" t="s">
        <v>24</v>
      </c>
      <c r="E87" s="143"/>
      <c r="F87" s="143"/>
      <c r="G87" s="143"/>
      <c r="H87" s="28" t="s">
        <v>222</v>
      </c>
      <c r="I87" s="28" t="s">
        <v>15</v>
      </c>
      <c r="J87" s="34">
        <v>710</v>
      </c>
      <c r="K87" s="19">
        <v>7</v>
      </c>
      <c r="L87" s="20" t="s">
        <v>88</v>
      </c>
      <c r="M87" s="19">
        <v>7</v>
      </c>
      <c r="N87" s="20" t="s">
        <v>89</v>
      </c>
    </row>
    <row r="88" spans="2:14" ht="40.5" customHeight="1" x14ac:dyDescent="0.25">
      <c r="B88" s="12">
        <v>82</v>
      </c>
      <c r="C88" s="18" t="s">
        <v>195</v>
      </c>
      <c r="D88" s="143" t="s">
        <v>24</v>
      </c>
      <c r="E88" s="143"/>
      <c r="F88" s="143"/>
      <c r="G88" s="143"/>
      <c r="H88" s="28" t="s">
        <v>222</v>
      </c>
      <c r="I88" s="28" t="s">
        <v>49</v>
      </c>
      <c r="J88" s="34">
        <v>710</v>
      </c>
      <c r="K88" s="19">
        <v>7</v>
      </c>
      <c r="L88" s="20" t="s">
        <v>90</v>
      </c>
      <c r="M88" s="19">
        <v>7</v>
      </c>
      <c r="N88" s="20" t="s">
        <v>91</v>
      </c>
    </row>
    <row r="89" spans="2:14" ht="40.5" customHeight="1" x14ac:dyDescent="0.25">
      <c r="B89" s="12">
        <v>83</v>
      </c>
      <c r="C89" s="18" t="s">
        <v>227</v>
      </c>
      <c r="D89" s="143" t="s">
        <v>24</v>
      </c>
      <c r="E89" s="143"/>
      <c r="F89" s="143"/>
      <c r="G89" s="143"/>
      <c r="H89" s="28" t="s">
        <v>222</v>
      </c>
      <c r="I89" s="28" t="s">
        <v>97</v>
      </c>
      <c r="J89" s="28">
        <v>1810</v>
      </c>
      <c r="K89" s="19">
        <v>2</v>
      </c>
      <c r="L89" s="28" t="s">
        <v>37</v>
      </c>
      <c r="M89" s="19">
        <v>3</v>
      </c>
      <c r="N89" s="20" t="s">
        <v>92</v>
      </c>
    </row>
    <row r="90" spans="2:14" ht="40.5" customHeight="1" x14ac:dyDescent="0.25">
      <c r="B90" s="12">
        <v>84</v>
      </c>
      <c r="C90" s="18" t="s">
        <v>196</v>
      </c>
      <c r="D90" s="143" t="s">
        <v>24</v>
      </c>
      <c r="E90" s="143"/>
      <c r="F90" s="143"/>
      <c r="G90" s="143"/>
      <c r="H90" s="28" t="s">
        <v>222</v>
      </c>
      <c r="I90" s="28" t="s">
        <v>19</v>
      </c>
      <c r="J90" s="28">
        <v>430</v>
      </c>
      <c r="K90" s="19">
        <v>3</v>
      </c>
      <c r="L90" s="28">
        <v>39000048</v>
      </c>
      <c r="M90" s="19">
        <v>7</v>
      </c>
      <c r="N90" s="20" t="s">
        <v>93</v>
      </c>
    </row>
    <row r="91" spans="2:14" ht="40.5" customHeight="1" x14ac:dyDescent="0.25">
      <c r="B91" s="12">
        <v>85</v>
      </c>
      <c r="C91" s="18" t="s">
        <v>197</v>
      </c>
      <c r="D91" s="143" t="s">
        <v>24</v>
      </c>
      <c r="E91" s="143"/>
      <c r="F91" s="143"/>
      <c r="G91" s="143"/>
      <c r="H91" s="28" t="s">
        <v>222</v>
      </c>
      <c r="I91" s="28" t="s">
        <v>16</v>
      </c>
      <c r="J91" s="28">
        <v>400</v>
      </c>
      <c r="K91" s="19">
        <v>3</v>
      </c>
      <c r="L91" s="28">
        <v>39000048</v>
      </c>
      <c r="M91" s="19">
        <v>7</v>
      </c>
      <c r="N91" s="20" t="s">
        <v>94</v>
      </c>
    </row>
    <row r="92" spans="2:14" ht="40.5" customHeight="1" x14ac:dyDescent="0.25">
      <c r="B92" s="12">
        <v>86</v>
      </c>
      <c r="C92" s="18" t="s">
        <v>198</v>
      </c>
      <c r="D92" s="143" t="s">
        <v>24</v>
      </c>
      <c r="E92" s="143"/>
      <c r="F92" s="143"/>
      <c r="G92" s="143"/>
      <c r="H92" s="28" t="s">
        <v>222</v>
      </c>
      <c r="I92" s="28" t="s">
        <v>18</v>
      </c>
      <c r="J92" s="28">
        <v>395</v>
      </c>
      <c r="K92" s="19">
        <v>3</v>
      </c>
      <c r="L92" s="28">
        <v>39000048</v>
      </c>
      <c r="M92" s="19">
        <v>7</v>
      </c>
      <c r="N92" s="20" t="s">
        <v>95</v>
      </c>
    </row>
    <row r="93" spans="2:14" ht="40.5" customHeight="1" x14ac:dyDescent="0.25">
      <c r="B93" s="12">
        <v>87</v>
      </c>
      <c r="C93" s="18" t="s">
        <v>219</v>
      </c>
      <c r="D93" s="143" t="s">
        <v>24</v>
      </c>
      <c r="E93" s="143"/>
      <c r="F93" s="143"/>
      <c r="G93" s="143"/>
      <c r="H93" s="28" t="s">
        <v>222</v>
      </c>
      <c r="I93" s="28" t="s">
        <v>49</v>
      </c>
      <c r="J93" s="28">
        <v>1285</v>
      </c>
      <c r="K93" s="33">
        <v>7</v>
      </c>
      <c r="L93" s="21" t="s">
        <v>230</v>
      </c>
      <c r="M93" s="19">
        <v>3</v>
      </c>
      <c r="N93" s="22" t="s">
        <v>218</v>
      </c>
    </row>
    <row r="94" spans="2:14" ht="40.5" customHeight="1" x14ac:dyDescent="0.25">
      <c r="B94" s="12">
        <v>88</v>
      </c>
      <c r="C94" s="18" t="s">
        <v>108</v>
      </c>
      <c r="D94" s="143" t="s">
        <v>31</v>
      </c>
      <c r="E94" s="143"/>
      <c r="F94" s="143"/>
      <c r="G94" s="143"/>
      <c r="H94" s="28" t="s">
        <v>214</v>
      </c>
      <c r="I94" s="28" t="s">
        <v>96</v>
      </c>
      <c r="J94" s="28">
        <v>360</v>
      </c>
      <c r="K94" s="33">
        <v>4.8</v>
      </c>
      <c r="L94" s="28" t="s">
        <v>45</v>
      </c>
      <c r="M94" s="19">
        <v>10</v>
      </c>
      <c r="N94" s="20" t="s">
        <v>206</v>
      </c>
    </row>
    <row r="95" spans="2:14" ht="40.5" customHeight="1" x14ac:dyDescent="0.25">
      <c r="B95" s="12">
        <v>89</v>
      </c>
      <c r="C95" s="18" t="s">
        <v>109</v>
      </c>
      <c r="D95" s="143" t="s">
        <v>24</v>
      </c>
      <c r="E95" s="143"/>
      <c r="F95" s="143"/>
      <c r="G95" s="143"/>
      <c r="H95" s="28" t="s">
        <v>222</v>
      </c>
      <c r="I95" s="28" t="s">
        <v>97</v>
      </c>
      <c r="J95" s="28">
        <v>2020</v>
      </c>
      <c r="K95" s="19">
        <v>2</v>
      </c>
      <c r="L95" s="28">
        <v>561349000</v>
      </c>
      <c r="M95" s="19">
        <v>3</v>
      </c>
      <c r="N95" s="20" t="s">
        <v>25</v>
      </c>
    </row>
    <row r="96" spans="2:14" ht="40.5" customHeight="1" x14ac:dyDescent="0.25">
      <c r="B96" s="12">
        <v>90</v>
      </c>
      <c r="C96" s="18" t="s">
        <v>110</v>
      </c>
      <c r="D96" s="143" t="s">
        <v>24</v>
      </c>
      <c r="E96" s="143"/>
      <c r="F96" s="143"/>
      <c r="G96" s="143"/>
      <c r="H96" s="28" t="s">
        <v>222</v>
      </c>
      <c r="I96" s="28" t="s">
        <v>98</v>
      </c>
      <c r="J96" s="28">
        <v>1765</v>
      </c>
      <c r="K96" s="19">
        <v>2</v>
      </c>
      <c r="L96" s="28">
        <v>561349000</v>
      </c>
      <c r="M96" s="19">
        <v>3</v>
      </c>
      <c r="N96" s="20" t="s">
        <v>107</v>
      </c>
    </row>
    <row r="97" spans="2:14" ht="40.5" customHeight="1" x14ac:dyDescent="0.25">
      <c r="B97" s="12">
        <v>91</v>
      </c>
      <c r="C97" s="18" t="s">
        <v>111</v>
      </c>
      <c r="D97" s="143" t="s">
        <v>24</v>
      </c>
      <c r="E97" s="143"/>
      <c r="F97" s="143"/>
      <c r="G97" s="143"/>
      <c r="H97" s="28" t="s">
        <v>222</v>
      </c>
      <c r="I97" s="28" t="s">
        <v>99</v>
      </c>
      <c r="J97" s="28">
        <v>1765</v>
      </c>
      <c r="K97" s="19">
        <v>2</v>
      </c>
      <c r="L97" s="28">
        <v>561349000</v>
      </c>
      <c r="M97" s="19">
        <v>3</v>
      </c>
      <c r="N97" s="20" t="s">
        <v>107</v>
      </c>
    </row>
    <row r="98" spans="2:14" ht="40.5" customHeight="1" x14ac:dyDescent="0.25">
      <c r="B98" s="12">
        <v>92</v>
      </c>
      <c r="C98" s="18" t="s">
        <v>112</v>
      </c>
      <c r="D98" s="143" t="s">
        <v>24</v>
      </c>
      <c r="E98" s="143"/>
      <c r="F98" s="143"/>
      <c r="G98" s="143"/>
      <c r="H98" s="28" t="s">
        <v>222</v>
      </c>
      <c r="I98" s="28" t="s">
        <v>100</v>
      </c>
      <c r="J98" s="28">
        <v>1765</v>
      </c>
      <c r="K98" s="19">
        <v>2</v>
      </c>
      <c r="L98" s="28">
        <v>561349000</v>
      </c>
      <c r="M98" s="19">
        <v>3</v>
      </c>
      <c r="N98" s="20" t="s">
        <v>107</v>
      </c>
    </row>
    <row r="99" spans="2:14" ht="40.5" customHeight="1" x14ac:dyDescent="0.25">
      <c r="B99" s="12">
        <v>93</v>
      </c>
      <c r="C99" s="18" t="s">
        <v>113</v>
      </c>
      <c r="D99" s="143" t="s">
        <v>24</v>
      </c>
      <c r="E99" s="143"/>
      <c r="F99" s="143"/>
      <c r="G99" s="143"/>
      <c r="H99" s="28" t="s">
        <v>222</v>
      </c>
      <c r="I99" s="28" t="s">
        <v>101</v>
      </c>
      <c r="J99" s="28">
        <v>1765</v>
      </c>
      <c r="K99" s="19">
        <v>2</v>
      </c>
      <c r="L99" s="28">
        <v>561349000</v>
      </c>
      <c r="M99" s="19">
        <v>3</v>
      </c>
      <c r="N99" s="20" t="s">
        <v>107</v>
      </c>
    </row>
    <row r="100" spans="2:14" ht="40.5" customHeight="1" x14ac:dyDescent="0.25">
      <c r="B100" s="12">
        <v>94</v>
      </c>
      <c r="C100" s="18" t="s">
        <v>114</v>
      </c>
      <c r="D100" s="143" t="s">
        <v>24</v>
      </c>
      <c r="E100" s="143"/>
      <c r="F100" s="143"/>
      <c r="G100" s="143"/>
      <c r="H100" s="28" t="s">
        <v>222</v>
      </c>
      <c r="I100" s="28" t="s">
        <v>98</v>
      </c>
      <c r="J100" s="28">
        <f>2400+10</f>
        <v>2410</v>
      </c>
      <c r="K100" s="19">
        <v>3</v>
      </c>
      <c r="L100" s="28" t="s">
        <v>107</v>
      </c>
      <c r="M100" s="19">
        <v>2</v>
      </c>
      <c r="N100" s="20">
        <v>561349000</v>
      </c>
    </row>
    <row r="101" spans="2:14" ht="40.5" customHeight="1" x14ac:dyDescent="0.25">
      <c r="B101" s="12">
        <v>95</v>
      </c>
      <c r="C101" s="18" t="s">
        <v>115</v>
      </c>
      <c r="D101" s="143" t="s">
        <v>24</v>
      </c>
      <c r="E101" s="143"/>
      <c r="F101" s="143"/>
      <c r="G101" s="143"/>
      <c r="H101" s="28" t="s">
        <v>222</v>
      </c>
      <c r="I101" s="28" t="s">
        <v>102</v>
      </c>
      <c r="J101" s="28">
        <f t="shared" ref="J101:J103" si="0">2400+10</f>
        <v>2410</v>
      </c>
      <c r="K101" s="19">
        <v>3</v>
      </c>
      <c r="L101" s="28" t="s">
        <v>107</v>
      </c>
      <c r="M101" s="19">
        <v>2</v>
      </c>
      <c r="N101" s="20">
        <v>561349000</v>
      </c>
    </row>
    <row r="102" spans="2:14" ht="40.5" customHeight="1" x14ac:dyDescent="0.25">
      <c r="B102" s="12">
        <v>96</v>
      </c>
      <c r="C102" s="18" t="s">
        <v>116</v>
      </c>
      <c r="D102" s="143" t="s">
        <v>24</v>
      </c>
      <c r="E102" s="143"/>
      <c r="F102" s="143"/>
      <c r="G102" s="143"/>
      <c r="H102" s="28" t="s">
        <v>222</v>
      </c>
      <c r="I102" s="28" t="s">
        <v>103</v>
      </c>
      <c r="J102" s="28">
        <f t="shared" si="0"/>
        <v>2410</v>
      </c>
      <c r="K102" s="19">
        <v>2</v>
      </c>
      <c r="L102" s="28">
        <v>561349000</v>
      </c>
      <c r="M102" s="19">
        <v>3</v>
      </c>
      <c r="N102" s="20" t="s">
        <v>107</v>
      </c>
    </row>
    <row r="103" spans="2:14" ht="40.5" customHeight="1" x14ac:dyDescent="0.25">
      <c r="B103" s="12">
        <v>97</v>
      </c>
      <c r="C103" s="18" t="s">
        <v>117</v>
      </c>
      <c r="D103" s="143" t="s">
        <v>24</v>
      </c>
      <c r="E103" s="143"/>
      <c r="F103" s="143"/>
      <c r="G103" s="143"/>
      <c r="H103" s="28" t="s">
        <v>222</v>
      </c>
      <c r="I103" s="28" t="s">
        <v>104</v>
      </c>
      <c r="J103" s="28">
        <f t="shared" si="0"/>
        <v>2410</v>
      </c>
      <c r="K103" s="19">
        <v>2</v>
      </c>
      <c r="L103" s="28">
        <v>561349000</v>
      </c>
      <c r="M103" s="19">
        <v>3</v>
      </c>
      <c r="N103" s="20" t="s">
        <v>107</v>
      </c>
    </row>
    <row r="104" spans="2:14" ht="40.5" customHeight="1" x14ac:dyDescent="0.25">
      <c r="B104" s="12">
        <v>98</v>
      </c>
      <c r="C104" s="18" t="s">
        <v>118</v>
      </c>
      <c r="D104" s="143" t="s">
        <v>24</v>
      </c>
      <c r="E104" s="143"/>
      <c r="F104" s="143"/>
      <c r="G104" s="143"/>
      <c r="H104" s="28" t="s">
        <v>222</v>
      </c>
      <c r="I104" s="28" t="s">
        <v>97</v>
      </c>
      <c r="J104" s="28">
        <f>1060+35</f>
        <v>1095</v>
      </c>
      <c r="K104" s="19">
        <v>3</v>
      </c>
      <c r="L104" s="28" t="s">
        <v>107</v>
      </c>
      <c r="M104" s="19">
        <v>7</v>
      </c>
      <c r="N104" s="20" t="s">
        <v>207</v>
      </c>
    </row>
    <row r="105" spans="2:14" ht="40.5" customHeight="1" x14ac:dyDescent="0.25">
      <c r="B105" s="12">
        <v>99</v>
      </c>
      <c r="C105" s="18" t="s">
        <v>231</v>
      </c>
      <c r="D105" s="143" t="s">
        <v>24</v>
      </c>
      <c r="E105" s="143"/>
      <c r="F105" s="143"/>
      <c r="G105" s="143"/>
      <c r="H105" s="28" t="s">
        <v>222</v>
      </c>
      <c r="I105" s="28" t="s">
        <v>73</v>
      </c>
      <c r="J105" s="28">
        <v>1570</v>
      </c>
      <c r="K105" s="19">
        <v>3</v>
      </c>
      <c r="L105" s="28" t="s">
        <v>107</v>
      </c>
      <c r="M105" s="19">
        <v>2</v>
      </c>
      <c r="N105" s="28" t="s">
        <v>37</v>
      </c>
    </row>
    <row r="106" spans="2:14" ht="40.5" customHeight="1" x14ac:dyDescent="0.25">
      <c r="B106" s="12">
        <v>100</v>
      </c>
      <c r="C106" s="18" t="s">
        <v>232</v>
      </c>
      <c r="D106" s="143" t="s">
        <v>24</v>
      </c>
      <c r="E106" s="143"/>
      <c r="F106" s="143"/>
      <c r="G106" s="143"/>
      <c r="H106" s="28" t="s">
        <v>222</v>
      </c>
      <c r="I106" s="28" t="s">
        <v>77</v>
      </c>
      <c r="J106" s="28">
        <v>1570</v>
      </c>
      <c r="K106" s="19">
        <v>3</v>
      </c>
      <c r="L106" s="28" t="s">
        <v>107</v>
      </c>
      <c r="M106" s="19">
        <v>2</v>
      </c>
      <c r="N106" s="28" t="s">
        <v>37</v>
      </c>
    </row>
    <row r="107" spans="2:14" ht="40.5" customHeight="1" x14ac:dyDescent="0.25">
      <c r="B107" s="12">
        <v>101</v>
      </c>
      <c r="C107" s="18" t="s">
        <v>233</v>
      </c>
      <c r="D107" s="143" t="s">
        <v>24</v>
      </c>
      <c r="E107" s="143"/>
      <c r="F107" s="143"/>
      <c r="G107" s="143"/>
      <c r="H107" s="28" t="s">
        <v>222</v>
      </c>
      <c r="I107" s="28" t="s">
        <v>49</v>
      </c>
      <c r="J107" s="28">
        <v>1325</v>
      </c>
      <c r="K107" s="19">
        <v>3</v>
      </c>
      <c r="L107" s="28" t="s">
        <v>107</v>
      </c>
      <c r="M107" s="19">
        <v>2</v>
      </c>
      <c r="N107" s="28">
        <v>561349000</v>
      </c>
    </row>
    <row r="108" spans="2:14" ht="40.5" customHeight="1" x14ac:dyDescent="0.25">
      <c r="B108" s="12">
        <v>102</v>
      </c>
      <c r="C108" s="18" t="s">
        <v>234</v>
      </c>
      <c r="D108" s="143" t="s">
        <v>24</v>
      </c>
      <c r="E108" s="143"/>
      <c r="F108" s="143"/>
      <c r="G108" s="143"/>
      <c r="H108" s="28" t="s">
        <v>222</v>
      </c>
      <c r="I108" s="21" t="s">
        <v>240</v>
      </c>
      <c r="J108" s="28">
        <v>1570</v>
      </c>
      <c r="K108" s="19">
        <v>3</v>
      </c>
      <c r="L108" s="28" t="s">
        <v>107</v>
      </c>
      <c r="M108" s="19">
        <v>2</v>
      </c>
      <c r="N108" s="28" t="s">
        <v>37</v>
      </c>
    </row>
    <row r="109" spans="2:14" ht="40.5" customHeight="1" x14ac:dyDescent="0.25">
      <c r="B109" s="12">
        <v>103</v>
      </c>
      <c r="C109" s="18" t="s">
        <v>235</v>
      </c>
      <c r="D109" s="143" t="s">
        <v>24</v>
      </c>
      <c r="E109" s="143"/>
      <c r="F109" s="143"/>
      <c r="G109" s="143"/>
      <c r="H109" s="28" t="s">
        <v>222</v>
      </c>
      <c r="I109" s="28" t="s">
        <v>30</v>
      </c>
      <c r="J109" s="28">
        <v>1570</v>
      </c>
      <c r="K109" s="19">
        <v>3</v>
      </c>
      <c r="L109" s="28" t="s">
        <v>107</v>
      </c>
      <c r="M109" s="19">
        <v>2</v>
      </c>
      <c r="N109" s="28" t="s">
        <v>37</v>
      </c>
    </row>
    <row r="110" spans="2:14" ht="40.5" customHeight="1" x14ac:dyDescent="0.25">
      <c r="B110" s="12">
        <v>104</v>
      </c>
      <c r="C110" s="18" t="s">
        <v>236</v>
      </c>
      <c r="D110" s="143" t="s">
        <v>24</v>
      </c>
      <c r="E110" s="143"/>
      <c r="F110" s="143"/>
      <c r="G110" s="143"/>
      <c r="H110" s="28" t="s">
        <v>222</v>
      </c>
      <c r="I110" s="28" t="s">
        <v>17</v>
      </c>
      <c r="J110" s="34">
        <f>2890-15</f>
        <v>2875</v>
      </c>
      <c r="K110" s="19">
        <v>2</v>
      </c>
      <c r="L110" s="28" t="s">
        <v>40</v>
      </c>
      <c r="M110" s="19">
        <v>7</v>
      </c>
      <c r="N110" s="20" t="s">
        <v>241</v>
      </c>
    </row>
    <row r="111" spans="2:14" ht="40.5" customHeight="1" x14ac:dyDescent="0.25">
      <c r="B111" s="12">
        <v>105</v>
      </c>
      <c r="C111" s="18" t="s">
        <v>237</v>
      </c>
      <c r="D111" s="143" t="s">
        <v>24</v>
      </c>
      <c r="E111" s="143"/>
      <c r="F111" s="143"/>
      <c r="G111" s="143"/>
      <c r="H111" s="28" t="s">
        <v>222</v>
      </c>
      <c r="I111" s="28" t="s">
        <v>18</v>
      </c>
      <c r="J111" s="28">
        <v>830</v>
      </c>
      <c r="K111" s="19">
        <v>2</v>
      </c>
      <c r="L111" s="28" t="s">
        <v>40</v>
      </c>
      <c r="M111" s="19">
        <v>7</v>
      </c>
      <c r="N111" s="20" t="s">
        <v>242</v>
      </c>
    </row>
    <row r="112" spans="2:14" ht="40.5" customHeight="1" x14ac:dyDescent="0.25">
      <c r="B112" s="12">
        <v>106</v>
      </c>
      <c r="C112" s="18" t="s">
        <v>238</v>
      </c>
      <c r="D112" s="143" t="s">
        <v>24</v>
      </c>
      <c r="E112" s="143"/>
      <c r="F112" s="143"/>
      <c r="G112" s="143"/>
      <c r="H112" s="28" t="s">
        <v>222</v>
      </c>
      <c r="I112" s="28" t="s">
        <v>29</v>
      </c>
      <c r="J112" s="28">
        <v>1325</v>
      </c>
      <c r="K112" s="19">
        <v>3</v>
      </c>
      <c r="L112" s="28" t="s">
        <v>107</v>
      </c>
      <c r="M112" s="19">
        <v>2</v>
      </c>
      <c r="N112" s="28">
        <v>561349000</v>
      </c>
    </row>
    <row r="113" spans="2:14" ht="40.5" customHeight="1" x14ac:dyDescent="0.25">
      <c r="B113" s="12">
        <v>107</v>
      </c>
      <c r="C113" s="18" t="s">
        <v>239</v>
      </c>
      <c r="D113" s="143" t="s">
        <v>24</v>
      </c>
      <c r="E113" s="143"/>
      <c r="F113" s="143"/>
      <c r="G113" s="143"/>
      <c r="H113" s="28" t="s">
        <v>222</v>
      </c>
      <c r="I113" s="28" t="s">
        <v>72</v>
      </c>
      <c r="J113" s="28">
        <v>1765</v>
      </c>
      <c r="K113" s="19">
        <v>3</v>
      </c>
      <c r="L113" s="28" t="s">
        <v>107</v>
      </c>
      <c r="M113" s="19">
        <v>2</v>
      </c>
      <c r="N113" s="28">
        <v>561349000</v>
      </c>
    </row>
    <row r="114" spans="2:14" ht="40.5" customHeight="1" x14ac:dyDescent="0.25">
      <c r="B114" s="12">
        <v>108</v>
      </c>
      <c r="C114" s="18" t="s">
        <v>243</v>
      </c>
      <c r="D114" s="143" t="s">
        <v>24</v>
      </c>
      <c r="E114" s="143"/>
      <c r="F114" s="143"/>
      <c r="G114" s="143"/>
      <c r="H114" s="28" t="s">
        <v>222</v>
      </c>
      <c r="I114" s="28" t="s">
        <v>15</v>
      </c>
      <c r="J114" s="28">
        <v>1765</v>
      </c>
      <c r="K114" s="19">
        <v>3</v>
      </c>
      <c r="L114" s="28" t="s">
        <v>107</v>
      </c>
      <c r="M114" s="19">
        <v>2</v>
      </c>
      <c r="N114" s="28">
        <v>561349000</v>
      </c>
    </row>
    <row r="115" spans="2:14" ht="40.5" customHeight="1" x14ac:dyDescent="0.25">
      <c r="B115" s="12">
        <v>109</v>
      </c>
      <c r="C115" s="18" t="s">
        <v>244</v>
      </c>
      <c r="D115" s="143" t="s">
        <v>24</v>
      </c>
      <c r="E115" s="143"/>
      <c r="F115" s="143"/>
      <c r="G115" s="143"/>
      <c r="H115" s="28" t="s">
        <v>222</v>
      </c>
      <c r="I115" s="28" t="s">
        <v>73</v>
      </c>
      <c r="J115" s="34">
        <v>1160</v>
      </c>
      <c r="K115" s="19">
        <v>3</v>
      </c>
      <c r="L115" s="20" t="s">
        <v>25</v>
      </c>
      <c r="M115" s="19">
        <v>2</v>
      </c>
      <c r="N115" s="28">
        <v>561349000</v>
      </c>
    </row>
    <row r="116" spans="2:14" ht="40.5" customHeight="1" x14ac:dyDescent="0.25">
      <c r="B116" s="12">
        <v>110</v>
      </c>
      <c r="C116" s="18" t="s">
        <v>245</v>
      </c>
      <c r="D116" s="143" t="s">
        <v>24</v>
      </c>
      <c r="E116" s="143"/>
      <c r="F116" s="143"/>
      <c r="G116" s="143"/>
      <c r="H116" s="28" t="s">
        <v>222</v>
      </c>
      <c r="I116" s="28" t="s">
        <v>253</v>
      </c>
      <c r="J116" s="34">
        <v>1160</v>
      </c>
      <c r="K116" s="19">
        <v>3</v>
      </c>
      <c r="L116" s="20" t="s">
        <v>25</v>
      </c>
      <c r="M116" s="19">
        <v>2</v>
      </c>
      <c r="N116" s="28">
        <v>561349000</v>
      </c>
    </row>
    <row r="117" spans="2:14" ht="40.5" customHeight="1" x14ac:dyDescent="0.25">
      <c r="B117" s="12">
        <v>111</v>
      </c>
      <c r="C117" s="18" t="s">
        <v>246</v>
      </c>
      <c r="D117" s="143" t="s">
        <v>31</v>
      </c>
      <c r="E117" s="143"/>
      <c r="F117" s="143"/>
      <c r="G117" s="143"/>
      <c r="H117" s="28" t="s">
        <v>214</v>
      </c>
      <c r="I117" s="28" t="s">
        <v>33</v>
      </c>
      <c r="J117" s="28">
        <v>715</v>
      </c>
      <c r="K117" s="19">
        <v>3</v>
      </c>
      <c r="L117" s="28" t="s">
        <v>254</v>
      </c>
      <c r="M117" s="33">
        <v>12</v>
      </c>
      <c r="N117" s="20" t="s">
        <v>255</v>
      </c>
    </row>
    <row r="118" spans="2:14" ht="40.5" customHeight="1" x14ac:dyDescent="0.25">
      <c r="B118" s="12">
        <v>112</v>
      </c>
      <c r="C118" s="18" t="s">
        <v>247</v>
      </c>
      <c r="D118" s="143" t="s">
        <v>31</v>
      </c>
      <c r="E118" s="143"/>
      <c r="F118" s="143"/>
      <c r="G118" s="143"/>
      <c r="H118" s="28" t="s">
        <v>214</v>
      </c>
      <c r="I118" s="28" t="s">
        <v>76</v>
      </c>
      <c r="J118" s="28">
        <v>1490</v>
      </c>
      <c r="K118" s="19">
        <v>3</v>
      </c>
      <c r="L118" s="28" t="s">
        <v>254</v>
      </c>
      <c r="M118" s="33">
        <v>3.5</v>
      </c>
      <c r="N118" s="28" t="s">
        <v>42</v>
      </c>
    </row>
    <row r="119" spans="2:14" ht="40.5" customHeight="1" x14ac:dyDescent="0.25">
      <c r="B119" s="12">
        <v>113</v>
      </c>
      <c r="C119" s="18" t="s">
        <v>248</v>
      </c>
      <c r="D119" s="143" t="s">
        <v>24</v>
      </c>
      <c r="E119" s="143"/>
      <c r="F119" s="143"/>
      <c r="G119" s="143"/>
      <c r="H119" s="28" t="s">
        <v>222</v>
      </c>
      <c r="I119" s="28" t="s">
        <v>17</v>
      </c>
      <c r="J119" s="28">
        <v>1060</v>
      </c>
      <c r="K119" s="19">
        <v>2</v>
      </c>
      <c r="L119" s="28" t="s">
        <v>40</v>
      </c>
      <c r="M119" s="19">
        <v>7</v>
      </c>
      <c r="N119" s="20" t="s">
        <v>256</v>
      </c>
    </row>
    <row r="120" spans="2:14" ht="40.5" customHeight="1" x14ac:dyDescent="0.25">
      <c r="B120" s="12">
        <v>114</v>
      </c>
      <c r="C120" s="18" t="s">
        <v>249</v>
      </c>
      <c r="D120" s="143" t="s">
        <v>24</v>
      </c>
      <c r="E120" s="143"/>
      <c r="F120" s="143"/>
      <c r="G120" s="143"/>
      <c r="H120" s="28" t="s">
        <v>222</v>
      </c>
      <c r="I120" s="28" t="s">
        <v>49</v>
      </c>
      <c r="J120" s="28">
        <v>1060</v>
      </c>
      <c r="K120" s="19">
        <v>2</v>
      </c>
      <c r="L120" s="28" t="s">
        <v>40</v>
      </c>
      <c r="M120" s="19">
        <v>7</v>
      </c>
      <c r="N120" s="20" t="s">
        <v>242</v>
      </c>
    </row>
    <row r="121" spans="2:14" ht="40.5" customHeight="1" x14ac:dyDescent="0.25">
      <c r="B121" s="12">
        <v>115</v>
      </c>
      <c r="C121" s="18" t="s">
        <v>250</v>
      </c>
      <c r="D121" s="143" t="s">
        <v>24</v>
      </c>
      <c r="E121" s="143"/>
      <c r="F121" s="143"/>
      <c r="G121" s="143"/>
      <c r="H121" s="28" t="s">
        <v>222</v>
      </c>
      <c r="I121" s="28" t="s">
        <v>49</v>
      </c>
      <c r="J121" s="34">
        <v>2875</v>
      </c>
      <c r="K121" s="19">
        <v>2</v>
      </c>
      <c r="L121" s="28" t="s">
        <v>40</v>
      </c>
      <c r="M121" s="19">
        <v>7</v>
      </c>
      <c r="N121" s="20" t="s">
        <v>256</v>
      </c>
    </row>
    <row r="122" spans="2:14" ht="40.5" customHeight="1" x14ac:dyDescent="0.25">
      <c r="B122" s="12">
        <v>116</v>
      </c>
      <c r="C122" s="18" t="s">
        <v>251</v>
      </c>
      <c r="D122" s="143" t="s">
        <v>24</v>
      </c>
      <c r="E122" s="143"/>
      <c r="F122" s="143"/>
      <c r="G122" s="143"/>
      <c r="H122" s="28" t="s">
        <v>222</v>
      </c>
      <c r="I122" s="28" t="s">
        <v>17</v>
      </c>
      <c r="J122" s="28">
        <v>1285</v>
      </c>
      <c r="K122" s="19">
        <v>3</v>
      </c>
      <c r="L122" s="20" t="s">
        <v>218</v>
      </c>
      <c r="M122" s="19">
        <v>7</v>
      </c>
      <c r="N122" s="20" t="s">
        <v>257</v>
      </c>
    </row>
    <row r="123" spans="2:14" ht="40.5" customHeight="1" x14ac:dyDescent="0.25">
      <c r="B123" s="12">
        <v>117</v>
      </c>
      <c r="C123" s="18" t="s">
        <v>252</v>
      </c>
      <c r="D123" s="143" t="s">
        <v>24</v>
      </c>
      <c r="E123" s="143"/>
      <c r="F123" s="143"/>
      <c r="G123" s="143"/>
      <c r="H123" s="28" t="s">
        <v>222</v>
      </c>
      <c r="I123" s="28" t="s">
        <v>49</v>
      </c>
      <c r="J123" s="28">
        <v>765</v>
      </c>
      <c r="K123" s="19">
        <v>3</v>
      </c>
      <c r="L123" s="28" t="s">
        <v>107</v>
      </c>
      <c r="M123" s="19">
        <v>7</v>
      </c>
      <c r="N123" s="35" t="s">
        <v>261</v>
      </c>
    </row>
    <row r="124" spans="2:14" ht="40.5" customHeight="1" x14ac:dyDescent="0.25">
      <c r="B124" s="12">
        <v>118</v>
      </c>
      <c r="C124" s="18" t="s">
        <v>258</v>
      </c>
      <c r="D124" s="143" t="s">
        <v>24</v>
      </c>
      <c r="E124" s="143"/>
      <c r="F124" s="143"/>
      <c r="G124" s="143"/>
      <c r="H124" s="28" t="s">
        <v>222</v>
      </c>
      <c r="I124" s="28" t="s">
        <v>17</v>
      </c>
      <c r="J124" s="28">
        <v>765</v>
      </c>
      <c r="K124" s="19">
        <v>3</v>
      </c>
      <c r="L124" s="28" t="s">
        <v>107</v>
      </c>
      <c r="M124" s="19">
        <v>7</v>
      </c>
      <c r="N124" s="20" t="s">
        <v>257</v>
      </c>
    </row>
    <row r="125" spans="2:14" ht="40.5" customHeight="1" x14ac:dyDescent="0.25">
      <c r="B125" s="12">
        <v>119</v>
      </c>
      <c r="C125" s="18" t="s">
        <v>259</v>
      </c>
      <c r="D125" s="143" t="s">
        <v>24</v>
      </c>
      <c r="E125" s="143"/>
      <c r="F125" s="143"/>
      <c r="G125" s="143"/>
      <c r="H125" s="28" t="s">
        <v>222</v>
      </c>
      <c r="I125" s="28" t="s">
        <v>19</v>
      </c>
      <c r="J125" s="34">
        <v>980</v>
      </c>
      <c r="K125" s="19">
        <v>2</v>
      </c>
      <c r="L125" s="28" t="s">
        <v>40</v>
      </c>
      <c r="M125" s="19">
        <v>2.8</v>
      </c>
      <c r="N125" s="20" t="s">
        <v>48</v>
      </c>
    </row>
    <row r="126" spans="2:14" ht="40.5" customHeight="1" x14ac:dyDescent="0.25">
      <c r="B126" s="12">
        <v>120</v>
      </c>
      <c r="C126" s="18" t="s">
        <v>260</v>
      </c>
      <c r="D126" s="143" t="s">
        <v>24</v>
      </c>
      <c r="E126" s="143"/>
      <c r="F126" s="143"/>
      <c r="G126" s="143"/>
      <c r="H126" s="28" t="s">
        <v>222</v>
      </c>
      <c r="I126" s="28" t="s">
        <v>29</v>
      </c>
      <c r="J126" s="34">
        <v>980</v>
      </c>
      <c r="K126" s="19">
        <v>2</v>
      </c>
      <c r="L126" s="28" t="s">
        <v>40</v>
      </c>
      <c r="M126" s="19">
        <v>2.8</v>
      </c>
      <c r="N126" s="20" t="s">
        <v>48</v>
      </c>
    </row>
    <row r="127" spans="2:14" ht="35.450000000000003" customHeight="1" thickBot="1" x14ac:dyDescent="0.3">
      <c r="B127" s="145"/>
      <c r="C127" s="146"/>
      <c r="D127" s="146"/>
      <c r="E127" s="146"/>
      <c r="F127" s="146"/>
      <c r="G127" s="146"/>
      <c r="H127" s="146"/>
      <c r="I127" s="146"/>
      <c r="J127" s="146"/>
      <c r="K127" s="146"/>
      <c r="L127" s="146"/>
      <c r="M127" s="146"/>
      <c r="N127" s="147"/>
    </row>
    <row r="128" spans="2:14" ht="31.35" customHeight="1" x14ac:dyDescent="0.25">
      <c r="B128" s="134"/>
      <c r="C128" s="135"/>
      <c r="D128" s="135"/>
      <c r="E128" s="135"/>
      <c r="F128" s="135"/>
      <c r="G128" s="135"/>
      <c r="H128" s="135"/>
      <c r="I128" s="135"/>
      <c r="J128" s="135"/>
      <c r="K128" s="135"/>
      <c r="L128" s="135"/>
      <c r="M128" s="135"/>
      <c r="N128" s="136"/>
    </row>
    <row r="129" spans="2:14" ht="9.75" hidden="1" customHeight="1" x14ac:dyDescent="0.25"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</row>
    <row r="130" spans="2:14" ht="21" customHeight="1" thickBot="1" x14ac:dyDescent="0.3">
      <c r="B130" s="137" t="s">
        <v>262</v>
      </c>
      <c r="C130" s="138"/>
      <c r="D130" s="138"/>
      <c r="E130" s="138"/>
      <c r="F130" s="138"/>
      <c r="G130" s="138"/>
      <c r="H130" s="29"/>
      <c r="I130" s="138" t="s">
        <v>263</v>
      </c>
      <c r="J130" s="138"/>
      <c r="K130" s="29"/>
      <c r="L130" s="29"/>
      <c r="M130" s="8" t="s">
        <v>264</v>
      </c>
      <c r="N130" s="9"/>
    </row>
    <row r="131" spans="2:14" ht="24" customHeight="1" thickBot="1" x14ac:dyDescent="0.3">
      <c r="B131" s="125"/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7"/>
    </row>
    <row r="132" spans="2:14" ht="15.75" x14ac:dyDescent="0.25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</sheetData>
  <sheetProtection password="EA4C" sheet="1" objects="1" scenarios="1"/>
  <autoFilter ref="B6:N128">
    <filterColumn colId="2" showButton="0"/>
    <filterColumn colId="3" showButton="0"/>
    <filterColumn colId="4" showButton="0"/>
  </autoFilter>
  <mergeCells count="137">
    <mergeCell ref="B130:G130"/>
    <mergeCell ref="I130:J130"/>
    <mergeCell ref="B131:N131"/>
    <mergeCell ref="D123:G123"/>
    <mergeCell ref="D124:G124"/>
    <mergeCell ref="D125:G125"/>
    <mergeCell ref="D126:G126"/>
    <mergeCell ref="B127:N127"/>
    <mergeCell ref="B128:N128"/>
    <mergeCell ref="D117:G117"/>
    <mergeCell ref="D118:G118"/>
    <mergeCell ref="D119:G119"/>
    <mergeCell ref="D120:G120"/>
    <mergeCell ref="D121:G121"/>
    <mergeCell ref="D122:G122"/>
    <mergeCell ref="D111:G111"/>
    <mergeCell ref="D112:G112"/>
    <mergeCell ref="D113:G113"/>
    <mergeCell ref="D114:G114"/>
    <mergeCell ref="D115:G115"/>
    <mergeCell ref="D116:G116"/>
    <mergeCell ref="D105:G105"/>
    <mergeCell ref="D106:G106"/>
    <mergeCell ref="D107:G107"/>
    <mergeCell ref="D108:G108"/>
    <mergeCell ref="D109:G109"/>
    <mergeCell ref="D110:G110"/>
    <mergeCell ref="D99:G99"/>
    <mergeCell ref="D100:G100"/>
    <mergeCell ref="D101:G101"/>
    <mergeCell ref="D102:G102"/>
    <mergeCell ref="D103:G103"/>
    <mergeCell ref="D104:G104"/>
    <mergeCell ref="D93:G93"/>
    <mergeCell ref="D94:G94"/>
    <mergeCell ref="D95:G95"/>
    <mergeCell ref="D96:G96"/>
    <mergeCell ref="D97:G97"/>
    <mergeCell ref="D98:G98"/>
    <mergeCell ref="D87:G87"/>
    <mergeCell ref="D88:G88"/>
    <mergeCell ref="D89:G89"/>
    <mergeCell ref="D90:G90"/>
    <mergeCell ref="D91:G91"/>
    <mergeCell ref="D92:G92"/>
    <mergeCell ref="D81:G81"/>
    <mergeCell ref="D82:G82"/>
    <mergeCell ref="D83:G83"/>
    <mergeCell ref="D84:G84"/>
    <mergeCell ref="D85:G85"/>
    <mergeCell ref="D86:G86"/>
    <mergeCell ref="D75:G75"/>
    <mergeCell ref="D76:G76"/>
    <mergeCell ref="D77:G77"/>
    <mergeCell ref="D78:G78"/>
    <mergeCell ref="D79:G79"/>
    <mergeCell ref="D80:G80"/>
    <mergeCell ref="D69:G69"/>
    <mergeCell ref="D70:G70"/>
    <mergeCell ref="D71:G71"/>
    <mergeCell ref="D72:G72"/>
    <mergeCell ref="D73:G73"/>
    <mergeCell ref="D74:G74"/>
    <mergeCell ref="D63:G63"/>
    <mergeCell ref="D64:G64"/>
    <mergeCell ref="D65:G65"/>
    <mergeCell ref="D66:G66"/>
    <mergeCell ref="D67:G67"/>
    <mergeCell ref="D68:G68"/>
    <mergeCell ref="D57:G57"/>
    <mergeCell ref="D58:G58"/>
    <mergeCell ref="D59:G59"/>
    <mergeCell ref="D60:G60"/>
    <mergeCell ref="D61:G61"/>
    <mergeCell ref="D62:G62"/>
    <mergeCell ref="D51:G51"/>
    <mergeCell ref="D52:G52"/>
    <mergeCell ref="D53:G53"/>
    <mergeCell ref="D54:G54"/>
    <mergeCell ref="D55:G55"/>
    <mergeCell ref="D56:G56"/>
    <mergeCell ref="D45:G45"/>
    <mergeCell ref="D46:G46"/>
    <mergeCell ref="D47:G47"/>
    <mergeCell ref="D48:G48"/>
    <mergeCell ref="D49:G49"/>
    <mergeCell ref="D50:G50"/>
    <mergeCell ref="D39:G39"/>
    <mergeCell ref="D40:G40"/>
    <mergeCell ref="D41:G41"/>
    <mergeCell ref="D42:G42"/>
    <mergeCell ref="D43:G43"/>
    <mergeCell ref="D44:G44"/>
    <mergeCell ref="D33:G33"/>
    <mergeCell ref="D34:G34"/>
    <mergeCell ref="D35:G35"/>
    <mergeCell ref="D36:G36"/>
    <mergeCell ref="D37:G37"/>
    <mergeCell ref="D38:G38"/>
    <mergeCell ref="D27:G27"/>
    <mergeCell ref="D28:G28"/>
    <mergeCell ref="D29:G29"/>
    <mergeCell ref="D30:G30"/>
    <mergeCell ref="D31:G31"/>
    <mergeCell ref="D32:G32"/>
    <mergeCell ref="D21:G21"/>
    <mergeCell ref="D22:G22"/>
    <mergeCell ref="D23:G23"/>
    <mergeCell ref="D24:G24"/>
    <mergeCell ref="D25:G25"/>
    <mergeCell ref="D26:G26"/>
    <mergeCell ref="D15:G15"/>
    <mergeCell ref="D16:G16"/>
    <mergeCell ref="D17:G17"/>
    <mergeCell ref="D18:G18"/>
    <mergeCell ref="D19:G19"/>
    <mergeCell ref="D20:G20"/>
    <mergeCell ref="D10:G10"/>
    <mergeCell ref="D11:G11"/>
    <mergeCell ref="D12:G12"/>
    <mergeCell ref="D13:G13"/>
    <mergeCell ref="D14:G14"/>
    <mergeCell ref="B5:G5"/>
    <mergeCell ref="K5:L5"/>
    <mergeCell ref="M5:N5"/>
    <mergeCell ref="D6:G6"/>
    <mergeCell ref="D7:G7"/>
    <mergeCell ref="D8:G8"/>
    <mergeCell ref="B1:N1"/>
    <mergeCell ref="B2:N2"/>
    <mergeCell ref="B3:G3"/>
    <mergeCell ref="K3:L3"/>
    <mergeCell ref="M3:N3"/>
    <mergeCell ref="B4:G4"/>
    <mergeCell ref="K4:L4"/>
    <mergeCell ref="M4:N4"/>
    <mergeCell ref="D9:G9"/>
  </mergeCells>
  <printOptions horizontalCentered="1" verticalCentered="1"/>
  <pageMargins left="0" right="0" top="0" bottom="0" header="0" footer="0"/>
  <pageSetup paperSize="9" scale="41" orientation="landscape" r:id="rId1"/>
  <headerFooter scaleWithDoc="0" alignWithMargins="0">
    <firstFooter>&amp;RPage :1 of 2</firstFooter>
  </headerFooter>
  <rowBreaks count="2" manualBreakCount="2">
    <brk id="63" min="1" max="13" man="1"/>
    <brk id="92" min="1" max="1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C13" sqref="C13"/>
    </sheetView>
  </sheetViews>
  <sheetFormatPr defaultRowHeight="15" x14ac:dyDescent="0.25"/>
  <cols>
    <col min="1" max="1" width="6.5703125" customWidth="1"/>
    <col min="2" max="2" width="33.7109375" customWidth="1"/>
    <col min="3" max="3" width="28.140625" customWidth="1"/>
    <col min="4" max="4" width="16.7109375" customWidth="1"/>
    <col min="5" max="5" width="43.85546875" customWidth="1"/>
    <col min="6" max="6" width="14.7109375" customWidth="1"/>
    <col min="7" max="7" width="16" customWidth="1"/>
    <col min="8" max="8" width="22.140625" customWidth="1"/>
    <col min="9" max="9" width="26.5703125" customWidth="1"/>
  </cols>
  <sheetData>
    <row r="1" spans="1:9" ht="27.75" customHeight="1" thickBot="1" x14ac:dyDescent="0.3">
      <c r="A1" s="148" t="s">
        <v>266</v>
      </c>
      <c r="B1" s="149"/>
      <c r="C1" s="149"/>
      <c r="D1" s="149"/>
      <c r="E1" s="149"/>
      <c r="F1" s="149"/>
      <c r="G1" s="149"/>
      <c r="H1" s="149"/>
      <c r="I1" s="150"/>
    </row>
    <row r="2" spans="1:9" ht="21" customHeight="1" x14ac:dyDescent="0.25">
      <c r="A2" s="38" t="s">
        <v>267</v>
      </c>
      <c r="B2" s="39" t="s">
        <v>268</v>
      </c>
      <c r="C2" s="39" t="s">
        <v>269</v>
      </c>
      <c r="D2" s="39" t="s">
        <v>270</v>
      </c>
      <c r="E2" s="39" t="s">
        <v>271</v>
      </c>
      <c r="F2" s="39" t="s">
        <v>272</v>
      </c>
      <c r="G2" s="39" t="s">
        <v>273</v>
      </c>
      <c r="H2" s="39" t="s">
        <v>274</v>
      </c>
      <c r="I2" s="40" t="s">
        <v>275</v>
      </c>
    </row>
    <row r="3" spans="1:9" ht="21" customHeight="1" x14ac:dyDescent="0.25">
      <c r="A3" s="59">
        <v>1</v>
      </c>
      <c r="B3" s="39"/>
      <c r="C3" s="39"/>
      <c r="D3" s="39"/>
      <c r="E3" s="39"/>
      <c r="F3" s="39"/>
      <c r="G3" s="39"/>
      <c r="H3" s="39"/>
      <c r="I3" s="40"/>
    </row>
    <row r="4" spans="1:9" ht="18" customHeight="1" x14ac:dyDescent="0.25">
      <c r="A4" s="41">
        <v>2</v>
      </c>
      <c r="B4" s="42" t="s">
        <v>283</v>
      </c>
      <c r="C4" s="42"/>
      <c r="D4" s="42">
        <v>1</v>
      </c>
      <c r="E4" s="42" t="s">
        <v>284</v>
      </c>
      <c r="F4" s="51">
        <v>2890</v>
      </c>
      <c r="G4" s="51">
        <v>2875</v>
      </c>
      <c r="H4" s="44">
        <v>45854</v>
      </c>
      <c r="I4" s="45" t="s">
        <v>278</v>
      </c>
    </row>
    <row r="5" spans="1:9" x14ac:dyDescent="0.25">
      <c r="A5" s="41">
        <v>3</v>
      </c>
      <c r="B5" s="46" t="s">
        <v>281</v>
      </c>
      <c r="C5" s="42"/>
      <c r="D5" s="42">
        <v>1</v>
      </c>
      <c r="E5" s="42" t="s">
        <v>285</v>
      </c>
      <c r="F5" s="51">
        <v>1200</v>
      </c>
      <c r="G5" s="51">
        <v>1160</v>
      </c>
      <c r="H5" s="44">
        <v>45854</v>
      </c>
      <c r="I5" s="45" t="s">
        <v>278</v>
      </c>
    </row>
    <row r="6" spans="1:9" ht="18" customHeight="1" x14ac:dyDescent="0.25">
      <c r="A6" s="59">
        <v>4</v>
      </c>
      <c r="B6" s="42" t="s">
        <v>282</v>
      </c>
      <c r="C6" s="42"/>
      <c r="D6" s="42">
        <v>1</v>
      </c>
      <c r="E6" s="42" t="s">
        <v>286</v>
      </c>
      <c r="F6" s="51">
        <v>920</v>
      </c>
      <c r="G6" s="51">
        <v>980</v>
      </c>
      <c r="H6" s="44">
        <v>45854</v>
      </c>
      <c r="I6" s="45" t="s">
        <v>278</v>
      </c>
    </row>
    <row r="7" spans="1:9" ht="18" customHeight="1" x14ac:dyDescent="0.25">
      <c r="A7" s="41">
        <v>5</v>
      </c>
      <c r="B7" s="42" t="s">
        <v>288</v>
      </c>
      <c r="C7" s="42" t="s">
        <v>276</v>
      </c>
      <c r="D7" s="42">
        <v>1</v>
      </c>
      <c r="E7" s="42" t="s">
        <v>277</v>
      </c>
      <c r="F7" s="43">
        <v>10</v>
      </c>
      <c r="G7" s="43">
        <v>8.5</v>
      </c>
      <c r="H7" s="44">
        <v>45854</v>
      </c>
      <c r="I7" s="45" t="s">
        <v>278</v>
      </c>
    </row>
    <row r="8" spans="1:9" ht="90" x14ac:dyDescent="0.25">
      <c r="A8" s="41">
        <v>6</v>
      </c>
      <c r="B8" s="46" t="s">
        <v>289</v>
      </c>
      <c r="C8" s="42" t="s">
        <v>279</v>
      </c>
      <c r="D8" s="42">
        <v>1</v>
      </c>
      <c r="E8" s="42" t="s">
        <v>277</v>
      </c>
      <c r="F8" s="43">
        <v>7</v>
      </c>
      <c r="G8" s="43">
        <v>6</v>
      </c>
      <c r="H8" s="44">
        <v>45854</v>
      </c>
      <c r="I8" s="45" t="s">
        <v>278</v>
      </c>
    </row>
    <row r="9" spans="1:9" ht="18" customHeight="1" x14ac:dyDescent="0.25">
      <c r="A9" s="59">
        <v>7</v>
      </c>
      <c r="B9" s="42" t="s">
        <v>290</v>
      </c>
      <c r="C9" s="42" t="s">
        <v>280</v>
      </c>
      <c r="D9" s="42">
        <v>1</v>
      </c>
      <c r="E9" s="42" t="s">
        <v>277</v>
      </c>
      <c r="F9" s="43">
        <v>12</v>
      </c>
      <c r="G9" s="43">
        <v>10</v>
      </c>
      <c r="H9" s="44">
        <v>45854</v>
      </c>
      <c r="I9" s="45" t="s">
        <v>278</v>
      </c>
    </row>
    <row r="10" spans="1:9" ht="18" customHeight="1" x14ac:dyDescent="0.25">
      <c r="A10" s="41">
        <v>8</v>
      </c>
      <c r="B10" s="151" t="s">
        <v>302</v>
      </c>
      <c r="C10" s="152"/>
      <c r="D10" s="152"/>
      <c r="E10" s="153"/>
      <c r="F10" s="43" t="s">
        <v>265</v>
      </c>
      <c r="G10" s="43" t="s">
        <v>299</v>
      </c>
      <c r="H10" s="44">
        <v>45894</v>
      </c>
      <c r="I10" s="45" t="s">
        <v>278</v>
      </c>
    </row>
    <row r="11" spans="1:9" ht="18" customHeight="1" x14ac:dyDescent="0.25">
      <c r="A11" s="41">
        <v>9</v>
      </c>
      <c r="B11" s="42"/>
      <c r="C11" s="42"/>
      <c r="D11" s="42"/>
      <c r="E11" s="42"/>
      <c r="F11" s="43"/>
      <c r="G11" s="43"/>
      <c r="H11" s="42"/>
      <c r="I11" s="45"/>
    </row>
    <row r="12" spans="1:9" ht="18" customHeight="1" x14ac:dyDescent="0.25">
      <c r="A12" s="59">
        <v>10</v>
      </c>
      <c r="B12" s="42"/>
      <c r="C12" s="42"/>
      <c r="D12" s="42"/>
      <c r="E12" s="42"/>
      <c r="F12" s="43"/>
      <c r="G12" s="43"/>
      <c r="H12" s="42"/>
      <c r="I12" s="45"/>
    </row>
    <row r="13" spans="1:9" ht="18" customHeight="1" x14ac:dyDescent="0.25">
      <c r="A13" s="41">
        <v>11</v>
      </c>
      <c r="B13" s="42"/>
      <c r="C13" s="42"/>
      <c r="D13" s="42"/>
      <c r="E13" s="42"/>
      <c r="F13" s="43"/>
      <c r="G13" s="43"/>
      <c r="H13" s="42"/>
      <c r="I13" s="45"/>
    </row>
    <row r="14" spans="1:9" ht="18" customHeight="1" x14ac:dyDescent="0.25">
      <c r="A14" s="41">
        <v>12</v>
      </c>
      <c r="B14" s="42"/>
      <c r="C14" s="42"/>
      <c r="D14" s="42"/>
      <c r="E14" s="42"/>
      <c r="F14" s="43"/>
      <c r="G14" s="43"/>
      <c r="H14" s="42"/>
      <c r="I14" s="45"/>
    </row>
    <row r="15" spans="1:9" ht="18" customHeight="1" x14ac:dyDescent="0.25">
      <c r="A15" s="59">
        <v>13</v>
      </c>
      <c r="B15" s="42"/>
      <c r="C15" s="42"/>
      <c r="D15" s="42"/>
      <c r="E15" s="42"/>
      <c r="F15" s="43"/>
      <c r="G15" s="43"/>
      <c r="H15" s="42"/>
      <c r="I15" s="45"/>
    </row>
    <row r="16" spans="1:9" ht="18" customHeight="1" x14ac:dyDescent="0.25">
      <c r="A16" s="41">
        <v>14</v>
      </c>
      <c r="B16" s="42"/>
      <c r="C16" s="42"/>
      <c r="D16" s="42"/>
      <c r="E16" s="42"/>
      <c r="F16" s="43"/>
      <c r="G16" s="43"/>
      <c r="H16" s="42"/>
      <c r="I16" s="45"/>
    </row>
    <row r="17" spans="1:9" ht="18" customHeight="1" x14ac:dyDescent="0.25">
      <c r="A17" s="41">
        <v>15</v>
      </c>
      <c r="B17" s="42"/>
      <c r="C17" s="42"/>
      <c r="D17" s="42"/>
      <c r="E17" s="42"/>
      <c r="F17" s="43"/>
      <c r="G17" s="43"/>
      <c r="H17" s="42"/>
      <c r="I17" s="45"/>
    </row>
    <row r="18" spans="1:9" ht="18" customHeight="1" x14ac:dyDescent="0.25">
      <c r="A18" s="59">
        <v>16</v>
      </c>
      <c r="B18" s="42"/>
      <c r="C18" s="42"/>
      <c r="D18" s="42"/>
      <c r="E18" s="42"/>
      <c r="F18" s="43"/>
      <c r="G18" s="43"/>
      <c r="H18" s="42"/>
      <c r="I18" s="45"/>
    </row>
    <row r="19" spans="1:9" ht="18" customHeight="1" x14ac:dyDescent="0.25">
      <c r="A19" s="41">
        <v>17</v>
      </c>
      <c r="B19" s="42"/>
      <c r="C19" s="42"/>
      <c r="D19" s="42"/>
      <c r="E19" s="42"/>
      <c r="F19" s="43"/>
      <c r="G19" s="43"/>
      <c r="H19" s="42"/>
      <c r="I19" s="45"/>
    </row>
    <row r="20" spans="1:9" ht="18" customHeight="1" thickBot="1" x14ac:dyDescent="0.3">
      <c r="A20" s="41">
        <v>18</v>
      </c>
      <c r="B20" s="47"/>
      <c r="C20" s="47"/>
      <c r="D20" s="47"/>
      <c r="E20" s="47"/>
      <c r="F20" s="48"/>
      <c r="G20" s="48"/>
      <c r="H20" s="47"/>
      <c r="I20" s="49"/>
    </row>
    <row r="21" spans="1:9" x14ac:dyDescent="0.25">
      <c r="A21" s="50"/>
      <c r="B21" s="50"/>
      <c r="C21" s="50"/>
      <c r="D21" s="50"/>
      <c r="E21" s="50"/>
      <c r="F21" s="50"/>
      <c r="G21" s="50"/>
      <c r="H21" s="50"/>
      <c r="I21" s="50"/>
    </row>
  </sheetData>
  <mergeCells count="2">
    <mergeCell ref="A1:I1"/>
    <mergeCell ref="B10:E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W11539482-(2)</vt:lpstr>
      <vt:lpstr>Sheet1</vt:lpstr>
      <vt:lpstr>W11539482(Splice)</vt:lpstr>
      <vt:lpstr>W11539482-(1)</vt:lpstr>
      <vt:lpstr>REVISION HISTORY</vt:lpstr>
      <vt:lpstr>'W11539482-(1)'!Print_Area</vt:lpstr>
      <vt:lpstr>'W11539482-(2)'!Print_Area</vt:lpstr>
      <vt:lpstr>'W11539482(Splice)'!Print_Area</vt:lpstr>
      <vt:lpstr>'W11539482-(1)'!Print_Titles</vt:lpstr>
      <vt:lpstr>'W11539482-(2)'!Print_Titles</vt:lpstr>
      <vt:lpstr>'W11539482(Splice)'!Print_Titles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Chander Mohan</cp:lastModifiedBy>
  <cp:lastPrinted>2025-11-27T09:16:12Z</cp:lastPrinted>
  <dcterms:created xsi:type="dcterms:W3CDTF">2022-06-15T04:51:40Z</dcterms:created>
  <dcterms:modified xsi:type="dcterms:W3CDTF">2025-12-15T06:26:53Z</dcterms:modified>
</cp:coreProperties>
</file>