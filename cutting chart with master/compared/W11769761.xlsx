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REV-5 UPDATED " sheetId="9" r:id="rId1"/>
    <sheet name="Sheet1" sheetId="11" r:id="rId2"/>
    <sheet name="REVISION HISTORY" sheetId="6" r:id="rId3"/>
    <sheet name="REV-4 UPDATED  (2)" sheetId="10" r:id="rId4"/>
    <sheet name="REV-3 UPDATED" sheetId="7" r:id="rId5"/>
    <sheet name="Rev 0" sheetId="4" r:id="rId6"/>
    <sheet name="Rev 1 " sheetId="1" r:id="rId7"/>
    <sheet name="Rev 2" sheetId="5" r:id="rId8"/>
  </sheets>
  <definedNames>
    <definedName name="_xlnm._FilterDatabase" localSheetId="5" hidden="1">'Rev 0'!$C$6:$O$102</definedName>
    <definedName name="_xlnm._FilterDatabase" localSheetId="6" hidden="1">'Rev 1 '!$B$6:$N$102</definedName>
    <definedName name="_xlnm._FilterDatabase" localSheetId="7" hidden="1">'Rev 2'!$C$6:$O$102</definedName>
    <definedName name="_xlnm._FilterDatabase" localSheetId="4" hidden="1">'REV-3 UPDATED'!$L$6:$N$102</definedName>
    <definedName name="_xlnm._FilterDatabase" localSheetId="3" hidden="1">'REV-4 UPDATED  (2)'!$L$6:$N$102</definedName>
    <definedName name="_xlnm._FilterDatabase" localSheetId="0" hidden="1">'REV-5 UPDATED '!$L$6:$N$102</definedName>
    <definedName name="_xlnm._FilterDatabase" localSheetId="1" hidden="1">Sheet1!$A$6:$Q$102</definedName>
    <definedName name="_xlnm.Print_Area" localSheetId="5">'Rev 0'!$A$1:$O$108</definedName>
    <definedName name="_xlnm.Print_Area" localSheetId="6">'Rev 1 '!$A$1:$O$108</definedName>
    <definedName name="_xlnm.Print_Area" localSheetId="7">'Rev 2'!$A$1:$N$108</definedName>
    <definedName name="_xlnm.Print_Area" localSheetId="4">'REV-3 UPDATED'!$A$1:$N$111</definedName>
    <definedName name="_xlnm.Print_Area" localSheetId="3">'REV-4 UPDATED  (2)'!$A$1:$O$114</definedName>
    <definedName name="_xlnm.Print_Area" localSheetId="0">'REV-5 UPDATED '!$A$1:$O$116</definedName>
    <definedName name="_xlnm.Print_Titles" localSheetId="5">'Rev 0'!$C:$N,'Rev 0'!$1:$6</definedName>
    <definedName name="_xlnm.Print_Titles" localSheetId="6">'Rev 1 '!$C:$N,'Rev 1 '!$1:$6</definedName>
    <definedName name="_xlnm.Print_Titles" localSheetId="7">'Rev 2'!$C:$N,'Rev 2'!$1:$6</definedName>
    <definedName name="_xlnm.Print_Titles" localSheetId="4">'REV-3 UPDATED'!$C:$N,'REV-3 UPDATED'!$1:$6</definedName>
    <definedName name="_xlnm.Print_Titles" localSheetId="3">'REV-4 UPDATED  (2)'!$C:$N,'REV-4 UPDATED  (2)'!$1:$6</definedName>
    <definedName name="_xlnm.Print_Titles" localSheetId="0">'REV-5 UPDATED '!$C:$N,'REV-5 UPDATED '!$1:$6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1" l="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7" i="11"/>
  <c r="I102" i="11" l="1"/>
  <c r="I100" i="11"/>
  <c r="I99" i="11"/>
  <c r="I97" i="11"/>
  <c r="I96" i="11"/>
  <c r="I95" i="11"/>
  <c r="I90" i="11"/>
  <c r="I89" i="11"/>
  <c r="I87" i="11"/>
  <c r="I86" i="11"/>
  <c r="I85" i="11"/>
  <c r="I84" i="11"/>
  <c r="I81" i="11"/>
  <c r="I79" i="11"/>
  <c r="I78" i="11"/>
  <c r="I70" i="11"/>
  <c r="I69" i="11"/>
  <c r="I66" i="11"/>
  <c r="I65" i="11"/>
  <c r="I63" i="11"/>
  <c r="I61" i="11"/>
  <c r="I60" i="11"/>
  <c r="I53" i="11"/>
  <c r="I52" i="11"/>
  <c r="I51" i="11"/>
  <c r="I50" i="11"/>
  <c r="I49" i="11"/>
  <c r="I48" i="11"/>
  <c r="I37" i="11"/>
  <c r="I36" i="11"/>
  <c r="I35" i="11"/>
  <c r="I34" i="11"/>
  <c r="I28" i="11"/>
  <c r="I25" i="11"/>
  <c r="I21" i="11"/>
  <c r="I20" i="11"/>
  <c r="I19" i="11"/>
  <c r="I17" i="11"/>
  <c r="I13" i="11"/>
  <c r="J60" i="9" l="1"/>
  <c r="J17" i="9"/>
  <c r="J81" i="9" l="1"/>
  <c r="J28" i="9"/>
  <c r="J102" i="10"/>
  <c r="J100" i="10"/>
  <c r="J99" i="10"/>
  <c r="J97" i="10"/>
  <c r="J96" i="10"/>
  <c r="J95" i="10"/>
  <c r="J90" i="10"/>
  <c r="J89" i="10"/>
  <c r="J87" i="10"/>
  <c r="J86" i="10"/>
  <c r="J85" i="10"/>
  <c r="J84" i="10"/>
  <c r="J82" i="10"/>
  <c r="J79" i="10"/>
  <c r="J78" i="10"/>
  <c r="J70" i="10"/>
  <c r="J69" i="10"/>
  <c r="J66" i="10"/>
  <c r="J65" i="10"/>
  <c r="J63" i="10"/>
  <c r="J61" i="10"/>
  <c r="J60" i="10"/>
  <c r="J53" i="10"/>
  <c r="J52" i="10"/>
  <c r="J51" i="10"/>
  <c r="J50" i="10"/>
  <c r="J49" i="10"/>
  <c r="J48" i="10"/>
  <c r="J37" i="10"/>
  <c r="J36" i="10"/>
  <c r="J35" i="10"/>
  <c r="J34" i="10"/>
  <c r="J25" i="10"/>
  <c r="J21" i="10"/>
  <c r="J20" i="10"/>
  <c r="J19" i="10"/>
  <c r="J13" i="10"/>
  <c r="J53" i="9" l="1"/>
  <c r="J52" i="9"/>
  <c r="G40" i="6" l="1"/>
  <c r="J65" i="9"/>
  <c r="J34" i="9" l="1"/>
  <c r="J79" i="9"/>
  <c r="J78" i="9"/>
  <c r="J96" i="9"/>
  <c r="J97" i="9"/>
  <c r="J63" i="9"/>
  <c r="J20" i="9"/>
  <c r="J19" i="9"/>
  <c r="G49" i="6"/>
  <c r="G48" i="6"/>
  <c r="G47" i="6"/>
  <c r="G46" i="6"/>
  <c r="G44" i="6"/>
  <c r="G45" i="6"/>
  <c r="G43" i="6"/>
  <c r="G39" i="6"/>
  <c r="G41" i="6"/>
  <c r="G42" i="6"/>
  <c r="G38" i="6"/>
  <c r="J102" i="9"/>
  <c r="J100" i="9"/>
  <c r="J99" i="9"/>
  <c r="J95" i="9"/>
  <c r="J90" i="9"/>
  <c r="J89" i="9"/>
  <c r="J87" i="9"/>
  <c r="J86" i="9"/>
  <c r="J85" i="9"/>
  <c r="J84" i="9"/>
  <c r="J70" i="9"/>
  <c r="J69" i="9"/>
  <c r="J66" i="9"/>
  <c r="J61" i="9"/>
  <c r="J51" i="9"/>
  <c r="J50" i="9"/>
  <c r="J49" i="9"/>
  <c r="J48" i="9"/>
  <c r="J37" i="9"/>
  <c r="J36" i="9"/>
  <c r="J35" i="9"/>
  <c r="J25" i="9"/>
  <c r="J21" i="9"/>
  <c r="J13" i="9"/>
  <c r="J13" i="7" l="1"/>
  <c r="J102" i="7"/>
  <c r="J100" i="7"/>
  <c r="J97" i="7"/>
  <c r="J96" i="7"/>
  <c r="J82" i="7"/>
  <c r="J79" i="7"/>
  <c r="J78" i="7"/>
  <c r="J70" i="7"/>
  <c r="J69" i="7"/>
  <c r="J66" i="7"/>
  <c r="J61" i="7"/>
  <c r="J51" i="7"/>
  <c r="J50" i="7"/>
  <c r="J49" i="7"/>
  <c r="J48" i="7"/>
  <c r="J37" i="7"/>
  <c r="J36" i="7"/>
  <c r="J35" i="7"/>
  <c r="J25" i="7"/>
  <c r="J21" i="7"/>
  <c r="J102" i="5"/>
  <c r="J101" i="5"/>
  <c r="J100" i="5"/>
  <c r="J99" i="5"/>
  <c r="J95" i="5"/>
  <c r="J99" i="7" l="1"/>
  <c r="J95" i="7"/>
  <c r="J90" i="7"/>
  <c r="J89" i="7"/>
  <c r="J87" i="7"/>
  <c r="J86" i="7"/>
  <c r="J85" i="7"/>
  <c r="J84" i="7"/>
  <c r="J85" i="5" l="1"/>
  <c r="J90" i="5"/>
  <c r="J89" i="5"/>
  <c r="J87" i="5"/>
  <c r="J86" i="5"/>
  <c r="J84" i="5"/>
  <c r="J66" i="5"/>
  <c r="J61" i="5"/>
  <c r="J51" i="5"/>
  <c r="J50" i="5"/>
  <c r="J49" i="5"/>
  <c r="J48" i="5"/>
  <c r="J21" i="5" l="1"/>
  <c r="J21" i="4" l="1"/>
  <c r="J21" i="1" l="1"/>
</calcChain>
</file>

<file path=xl/sharedStrings.xml><?xml version="1.0" encoding="utf-8"?>
<sst xmlns="http://schemas.openxmlformats.org/spreadsheetml/2006/main" count="4749" uniqueCount="351">
  <si>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</si>
  <si>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</si>
  <si>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</si>
  <si>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</si>
  <si>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</si>
  <si>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</si>
  <si>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</si>
  <si>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</si>
  <si>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</si>
  <si>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</si>
  <si>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</si>
  <si>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</si>
  <si>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</si>
  <si>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</si>
  <si>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</si>
  <si>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</si>
  <si>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</si>
  <si>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</si>
  <si>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</si>
  <si>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BLACK</t>
  </si>
  <si>
    <t>W-857</t>
  </si>
  <si>
    <t>W-915</t>
  </si>
  <si>
    <t>W-916</t>
  </si>
  <si>
    <t>W-918</t>
  </si>
  <si>
    <t>W-921</t>
  </si>
  <si>
    <t>W-32</t>
  </si>
  <si>
    <t>W-33</t>
  </si>
  <si>
    <t>W-36</t>
  </si>
  <si>
    <t>W-37</t>
  </si>
  <si>
    <t>W-40</t>
  </si>
  <si>
    <t>W-43</t>
  </si>
  <si>
    <t>W-48</t>
  </si>
  <si>
    <t>W-50</t>
  </si>
  <si>
    <t>W-121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</si>
  <si>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</si>
  <si>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</si>
  <si>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</si>
  <si>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</si>
  <si>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</si>
  <si>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</si>
  <si>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</si>
  <si>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</si>
  <si>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</si>
  <si>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</si>
  <si>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</si>
  <si>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W-648</t>
  </si>
  <si>
    <t>W-649</t>
  </si>
  <si>
    <t>W-731</t>
  </si>
  <si>
    <t>W-732</t>
  </si>
  <si>
    <t>W-749</t>
  </si>
  <si>
    <t>W-750</t>
  </si>
  <si>
    <t>W-751</t>
  </si>
  <si>
    <t>W-752</t>
  </si>
  <si>
    <t>W-753</t>
  </si>
  <si>
    <t>W-754</t>
  </si>
  <si>
    <t>W-765</t>
  </si>
  <si>
    <t>W-766</t>
  </si>
  <si>
    <t>W-770</t>
  </si>
  <si>
    <t>W-771</t>
  </si>
  <si>
    <t>W-778</t>
  </si>
  <si>
    <t>W-779</t>
  </si>
  <si>
    <t>W-801</t>
  </si>
  <si>
    <t>W-802</t>
  </si>
  <si>
    <t>W-803</t>
  </si>
  <si>
    <t>W-804</t>
  </si>
  <si>
    <t>W-824</t>
  </si>
  <si>
    <t>W-842</t>
  </si>
  <si>
    <t>W-844</t>
  </si>
  <si>
    <t>W-846</t>
  </si>
  <si>
    <t>W-851</t>
  </si>
  <si>
    <t>W-775</t>
  </si>
  <si>
    <t>UL 1015 # 18 AWG</t>
  </si>
  <si>
    <t>1862006-5</t>
  </si>
  <si>
    <t>WHITE</t>
  </si>
  <si>
    <t>W-35</t>
  </si>
  <si>
    <t>RED-BLACK</t>
  </si>
  <si>
    <t>UL 1015 # 20 AWG</t>
  </si>
  <si>
    <t>BLACK-ORANGE</t>
  </si>
  <si>
    <t>BLUE</t>
  </si>
  <si>
    <t>ORANGE</t>
  </si>
  <si>
    <t>RED</t>
  </si>
  <si>
    <t>BLACK-GREEN</t>
  </si>
  <si>
    <t>GREEN</t>
  </si>
  <si>
    <t>RED-BLUE</t>
  </si>
  <si>
    <t>GREEN-YELLOW</t>
  </si>
  <si>
    <t>WHITE-BLACK</t>
  </si>
  <si>
    <t>W-735</t>
  </si>
  <si>
    <t>W-737</t>
  </si>
  <si>
    <t>YELLOW</t>
  </si>
  <si>
    <t>W-748</t>
  </si>
  <si>
    <t>BLUE-WHITE</t>
  </si>
  <si>
    <t>UL 1569 # 22 AWG</t>
  </si>
  <si>
    <t>VOILET-WHITE</t>
  </si>
  <si>
    <t>GREY</t>
  </si>
  <si>
    <t>WHITE-BLUE</t>
  </si>
  <si>
    <t>YELLOW-BLACK</t>
  </si>
  <si>
    <t>BROWN</t>
  </si>
  <si>
    <t>W-827</t>
  </si>
  <si>
    <t>W-841</t>
  </si>
  <si>
    <t>W-852</t>
  </si>
  <si>
    <t>W-864</t>
  </si>
  <si>
    <t>W-881</t>
  </si>
  <si>
    <t>W-882</t>
  </si>
  <si>
    <t>W-883</t>
  </si>
  <si>
    <t>W-884</t>
  </si>
  <si>
    <t>W-889</t>
  </si>
  <si>
    <t>W-890</t>
  </si>
  <si>
    <t>W-891</t>
  </si>
  <si>
    <t>W-892</t>
  </si>
  <si>
    <t>W-893</t>
  </si>
  <si>
    <t>W-895</t>
  </si>
  <si>
    <t>W-896</t>
  </si>
  <si>
    <t>W-897</t>
  </si>
  <si>
    <t>BROWN-WHITE</t>
  </si>
  <si>
    <t>W-899</t>
  </si>
  <si>
    <t>VOILET</t>
  </si>
  <si>
    <t>W-900</t>
  </si>
  <si>
    <t>W-901</t>
  </si>
  <si>
    <t>W-902</t>
  </si>
  <si>
    <t>W-903</t>
  </si>
  <si>
    <t>W-904</t>
  </si>
  <si>
    <t>W-905</t>
  </si>
  <si>
    <t>ORANGE-BLUE</t>
  </si>
  <si>
    <t>W-907</t>
  </si>
  <si>
    <t>W-908</t>
  </si>
  <si>
    <t>W-909</t>
  </si>
  <si>
    <t>W-910</t>
  </si>
  <si>
    <t>W-911</t>
  </si>
  <si>
    <t>W-912</t>
  </si>
  <si>
    <t>W-913</t>
  </si>
  <si>
    <t>W-914</t>
  </si>
  <si>
    <t>W-922</t>
  </si>
  <si>
    <t>W-940</t>
  </si>
  <si>
    <t>W-941</t>
  </si>
  <si>
    <t>W-942</t>
  </si>
  <si>
    <t>W-944</t>
  </si>
  <si>
    <t>W-952</t>
  </si>
  <si>
    <t>W-1550</t>
  </si>
  <si>
    <t>W-1551</t>
  </si>
  <si>
    <t>W-1552</t>
  </si>
  <si>
    <t>W-1553</t>
  </si>
  <si>
    <t>172765-5121</t>
  </si>
  <si>
    <t>39-00-0040</t>
  </si>
  <si>
    <t>39-00-0048</t>
  </si>
  <si>
    <t>1744144-1</t>
  </si>
  <si>
    <t>1744423-1</t>
  </si>
  <si>
    <t>1744201-1</t>
  </si>
  <si>
    <t>35745-0110</t>
  </si>
  <si>
    <t>917764-1</t>
  </si>
  <si>
    <t>227028-8400</t>
  </si>
  <si>
    <t>177916-1</t>
  </si>
  <si>
    <t>227029-8400</t>
  </si>
  <si>
    <t>2329911-1</t>
  </si>
  <si>
    <t>2350223-1</t>
  </si>
  <si>
    <t>43030-0001</t>
  </si>
  <si>
    <t>43031-5003</t>
  </si>
  <si>
    <t>172765-4121</t>
  </si>
  <si>
    <t>170324-1</t>
  </si>
  <si>
    <t>40-06-2013</t>
  </si>
  <si>
    <t>26*0.160*2.50</t>
  </si>
  <si>
    <t>Sr.No.</t>
  </si>
  <si>
    <t>W11769761</t>
  </si>
  <si>
    <t>41*0.160*2.80</t>
  </si>
  <si>
    <t>17*0.160*1.60</t>
  </si>
  <si>
    <t>SPL-LINE
485043-1… A</t>
  </si>
  <si>
    <t>SPL-NU
63625-1 … B</t>
  </si>
  <si>
    <t>SPL-LINE
485043-1… B</t>
  </si>
  <si>
    <t>SPL-WIN
63130-2 ….A</t>
  </si>
  <si>
    <t>SPL-D1
63130-2 …B</t>
  </si>
  <si>
    <t>SPL-DGND
63130-2 … B</t>
  </si>
  <si>
    <t>SPL-NU
63625-1 … A</t>
  </si>
  <si>
    <t>SPL-CH
63130-2..B</t>
  </si>
  <si>
    <t>SPL-GND1
485043-1 ..A</t>
  </si>
  <si>
    <t>TAN
Light Brown</t>
  </si>
  <si>
    <t>SPL-IM
63130-2…A</t>
  </si>
  <si>
    <t>SPL-VALVE-FC
63130-2 ..A</t>
  </si>
  <si>
    <t>SPL-D2
63130-2  ..B</t>
  </si>
  <si>
    <t>SPL-CH
63130-2..A</t>
  </si>
  <si>
    <t>SPL-WIN
63130-2 ….B</t>
  </si>
  <si>
    <t>SPL-DGND
63130-2 … A</t>
  </si>
  <si>
    <t>SPL-VALVE-DISP
63130-2 ..A</t>
  </si>
  <si>
    <t>SPL-D2
63130-2  ..A</t>
  </si>
  <si>
    <t>SPL-D1
63130-2 …A</t>
  </si>
  <si>
    <t>SPL-VALVE-DISP
63130-2 ..B</t>
  </si>
  <si>
    <t>SPL-VALVE-FC
63130-2 ..B</t>
  </si>
  <si>
    <t>SPL-IM
63130-2 .. B</t>
  </si>
  <si>
    <t>SPL-IM
63130-2 .. A</t>
  </si>
  <si>
    <t>SPL-7
63130-2 …A</t>
  </si>
  <si>
    <t>SPL-7
63130-2 …B</t>
  </si>
  <si>
    <t>SPL-LINE
485043-1 … B</t>
  </si>
  <si>
    <t>SPL-GND1
485043-1 ..B</t>
  </si>
  <si>
    <t>SPL-7
63130-2------B</t>
  </si>
  <si>
    <t>SKY BLUE</t>
  </si>
  <si>
    <t>SKY  BLUE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</si>
  <si>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</si>
  <si>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</si>
  <si>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</si>
  <si>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</si>
  <si>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</si>
  <si>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</si>
  <si>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WCC/WHP/116</t>
  </si>
  <si>
    <t>SPL-PDL
63130-2 …A</t>
  </si>
  <si>
    <t>SPL-PDL
63130-2 …B</t>
  </si>
  <si>
    <t>REVISION HISTORY</t>
  </si>
  <si>
    <t>A</t>
  </si>
  <si>
    <t>Rev-No</t>
  </si>
  <si>
    <t>Date</t>
  </si>
  <si>
    <t>UL 1569 # 20 AWG</t>
  </si>
  <si>
    <t>26*0.160*1.80</t>
  </si>
  <si>
    <t>175019-1</t>
  </si>
  <si>
    <t>W-895, W-897 wire Size  Change From UL 1569#22 To UL 1569#20 And W-895,W897 Terminal Change 170324-1 To 175019-1</t>
  </si>
  <si>
    <t>B</t>
  </si>
  <si>
    <t>Prepared By: Rajesh</t>
  </si>
  <si>
    <t>Checked By:-Mamta</t>
  </si>
  <si>
    <t>W-801,802,804,803,864,889,910,911,912,913,915 &amp; 916 Length Reduse by  10mm</t>
  </si>
  <si>
    <t>Approved By: Vikash</t>
  </si>
  <si>
    <t>W-941 Length Increase by  50mm, And W-1550 Reduse 170mm,W-1551 Reduse 315mm,W-1552 Reduse 100mm
 And W-1553 Reduse 215mm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</si>
  <si>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</si>
  <si>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</si>
  <si>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</si>
  <si>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</si>
  <si>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</si>
  <si>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</si>
  <si>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</si>
  <si>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Name</t>
  </si>
  <si>
    <t>Stripping Reduse</t>
  </si>
  <si>
    <t>Rajesh</t>
  </si>
  <si>
    <t xml:space="preserve">Approved By: </t>
  </si>
  <si>
    <t>Checked By:-</t>
  </si>
  <si>
    <t xml:space="preserve">Prepared By: </t>
  </si>
  <si>
    <t>Wire Stripping Change Of terminal Part No (485043-1 = 10mm to 8.5mm), (63130-2 =7.00 to 6mm) And (63625 =12mm to 10mm)</t>
  </si>
  <si>
    <t>W-895, W-897</t>
  </si>
  <si>
    <t>Wire Size change</t>
  </si>
  <si>
    <t xml:space="preserve">UL 1569#22 </t>
  </si>
  <si>
    <t>UL 1569#20</t>
  </si>
  <si>
    <t xml:space="preserve"> W-895,W897 </t>
  </si>
  <si>
    <t>Terminal Change</t>
  </si>
  <si>
    <t>Length Increase by  50mm,</t>
  </si>
  <si>
    <t xml:space="preserve"> Reduse 170mm,</t>
  </si>
  <si>
    <t>,W-1551</t>
  </si>
  <si>
    <t>Reduse 315mm,</t>
  </si>
  <si>
    <t>Reduse 100mm</t>
  </si>
  <si>
    <t>Reduse 215mm</t>
  </si>
  <si>
    <t>W-43,W-393,W-445,W-749,W-750,W-751,W-801,W802,W-803,W804,W-864,W-889,W-903,W-904,W-942,W-944,W-1552  Reduse 20mm, W-892,W893 Reduse 25mm, And W-908,W-1551,W-1553 Reduse 30mm</t>
  </si>
  <si>
    <t>Reduse 20 mm</t>
  </si>
  <si>
    <t>Reduse 25 mm</t>
  </si>
  <si>
    <t>Reduse 30 mm</t>
  </si>
  <si>
    <t>W-32,37,443,457,458,857,952</t>
  </si>
  <si>
    <t>W-43,48,393,445,648,737,784,749,750,751,752,753,754,824,841,842,844,846,851,852,881,882,883,884,890,896,897,907,908,814,916,942,944</t>
  </si>
  <si>
    <t>W-33,35,36,410,731,732,735</t>
  </si>
  <si>
    <t>Splice  485043-1</t>
  </si>
  <si>
    <t>Splice  63130-2</t>
  </si>
  <si>
    <t>Splice  63625-1</t>
  </si>
  <si>
    <t>New Release.</t>
  </si>
  <si>
    <t>Reduse 15 mm</t>
  </si>
  <si>
    <t>Reduse 10 mm</t>
  </si>
  <si>
    <t>Reduse 50 mm</t>
  </si>
  <si>
    <t>W-903,W-904</t>
  </si>
  <si>
    <t>W-48,748,904,903,944,884, Redue 20mm , W-289 Redue 15mm,W-290 Redue 25mm, W-827 Redue 10mm, W-824,882  Redue 15mm, W-908 Redue 30mm and W-942 Redue 50mm</t>
  </si>
  <si>
    <t>Praveen</t>
  </si>
  <si>
    <t>Wire Stripping Change Of terminal Part No (485043-1 = 8.5mm to 10.00mm), (63130-2 =6.00 to 7.00mm) And (63625 =10mm to 12.00mm)</t>
  </si>
  <si>
    <t>UL 1569#22</t>
  </si>
  <si>
    <t xml:space="preserve">UL 1569#20 </t>
  </si>
  <si>
    <t xml:space="preserve">W-895, W-897 wire Size  Change From UL 1569#20To UL 1569#22 </t>
  </si>
  <si>
    <t>Length Increase by  10mm,</t>
  </si>
  <si>
    <t>Naresh</t>
  </si>
  <si>
    <t>w-907,W648</t>
  </si>
  <si>
    <t>Length Increase by  15mm,</t>
  </si>
  <si>
    <t>W-907,W-648 length increase by 15 mm</t>
  </si>
  <si>
    <t>W-851 W-942 &amp; W-748</t>
  </si>
  <si>
    <t>Splice Joint Digram Change</t>
  </si>
  <si>
    <t>W-851&amp;942 A Side</t>
  </si>
  <si>
    <t>W-942&amp;748 A Side</t>
  </si>
  <si>
    <t>W-857,W-132</t>
  </si>
  <si>
    <t>Increase 10mm</t>
  </si>
  <si>
    <t>430mm,1215mm</t>
  </si>
  <si>
    <t>420mm,1205mm</t>
  </si>
  <si>
    <t>W-851 W-942 &amp; W-748 Splice Joint Digram change And W-857,W-132 Increase 10 mm</t>
  </si>
  <si>
    <t>GAD/CC/022</t>
  </si>
  <si>
    <t>WCC/WHP/001</t>
  </si>
  <si>
    <t>DESCRIPTION</t>
  </si>
  <si>
    <t>UL1569AWG22RED/BLACK(BARE)</t>
  </si>
  <si>
    <t>UL1569AWG22RED/BLUE(BARE)</t>
  </si>
  <si>
    <t>UL1015AWG18BLACK/ORANGE(BARE)</t>
  </si>
  <si>
    <t>UL1015AWG18GREEN/YELLOW(BARE)</t>
  </si>
  <si>
    <t>UL1015AWG18White/Black(BARE)</t>
  </si>
  <si>
    <t>UL1569AWG22BLACK/GREEN(BARE)</t>
  </si>
  <si>
    <t>UL1569AWG22BLUE/WHITE(BARE)</t>
  </si>
  <si>
    <t>UL1569AWG22BROWN/WHITE(BARE)</t>
  </si>
  <si>
    <t>UL1569AWG22ORANGE/BLUE(BARE)</t>
  </si>
  <si>
    <t>UL1569AWG22TANBROWN(BARE)</t>
  </si>
  <si>
    <t>UL1569AWG22VOILET/WHITE(BARE)</t>
  </si>
  <si>
    <t>UL1569AWG22WHITE/BLACK(BARE)</t>
  </si>
  <si>
    <t>UL1569AWG22WHITE/BLUE(BARE)</t>
  </si>
  <si>
    <t>UL1569AWG22YELLOW/BLACK(BARE)</t>
  </si>
  <si>
    <t>SFG00424</t>
  </si>
  <si>
    <t>UL1015AWG18BLACK(BARE)</t>
  </si>
  <si>
    <t>SFG00412</t>
  </si>
  <si>
    <t>UL1015AWG18WHITE(BARE)</t>
  </si>
  <si>
    <t>SFG00952</t>
  </si>
  <si>
    <t>SFG00391</t>
  </si>
  <si>
    <t>UL1015AWG20WHITE(BARE)</t>
  </si>
  <si>
    <t>SFG00974</t>
  </si>
  <si>
    <t>SFG00495</t>
  </si>
  <si>
    <t>UL1569AWG22WHITE(BARE)</t>
  </si>
  <si>
    <t>SFG00378</t>
  </si>
  <si>
    <t>UL1015AWG20BLUE(BARE)</t>
  </si>
  <si>
    <t>SFG00493</t>
  </si>
  <si>
    <t>UL1569AWG22ORANGE(BARE)</t>
  </si>
  <si>
    <t>SFG00499</t>
  </si>
  <si>
    <t>UL1569AWG22RED(BARE)</t>
  </si>
  <si>
    <t>SFG00964</t>
  </si>
  <si>
    <t>SFG00377</t>
  </si>
  <si>
    <t>UL1015AWG20GREEN(BARE)</t>
  </si>
  <si>
    <t>SFG00957</t>
  </si>
  <si>
    <t>SFG00389</t>
  </si>
  <si>
    <t>UL1015AWG20BLACK(BARE)</t>
  </si>
  <si>
    <t>SFG00433</t>
  </si>
  <si>
    <t>SFG00953</t>
  </si>
  <si>
    <t>SFG00960</t>
  </si>
  <si>
    <t>SFG00502</t>
  </si>
  <si>
    <t>SFG00431</t>
  </si>
  <si>
    <t>UL1015AWG18YELLOW(BARE)</t>
  </si>
  <si>
    <t>SFG00496</t>
  </si>
  <si>
    <t>UL1569AWG22GREEN(BARE)</t>
  </si>
  <si>
    <t>SFG00503</t>
  </si>
  <si>
    <t>UL1569AWG22BLUE(BARE)</t>
  </si>
  <si>
    <t>SFG00490</t>
  </si>
  <si>
    <t>UL1569AWG22BLACK(BARE)</t>
  </si>
  <si>
    <t>SFG00834</t>
  </si>
  <si>
    <t>SFG00508</t>
  </si>
  <si>
    <t>SFG00491</t>
  </si>
  <si>
    <t>UL1569AWG22GREY(BARE)</t>
  </si>
  <si>
    <t>SFG00972</t>
  </si>
  <si>
    <t>SFG00970</t>
  </si>
  <si>
    <t>SFG00492</t>
  </si>
  <si>
    <t>UL1569AWG22BROWN(BARE)</t>
  </si>
  <si>
    <t>SFG00384</t>
  </si>
  <si>
    <t>UL1015AWG20YELLOW(BARE)</t>
  </si>
  <si>
    <t>SFG00494</t>
  </si>
  <si>
    <t>UL1569AWG22YELLOW(BARE)</t>
  </si>
  <si>
    <t>SFG00956</t>
  </si>
  <si>
    <t>UL1569AWG22SKYBLUE(BARE)</t>
  </si>
  <si>
    <t>SFG00971</t>
  </si>
  <si>
    <t>SFG00497</t>
  </si>
  <si>
    <t>UL1569AWG22VOILET(BARE)</t>
  </si>
  <si>
    <t>SFG00969</t>
  </si>
  <si>
    <t>SAP DESCRIPTION</t>
  </si>
  <si>
    <t>SAP CODE</t>
  </si>
  <si>
    <t>UL1569AWG22VIOLET/WHITE(BARE)</t>
  </si>
  <si>
    <t>UL1569AWG22VIOLET(BARE)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</si>
</sst>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192">
    <xf numFmtId="0" fontId="0" fillId="0" borderId="0" xfId="0"/>
    <xf numFmtId="0" fontId="7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5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2" fontId="13" fillId="7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13" fillId="4" borderId="1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4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2" fontId="11" fillId="9" borderId="1" xfId="0" applyNumberFormat="1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2" fontId="11" fillId="10" borderId="1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4" fontId="0" fillId="4" borderId="1" xfId="0" applyNumberFormat="1" applyFont="1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1" fontId="0" fillId="4" borderId="17" xfId="0" applyNumberFormat="1" applyFill="1" applyBorder="1" applyAlignment="1">
      <alignment horizontal="center" vertical="center"/>
    </xf>
    <xf numFmtId="14" fontId="0" fillId="4" borderId="17" xfId="0" applyNumberForma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/>
    <xf numFmtId="0" fontId="13" fillId="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4" fontId="13" fillId="0" borderId="14" xfId="0" applyNumberFormat="1" applyFont="1" applyBorder="1" applyAlignment="1">
      <alignment horizontal="center" vertical="center"/>
    </xf>
    <xf numFmtId="14" fontId="13" fillId="0" borderId="20" xfId="0" applyNumberFormat="1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/>
    </xf>
    <xf numFmtId="0" fontId="14" fillId="8" borderId="28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4" fontId="13" fillId="0" borderId="15" xfId="0" applyNumberFormat="1" applyFont="1" applyBorder="1" applyAlignment="1">
      <alignment horizontal="center" vertical="center"/>
    </xf>
    <xf numFmtId="14" fontId="13" fillId="0" borderId="19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14" fontId="13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0" fontId="0" fillId="0" borderId="1" xfId="0" applyBorder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17"/>
  <sheetViews>
    <sheetView view="pageBreakPreview" topLeftCell="A89" zoomScale="70" zoomScaleNormal="70" zoomScaleSheetLayoutView="70" workbookViewId="0">
      <selection activeCell="B1" sqref="B1:N102"/>
    </sheetView>
  </sheetViews>
  <sheetFormatPr defaultRowHeight="15" x14ac:dyDescent="0.25"/>
  <cols>
    <col min="1" max="1" width="1" customWidth="1"/>
    <col min="2" max="2" width="6.42578125" customWidth="1"/>
    <col min="3" max="3" width="9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25">
      <c r="B1" s="117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1:14" ht="28.35" customHeight="1" x14ac:dyDescent="0.25">
      <c r="B2" s="120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2"/>
    </row>
    <row r="3" spans="1:14" ht="15.95" customHeight="1" x14ac:dyDescent="0.25">
      <c r="B3" s="123" t="s">
        <v>2</v>
      </c>
      <c r="C3" s="124"/>
      <c r="D3" s="124"/>
      <c r="E3" s="124"/>
      <c r="F3" s="124"/>
      <c r="G3" s="124"/>
      <c r="H3" s="10" t="s">
        <v>161</v>
      </c>
      <c r="I3" s="8" t="s">
        <v>194</v>
      </c>
      <c r="J3" s="99" t="s">
        <v>211</v>
      </c>
      <c r="K3" s="125" t="s">
        <v>195</v>
      </c>
      <c r="L3" s="126"/>
      <c r="M3" s="125" t="s">
        <v>278</v>
      </c>
      <c r="N3" s="127"/>
    </row>
    <row r="4" spans="1:14" ht="21" customHeight="1" x14ac:dyDescent="0.25">
      <c r="B4" s="123" t="s">
        <v>3</v>
      </c>
      <c r="C4" s="124"/>
      <c r="D4" s="124"/>
      <c r="E4" s="124"/>
      <c r="F4" s="124"/>
      <c r="G4" s="124"/>
      <c r="H4" s="99" t="s">
        <v>4</v>
      </c>
      <c r="I4" s="9" t="s">
        <v>197</v>
      </c>
      <c r="J4" s="10">
        <v>6</v>
      </c>
      <c r="K4" s="128" t="s">
        <v>198</v>
      </c>
      <c r="L4" s="129"/>
      <c r="M4" s="124" t="s">
        <v>279</v>
      </c>
      <c r="N4" s="130"/>
    </row>
    <row r="5" spans="1:14" ht="21" customHeight="1" x14ac:dyDescent="0.25">
      <c r="B5" s="123" t="s">
        <v>5</v>
      </c>
      <c r="C5" s="124"/>
      <c r="D5" s="124"/>
      <c r="E5" s="124"/>
      <c r="F5" s="124"/>
      <c r="G5" s="124"/>
      <c r="H5" s="99" t="s">
        <v>18</v>
      </c>
      <c r="I5" s="9" t="s">
        <v>199</v>
      </c>
      <c r="J5" s="21">
        <v>45938</v>
      </c>
      <c r="K5" s="136" t="s">
        <v>6</v>
      </c>
      <c r="L5" s="137"/>
      <c r="M5" s="138" t="s">
        <v>7</v>
      </c>
      <c r="N5" s="139"/>
    </row>
    <row r="6" spans="1:14" ht="56.25" customHeight="1" x14ac:dyDescent="0.25">
      <c r="B6" s="7" t="s">
        <v>160</v>
      </c>
      <c r="C6" s="5" t="s">
        <v>8</v>
      </c>
      <c r="D6" s="140" t="s">
        <v>9</v>
      </c>
      <c r="E6" s="140"/>
      <c r="F6" s="140"/>
      <c r="G6" s="140"/>
      <c r="H6" s="2" t="s">
        <v>10</v>
      </c>
      <c r="I6" s="100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13">
        <v>1</v>
      </c>
      <c r="C7" s="97" t="s">
        <v>25</v>
      </c>
      <c r="D7" s="135" t="s">
        <v>71</v>
      </c>
      <c r="E7" s="135"/>
      <c r="F7" s="135"/>
      <c r="G7" s="135"/>
      <c r="H7" s="97" t="s">
        <v>162</v>
      </c>
      <c r="I7" s="97" t="s">
        <v>19</v>
      </c>
      <c r="J7" s="97">
        <v>1220</v>
      </c>
      <c r="K7" s="42">
        <v>5</v>
      </c>
      <c r="L7" s="97" t="s">
        <v>72</v>
      </c>
      <c r="M7" s="101">
        <v>11</v>
      </c>
      <c r="N7" s="44" t="s">
        <v>164</v>
      </c>
    </row>
    <row r="8" spans="1:14" ht="35.1" customHeight="1" x14ac:dyDescent="0.25">
      <c r="B8" s="13">
        <v>2</v>
      </c>
      <c r="C8" s="97" t="s">
        <v>26</v>
      </c>
      <c r="D8" s="135" t="s">
        <v>71</v>
      </c>
      <c r="E8" s="135"/>
      <c r="F8" s="135"/>
      <c r="G8" s="135"/>
      <c r="H8" s="97" t="s">
        <v>162</v>
      </c>
      <c r="I8" s="97" t="s">
        <v>73</v>
      </c>
      <c r="J8" s="97">
        <v>830</v>
      </c>
      <c r="K8" s="101">
        <v>12</v>
      </c>
      <c r="L8" s="41" t="s">
        <v>165</v>
      </c>
      <c r="M8" s="42">
        <v>5</v>
      </c>
      <c r="N8" s="43" t="s">
        <v>72</v>
      </c>
    </row>
    <row r="9" spans="1:14" ht="35.1" customHeight="1" x14ac:dyDescent="0.25">
      <c r="B9" s="13">
        <v>3</v>
      </c>
      <c r="C9" s="97" t="s">
        <v>74</v>
      </c>
      <c r="D9" s="135" t="s">
        <v>91</v>
      </c>
      <c r="E9" s="135"/>
      <c r="F9" s="135"/>
      <c r="G9" s="135"/>
      <c r="H9" s="97" t="s">
        <v>163</v>
      </c>
      <c r="I9" s="97" t="s">
        <v>75</v>
      </c>
      <c r="J9" s="97">
        <v>1725</v>
      </c>
      <c r="K9" s="101">
        <v>12</v>
      </c>
      <c r="L9" s="41" t="s">
        <v>165</v>
      </c>
      <c r="M9" s="42">
        <v>3.5</v>
      </c>
      <c r="N9" s="43" t="s">
        <v>141</v>
      </c>
    </row>
    <row r="10" spans="1:14" ht="35.1" customHeight="1" x14ac:dyDescent="0.25">
      <c r="B10" s="13">
        <v>4</v>
      </c>
      <c r="C10" s="97" t="s">
        <v>27</v>
      </c>
      <c r="D10" s="135" t="s">
        <v>76</v>
      </c>
      <c r="E10" s="135"/>
      <c r="F10" s="135"/>
      <c r="G10" s="135"/>
      <c r="H10" s="97" t="s">
        <v>159</v>
      </c>
      <c r="I10" s="97" t="s">
        <v>73</v>
      </c>
      <c r="J10" s="97">
        <v>1950</v>
      </c>
      <c r="K10" s="42">
        <v>3</v>
      </c>
      <c r="L10" s="97">
        <v>39000040</v>
      </c>
      <c r="M10" s="70">
        <v>12</v>
      </c>
      <c r="N10" s="44" t="s">
        <v>170</v>
      </c>
    </row>
    <row r="11" spans="1:14" ht="35.1" customHeight="1" x14ac:dyDescent="0.25">
      <c r="B11" s="13">
        <v>5</v>
      </c>
      <c r="C11" s="97" t="s">
        <v>28</v>
      </c>
      <c r="D11" s="135" t="s">
        <v>71</v>
      </c>
      <c r="E11" s="135"/>
      <c r="F11" s="135"/>
      <c r="G11" s="135"/>
      <c r="H11" s="97" t="s">
        <v>162</v>
      </c>
      <c r="I11" s="97" t="s">
        <v>77</v>
      </c>
      <c r="J11" s="97">
        <v>490</v>
      </c>
      <c r="K11" s="42">
        <v>3</v>
      </c>
      <c r="L11" s="97" t="s">
        <v>142</v>
      </c>
      <c r="M11" s="102">
        <v>11</v>
      </c>
      <c r="N11" s="44" t="s">
        <v>189</v>
      </c>
    </row>
    <row r="12" spans="1:14" ht="35.1" customHeight="1" x14ac:dyDescent="0.25">
      <c r="B12" s="13">
        <v>6</v>
      </c>
      <c r="C12" s="97" t="s">
        <v>29</v>
      </c>
      <c r="D12" s="135" t="s">
        <v>91</v>
      </c>
      <c r="E12" s="135"/>
      <c r="F12" s="135"/>
      <c r="G12" s="135"/>
      <c r="H12" s="97" t="s">
        <v>163</v>
      </c>
      <c r="I12" s="97" t="s">
        <v>73</v>
      </c>
      <c r="J12" s="97">
        <v>1345</v>
      </c>
      <c r="K12" s="42">
        <v>3</v>
      </c>
      <c r="L12" s="97" t="s">
        <v>143</v>
      </c>
      <c r="M12" s="42">
        <v>3</v>
      </c>
      <c r="N12" s="44" t="s">
        <v>143</v>
      </c>
    </row>
    <row r="13" spans="1:14" ht="35.1" customHeight="1" x14ac:dyDescent="0.25">
      <c r="B13" s="13">
        <v>7</v>
      </c>
      <c r="C13" s="97" t="s">
        <v>30</v>
      </c>
      <c r="D13" s="135" t="s">
        <v>76</v>
      </c>
      <c r="E13" s="135"/>
      <c r="F13" s="135"/>
      <c r="G13" s="135"/>
      <c r="H13" s="97" t="s">
        <v>159</v>
      </c>
      <c r="I13" s="97" t="s">
        <v>78</v>
      </c>
      <c r="J13" s="97">
        <f>1390-20</f>
        <v>1370</v>
      </c>
      <c r="K13" s="42">
        <v>3.5</v>
      </c>
      <c r="L13" s="97" t="s">
        <v>144</v>
      </c>
      <c r="M13" s="42">
        <v>7</v>
      </c>
      <c r="N13" s="44" t="s">
        <v>167</v>
      </c>
    </row>
    <row r="14" spans="1:14" ht="35.1" customHeight="1" x14ac:dyDescent="0.25">
      <c r="B14" s="13">
        <v>8</v>
      </c>
      <c r="C14" s="97" t="s">
        <v>31</v>
      </c>
      <c r="D14" s="135" t="s">
        <v>91</v>
      </c>
      <c r="E14" s="135"/>
      <c r="F14" s="135"/>
      <c r="G14" s="135"/>
      <c r="H14" s="97" t="s">
        <v>163</v>
      </c>
      <c r="I14" s="97" t="s">
        <v>79</v>
      </c>
      <c r="J14" s="97">
        <v>1000</v>
      </c>
      <c r="K14" s="42">
        <v>2</v>
      </c>
      <c r="L14" s="97" t="s">
        <v>145</v>
      </c>
      <c r="M14" s="42">
        <v>7</v>
      </c>
      <c r="N14" s="44" t="s">
        <v>168</v>
      </c>
    </row>
    <row r="15" spans="1:14" ht="35.1" customHeight="1" x14ac:dyDescent="0.25">
      <c r="B15" s="13">
        <v>9</v>
      </c>
      <c r="C15" s="97" t="s">
        <v>32</v>
      </c>
      <c r="D15" s="135" t="s">
        <v>91</v>
      </c>
      <c r="E15" s="135"/>
      <c r="F15" s="135"/>
      <c r="G15" s="135"/>
      <c r="H15" s="97" t="s">
        <v>163</v>
      </c>
      <c r="I15" s="97" t="s">
        <v>79</v>
      </c>
      <c r="J15" s="97">
        <v>1400</v>
      </c>
      <c r="K15" s="42">
        <v>3</v>
      </c>
      <c r="L15" s="97" t="s">
        <v>143</v>
      </c>
      <c r="M15" s="42">
        <v>2</v>
      </c>
      <c r="N15" s="44" t="s">
        <v>145</v>
      </c>
    </row>
    <row r="16" spans="1:14" ht="35.1" customHeight="1" x14ac:dyDescent="0.25">
      <c r="A16" s="4"/>
      <c r="B16" s="13">
        <v>10</v>
      </c>
      <c r="C16" s="97" t="s">
        <v>33</v>
      </c>
      <c r="D16" s="135" t="s">
        <v>91</v>
      </c>
      <c r="E16" s="135"/>
      <c r="F16" s="135"/>
      <c r="G16" s="135"/>
      <c r="H16" s="97" t="s">
        <v>163</v>
      </c>
      <c r="I16" s="97" t="s">
        <v>80</v>
      </c>
      <c r="J16" s="97">
        <v>1155</v>
      </c>
      <c r="K16" s="42">
        <v>2</v>
      </c>
      <c r="L16" s="97" t="s">
        <v>145</v>
      </c>
      <c r="M16" s="42">
        <v>3</v>
      </c>
      <c r="N16" s="43" t="s">
        <v>143</v>
      </c>
    </row>
    <row r="17" spans="1:15" ht="35.1" customHeight="1" x14ac:dyDescent="0.25">
      <c r="B17" s="13">
        <v>11</v>
      </c>
      <c r="C17" s="97" t="s">
        <v>34</v>
      </c>
      <c r="D17" s="135" t="s">
        <v>71</v>
      </c>
      <c r="E17" s="135"/>
      <c r="F17" s="135"/>
      <c r="G17" s="135"/>
      <c r="H17" s="97" t="s">
        <v>162</v>
      </c>
      <c r="I17" s="97" t="s">
        <v>77</v>
      </c>
      <c r="J17" s="106">
        <f>1205+10</f>
        <v>1215</v>
      </c>
      <c r="K17" s="42">
        <v>3.5</v>
      </c>
      <c r="L17" s="97" t="s">
        <v>146</v>
      </c>
      <c r="M17" s="42">
        <v>5</v>
      </c>
      <c r="N17" s="43" t="s">
        <v>147</v>
      </c>
    </row>
    <row r="18" spans="1:15" ht="35.1" customHeight="1" x14ac:dyDescent="0.25">
      <c r="B18" s="13">
        <v>12</v>
      </c>
      <c r="C18" s="97" t="s">
        <v>35</v>
      </c>
      <c r="D18" s="135" t="s">
        <v>91</v>
      </c>
      <c r="E18" s="135"/>
      <c r="F18" s="135"/>
      <c r="G18" s="135"/>
      <c r="H18" s="97" t="s">
        <v>163</v>
      </c>
      <c r="I18" s="105" t="s">
        <v>75</v>
      </c>
      <c r="J18" s="105">
        <v>1400</v>
      </c>
      <c r="K18" s="42">
        <v>2</v>
      </c>
      <c r="L18" s="97" t="s">
        <v>145</v>
      </c>
      <c r="M18" s="42">
        <v>3</v>
      </c>
      <c r="N18" s="44" t="s">
        <v>143</v>
      </c>
    </row>
    <row r="19" spans="1:15" ht="35.1" customHeight="1" x14ac:dyDescent="0.25">
      <c r="B19" s="13">
        <v>13</v>
      </c>
      <c r="C19" s="97" t="s">
        <v>36</v>
      </c>
      <c r="D19" s="135" t="s">
        <v>91</v>
      </c>
      <c r="E19" s="135"/>
      <c r="F19" s="135"/>
      <c r="G19" s="135"/>
      <c r="H19" s="97" t="s">
        <v>163</v>
      </c>
      <c r="I19" s="105" t="s">
        <v>81</v>
      </c>
      <c r="J19" s="105">
        <f>1480-15</f>
        <v>1465</v>
      </c>
      <c r="K19" s="42">
        <v>3</v>
      </c>
      <c r="L19" s="97" t="s">
        <v>148</v>
      </c>
      <c r="M19" s="42">
        <v>2</v>
      </c>
      <c r="N19" s="43" t="s">
        <v>145</v>
      </c>
    </row>
    <row r="20" spans="1:15" ht="49.5" customHeight="1" x14ac:dyDescent="0.25">
      <c r="B20" s="13">
        <v>14</v>
      </c>
      <c r="C20" s="97" t="s">
        <v>37</v>
      </c>
      <c r="D20" s="135" t="s">
        <v>91</v>
      </c>
      <c r="E20" s="135"/>
      <c r="F20" s="135"/>
      <c r="G20" s="135"/>
      <c r="H20" s="97" t="s">
        <v>163</v>
      </c>
      <c r="I20" s="105" t="s">
        <v>75</v>
      </c>
      <c r="J20" s="105">
        <f>3170-25</f>
        <v>3145</v>
      </c>
      <c r="K20" s="42">
        <v>3</v>
      </c>
      <c r="L20" s="97" t="s">
        <v>148</v>
      </c>
      <c r="M20" s="42">
        <v>3</v>
      </c>
      <c r="N20" s="43" t="s">
        <v>148</v>
      </c>
      <c r="O20" s="4"/>
    </row>
    <row r="21" spans="1:15" ht="35.1" customHeight="1" x14ac:dyDescent="0.25">
      <c r="B21" s="13">
        <v>15</v>
      </c>
      <c r="C21" s="97" t="s">
        <v>38</v>
      </c>
      <c r="D21" s="135" t="s">
        <v>76</v>
      </c>
      <c r="E21" s="135"/>
      <c r="F21" s="135"/>
      <c r="G21" s="135"/>
      <c r="H21" s="97" t="s">
        <v>159</v>
      </c>
      <c r="I21" s="105" t="s">
        <v>82</v>
      </c>
      <c r="J21" s="105">
        <f>1340-20</f>
        <v>1320</v>
      </c>
      <c r="K21" s="42">
        <v>3.5</v>
      </c>
      <c r="L21" s="97" t="s">
        <v>144</v>
      </c>
      <c r="M21" s="42">
        <v>7</v>
      </c>
      <c r="N21" s="44" t="s">
        <v>169</v>
      </c>
    </row>
    <row r="22" spans="1:15" s="3" customFormat="1" ht="35.1" customHeight="1" x14ac:dyDescent="0.25">
      <c r="B22" s="13">
        <v>16</v>
      </c>
      <c r="C22" s="97" t="s">
        <v>39</v>
      </c>
      <c r="D22" s="135" t="s">
        <v>71</v>
      </c>
      <c r="E22" s="135"/>
      <c r="F22" s="135"/>
      <c r="G22" s="135"/>
      <c r="H22" s="97" t="s">
        <v>162</v>
      </c>
      <c r="I22" s="105" t="s">
        <v>73</v>
      </c>
      <c r="J22" s="105">
        <v>1145</v>
      </c>
      <c r="K22" s="42">
        <v>3</v>
      </c>
      <c r="L22" s="97" t="s">
        <v>142</v>
      </c>
      <c r="M22" s="42">
        <v>12</v>
      </c>
      <c r="N22" s="44" t="s">
        <v>170</v>
      </c>
    </row>
    <row r="23" spans="1:15" ht="35.1" customHeight="1" x14ac:dyDescent="0.25">
      <c r="A23" s="4"/>
      <c r="B23" s="13">
        <v>17</v>
      </c>
      <c r="C23" s="97" t="s">
        <v>40</v>
      </c>
      <c r="D23" s="135" t="s">
        <v>91</v>
      </c>
      <c r="E23" s="135"/>
      <c r="F23" s="135"/>
      <c r="G23" s="135"/>
      <c r="H23" s="97" t="s">
        <v>163</v>
      </c>
      <c r="I23" s="105" t="s">
        <v>83</v>
      </c>
      <c r="J23" s="105">
        <v>815</v>
      </c>
      <c r="K23" s="42">
        <v>5</v>
      </c>
      <c r="L23" s="97" t="s">
        <v>149</v>
      </c>
      <c r="M23" s="42">
        <v>2</v>
      </c>
      <c r="N23" s="44" t="s">
        <v>145</v>
      </c>
    </row>
    <row r="24" spans="1:15" ht="35.1" customHeight="1" x14ac:dyDescent="0.25">
      <c r="B24" s="13">
        <v>18</v>
      </c>
      <c r="C24" s="97" t="s">
        <v>41</v>
      </c>
      <c r="D24" s="135" t="s">
        <v>71</v>
      </c>
      <c r="E24" s="135"/>
      <c r="F24" s="135"/>
      <c r="G24" s="135"/>
      <c r="H24" s="97" t="s">
        <v>162</v>
      </c>
      <c r="I24" s="105" t="s">
        <v>19</v>
      </c>
      <c r="J24" s="105">
        <v>490</v>
      </c>
      <c r="K24" s="42">
        <v>3</v>
      </c>
      <c r="L24" s="41" t="s">
        <v>142</v>
      </c>
      <c r="M24" s="103">
        <v>11</v>
      </c>
      <c r="N24" s="44" t="s">
        <v>166</v>
      </c>
    </row>
    <row r="25" spans="1:15" ht="35.1" customHeight="1" x14ac:dyDescent="0.25">
      <c r="B25" s="13">
        <v>19</v>
      </c>
      <c r="C25" s="97" t="s">
        <v>42</v>
      </c>
      <c r="D25" s="135" t="s">
        <v>76</v>
      </c>
      <c r="E25" s="135"/>
      <c r="F25" s="135"/>
      <c r="G25" s="135"/>
      <c r="H25" s="97" t="s">
        <v>159</v>
      </c>
      <c r="I25" s="105" t="s">
        <v>19</v>
      </c>
      <c r="J25" s="105">
        <f>775-20</f>
        <v>755</v>
      </c>
      <c r="K25" s="42">
        <v>3.5</v>
      </c>
      <c r="L25" s="97" t="s">
        <v>144</v>
      </c>
      <c r="M25" s="70">
        <v>7</v>
      </c>
      <c r="N25" s="44" t="s">
        <v>171</v>
      </c>
    </row>
    <row r="26" spans="1:15" ht="35.1" customHeight="1" x14ac:dyDescent="0.25">
      <c r="B26" s="13">
        <v>20</v>
      </c>
      <c r="C26" s="97" t="s">
        <v>43</v>
      </c>
      <c r="D26" s="135" t="s">
        <v>71</v>
      </c>
      <c r="E26" s="135"/>
      <c r="F26" s="135"/>
      <c r="G26" s="135"/>
      <c r="H26" s="97" t="s">
        <v>162</v>
      </c>
      <c r="I26" s="105" t="s">
        <v>84</v>
      </c>
      <c r="J26" s="105">
        <v>2195</v>
      </c>
      <c r="K26" s="101">
        <v>11</v>
      </c>
      <c r="L26" s="41" t="s">
        <v>190</v>
      </c>
      <c r="M26" s="42">
        <v>3</v>
      </c>
      <c r="N26" s="43" t="s">
        <v>142</v>
      </c>
    </row>
    <row r="27" spans="1:15" ht="35.1" customHeight="1" x14ac:dyDescent="0.25">
      <c r="A27" s="4"/>
      <c r="B27" s="13">
        <v>21</v>
      </c>
      <c r="C27" s="97" t="s">
        <v>44</v>
      </c>
      <c r="D27" s="135" t="s">
        <v>71</v>
      </c>
      <c r="E27" s="135"/>
      <c r="F27" s="135"/>
      <c r="G27" s="135"/>
      <c r="H27" s="97" t="s">
        <v>162</v>
      </c>
      <c r="I27" s="105" t="s">
        <v>84</v>
      </c>
      <c r="J27" s="105">
        <v>875</v>
      </c>
      <c r="K27" s="42">
        <v>3</v>
      </c>
      <c r="L27" s="97" t="s">
        <v>142</v>
      </c>
      <c r="M27" s="102">
        <v>11</v>
      </c>
      <c r="N27" s="44" t="s">
        <v>172</v>
      </c>
    </row>
    <row r="28" spans="1:15" ht="35.1" customHeight="1" x14ac:dyDescent="0.25">
      <c r="B28" s="13">
        <v>22</v>
      </c>
      <c r="C28" s="97" t="s">
        <v>45</v>
      </c>
      <c r="D28" s="135" t="s">
        <v>91</v>
      </c>
      <c r="E28" s="135"/>
      <c r="F28" s="135"/>
      <c r="G28" s="135"/>
      <c r="H28" s="97" t="s">
        <v>163</v>
      </c>
      <c r="I28" s="41" t="s">
        <v>173</v>
      </c>
      <c r="J28" s="105">
        <f>125+15</f>
        <v>140</v>
      </c>
      <c r="K28" s="42">
        <v>3</v>
      </c>
      <c r="L28" s="97" t="s">
        <v>143</v>
      </c>
      <c r="M28" s="42">
        <v>7</v>
      </c>
      <c r="N28" s="44" t="s">
        <v>174</v>
      </c>
    </row>
    <row r="29" spans="1:15" ht="35.1" customHeight="1" x14ac:dyDescent="0.25">
      <c r="B29" s="13">
        <v>23</v>
      </c>
      <c r="C29" s="97" t="s">
        <v>46</v>
      </c>
      <c r="D29" s="135" t="s">
        <v>91</v>
      </c>
      <c r="E29" s="135"/>
      <c r="F29" s="135"/>
      <c r="G29" s="135"/>
      <c r="H29" s="97" t="s">
        <v>163</v>
      </c>
      <c r="I29" s="105" t="s">
        <v>73</v>
      </c>
      <c r="J29" s="105">
        <v>1150</v>
      </c>
      <c r="K29" s="42">
        <v>2</v>
      </c>
      <c r="L29" s="97" t="s">
        <v>145</v>
      </c>
      <c r="M29" s="42">
        <v>3</v>
      </c>
      <c r="N29" s="44" t="s">
        <v>143</v>
      </c>
    </row>
    <row r="30" spans="1:15" ht="35.1" customHeight="1" x14ac:dyDescent="0.25">
      <c r="B30" s="13">
        <v>24</v>
      </c>
      <c r="C30" s="97" t="s">
        <v>47</v>
      </c>
      <c r="D30" s="135" t="s">
        <v>71</v>
      </c>
      <c r="E30" s="135"/>
      <c r="F30" s="135"/>
      <c r="G30" s="135"/>
      <c r="H30" s="97" t="s">
        <v>162</v>
      </c>
      <c r="I30" s="97" t="s">
        <v>85</v>
      </c>
      <c r="J30" s="97">
        <v>895</v>
      </c>
      <c r="K30" s="42">
        <v>3</v>
      </c>
      <c r="L30" s="97" t="s">
        <v>142</v>
      </c>
      <c r="M30" s="42">
        <v>12</v>
      </c>
      <c r="N30" s="44" t="s">
        <v>170</v>
      </c>
    </row>
    <row r="31" spans="1:15" ht="35.1" customHeight="1" x14ac:dyDescent="0.25">
      <c r="B31" s="13">
        <v>25</v>
      </c>
      <c r="C31" s="97" t="s">
        <v>48</v>
      </c>
      <c r="D31" s="135" t="s">
        <v>71</v>
      </c>
      <c r="E31" s="135"/>
      <c r="F31" s="135"/>
      <c r="G31" s="135"/>
      <c r="H31" s="97" t="s">
        <v>162</v>
      </c>
      <c r="I31" s="97" t="s">
        <v>73</v>
      </c>
      <c r="J31" s="97">
        <v>895</v>
      </c>
      <c r="K31" s="102">
        <v>12</v>
      </c>
      <c r="L31" s="41" t="s">
        <v>170</v>
      </c>
      <c r="M31" s="42">
        <v>3</v>
      </c>
      <c r="N31" s="44" t="s">
        <v>142</v>
      </c>
    </row>
    <row r="32" spans="1:15" ht="35.1" customHeight="1" x14ac:dyDescent="0.25">
      <c r="B32" s="13">
        <v>26</v>
      </c>
      <c r="C32" s="97" t="s">
        <v>86</v>
      </c>
      <c r="D32" s="135" t="s">
        <v>91</v>
      </c>
      <c r="E32" s="135"/>
      <c r="F32" s="135"/>
      <c r="G32" s="135"/>
      <c r="H32" s="97" t="s">
        <v>163</v>
      </c>
      <c r="I32" s="97" t="s">
        <v>85</v>
      </c>
      <c r="J32" s="97">
        <v>1735</v>
      </c>
      <c r="K32" s="102">
        <v>12</v>
      </c>
      <c r="L32" s="41" t="s">
        <v>165</v>
      </c>
      <c r="M32" s="42">
        <v>3</v>
      </c>
      <c r="N32" s="44" t="s">
        <v>141</v>
      </c>
    </row>
    <row r="33" spans="2:14" ht="35.1" customHeight="1" x14ac:dyDescent="0.25">
      <c r="B33" s="13">
        <v>27</v>
      </c>
      <c r="C33" s="97" t="s">
        <v>87</v>
      </c>
      <c r="D33" s="135" t="s">
        <v>71</v>
      </c>
      <c r="E33" s="135"/>
      <c r="F33" s="135"/>
      <c r="G33" s="135"/>
      <c r="H33" s="97" t="s">
        <v>162</v>
      </c>
      <c r="I33" s="97" t="s">
        <v>88</v>
      </c>
      <c r="J33" s="97">
        <v>280</v>
      </c>
      <c r="K33" s="42">
        <v>3.5</v>
      </c>
      <c r="L33" s="97" t="s">
        <v>146</v>
      </c>
      <c r="M33" s="42">
        <v>7</v>
      </c>
      <c r="N33" s="44" t="s">
        <v>175</v>
      </c>
    </row>
    <row r="34" spans="2:14" ht="35.1" customHeight="1" x14ac:dyDescent="0.25">
      <c r="B34" s="13">
        <v>28</v>
      </c>
      <c r="C34" s="97" t="s">
        <v>89</v>
      </c>
      <c r="D34" s="135" t="s">
        <v>91</v>
      </c>
      <c r="E34" s="135"/>
      <c r="F34" s="135"/>
      <c r="G34" s="135"/>
      <c r="H34" s="97" t="s">
        <v>163</v>
      </c>
      <c r="I34" s="97" t="s">
        <v>82</v>
      </c>
      <c r="J34" s="97">
        <f>1010-20</f>
        <v>990</v>
      </c>
      <c r="K34" s="42">
        <v>2</v>
      </c>
      <c r="L34" s="97" t="s">
        <v>145</v>
      </c>
      <c r="M34" s="42">
        <v>7</v>
      </c>
      <c r="N34" s="23" t="s">
        <v>181</v>
      </c>
    </row>
    <row r="35" spans="2:14" ht="35.1" customHeight="1" x14ac:dyDescent="0.25">
      <c r="B35" s="13">
        <v>29</v>
      </c>
      <c r="C35" s="97" t="s">
        <v>49</v>
      </c>
      <c r="D35" s="135" t="s">
        <v>91</v>
      </c>
      <c r="E35" s="135"/>
      <c r="F35" s="135"/>
      <c r="G35" s="135"/>
      <c r="H35" s="97" t="s">
        <v>163</v>
      </c>
      <c r="I35" s="97" t="s">
        <v>82</v>
      </c>
      <c r="J35" s="97">
        <f>1580-20</f>
        <v>1560</v>
      </c>
      <c r="K35" s="42">
        <v>3.5</v>
      </c>
      <c r="L35" s="97" t="s">
        <v>150</v>
      </c>
      <c r="M35" s="42">
        <v>7</v>
      </c>
      <c r="N35" s="44" t="s">
        <v>169</v>
      </c>
    </row>
    <row r="36" spans="2:14" ht="35.1" customHeight="1" x14ac:dyDescent="0.25">
      <c r="B36" s="13">
        <v>30</v>
      </c>
      <c r="C36" s="97" t="s">
        <v>50</v>
      </c>
      <c r="D36" s="135" t="s">
        <v>91</v>
      </c>
      <c r="E36" s="135"/>
      <c r="F36" s="135"/>
      <c r="G36" s="135"/>
      <c r="H36" s="97" t="s">
        <v>163</v>
      </c>
      <c r="I36" s="97" t="s">
        <v>78</v>
      </c>
      <c r="J36" s="97">
        <f>1640-20</f>
        <v>1620</v>
      </c>
      <c r="K36" s="42">
        <v>3.5</v>
      </c>
      <c r="L36" s="97" t="s">
        <v>150</v>
      </c>
      <c r="M36" s="42">
        <v>7</v>
      </c>
      <c r="N36" s="44" t="s">
        <v>167</v>
      </c>
    </row>
    <row r="37" spans="2:14" ht="35.1" customHeight="1" x14ac:dyDescent="0.25">
      <c r="B37" s="13">
        <v>31</v>
      </c>
      <c r="C37" s="97" t="s">
        <v>51</v>
      </c>
      <c r="D37" s="135" t="s">
        <v>91</v>
      </c>
      <c r="E37" s="135"/>
      <c r="F37" s="135"/>
      <c r="G37" s="135"/>
      <c r="H37" s="97" t="s">
        <v>163</v>
      </c>
      <c r="I37" s="97" t="s">
        <v>19</v>
      </c>
      <c r="J37" s="97">
        <f>1020-20</f>
        <v>1000</v>
      </c>
      <c r="K37" s="42">
        <v>3.5</v>
      </c>
      <c r="L37" s="97" t="s">
        <v>150</v>
      </c>
      <c r="M37" s="42">
        <v>7</v>
      </c>
      <c r="N37" s="44" t="s">
        <v>171</v>
      </c>
    </row>
    <row r="38" spans="2:14" ht="35.1" customHeight="1" x14ac:dyDescent="0.25">
      <c r="B38" s="13">
        <v>32</v>
      </c>
      <c r="C38" s="97" t="s">
        <v>52</v>
      </c>
      <c r="D38" s="135" t="s">
        <v>91</v>
      </c>
      <c r="E38" s="135"/>
      <c r="F38" s="135"/>
      <c r="G38" s="135"/>
      <c r="H38" s="97" t="s">
        <v>163</v>
      </c>
      <c r="I38" s="97" t="s">
        <v>19</v>
      </c>
      <c r="J38" s="97">
        <v>1450</v>
      </c>
      <c r="K38" s="102">
        <v>7</v>
      </c>
      <c r="L38" s="44" t="s">
        <v>177</v>
      </c>
      <c r="M38" s="42">
        <v>3</v>
      </c>
      <c r="N38" s="44" t="s">
        <v>143</v>
      </c>
    </row>
    <row r="39" spans="2:14" ht="35.1" customHeight="1" x14ac:dyDescent="0.25">
      <c r="B39" s="13">
        <v>33</v>
      </c>
      <c r="C39" s="97" t="s">
        <v>53</v>
      </c>
      <c r="D39" s="135" t="s">
        <v>91</v>
      </c>
      <c r="E39" s="135"/>
      <c r="F39" s="135"/>
      <c r="G39" s="135"/>
      <c r="H39" s="97" t="s">
        <v>163</v>
      </c>
      <c r="I39" s="97" t="s">
        <v>78</v>
      </c>
      <c r="J39" s="97">
        <v>1210</v>
      </c>
      <c r="K39" s="102">
        <v>7</v>
      </c>
      <c r="L39" s="44" t="s">
        <v>178</v>
      </c>
      <c r="M39" s="42">
        <v>3</v>
      </c>
      <c r="N39" s="43" t="s">
        <v>143</v>
      </c>
    </row>
    <row r="40" spans="2:14" ht="35.1" customHeight="1" x14ac:dyDescent="0.25">
      <c r="B40" s="13">
        <v>34</v>
      </c>
      <c r="C40" s="97" t="s">
        <v>54</v>
      </c>
      <c r="D40" s="135" t="s">
        <v>91</v>
      </c>
      <c r="E40" s="135"/>
      <c r="F40" s="135"/>
      <c r="G40" s="135"/>
      <c r="H40" s="97" t="s">
        <v>163</v>
      </c>
      <c r="I40" s="97" t="s">
        <v>82</v>
      </c>
      <c r="J40" s="97">
        <v>1140</v>
      </c>
      <c r="K40" s="102">
        <v>7</v>
      </c>
      <c r="L40" s="44" t="s">
        <v>179</v>
      </c>
      <c r="M40" s="42">
        <v>3</v>
      </c>
      <c r="N40" s="44" t="s">
        <v>143</v>
      </c>
    </row>
    <row r="41" spans="2:14" ht="35.1" customHeight="1" x14ac:dyDescent="0.25">
      <c r="B41" s="13">
        <v>35</v>
      </c>
      <c r="C41" s="97" t="s">
        <v>55</v>
      </c>
      <c r="D41" s="135" t="s">
        <v>91</v>
      </c>
      <c r="E41" s="135"/>
      <c r="F41" s="135"/>
      <c r="G41" s="135"/>
      <c r="H41" s="97" t="s">
        <v>163</v>
      </c>
      <c r="I41" s="97" t="s">
        <v>80</v>
      </c>
      <c r="J41" s="97">
        <v>1000</v>
      </c>
      <c r="K41" s="42">
        <v>5</v>
      </c>
      <c r="L41" s="97" t="s">
        <v>149</v>
      </c>
      <c r="M41" s="42">
        <v>2</v>
      </c>
      <c r="N41" s="44" t="s">
        <v>145</v>
      </c>
    </row>
    <row r="42" spans="2:14" ht="35.1" customHeight="1" x14ac:dyDescent="0.25">
      <c r="B42" s="13">
        <v>36</v>
      </c>
      <c r="C42" s="97" t="s">
        <v>56</v>
      </c>
      <c r="D42" s="135" t="s">
        <v>91</v>
      </c>
      <c r="E42" s="135"/>
      <c r="F42" s="135"/>
      <c r="G42" s="135"/>
      <c r="H42" s="97" t="s">
        <v>163</v>
      </c>
      <c r="I42" s="41" t="s">
        <v>173</v>
      </c>
      <c r="J42" s="97">
        <v>1000</v>
      </c>
      <c r="K42" s="42">
        <v>2</v>
      </c>
      <c r="L42" s="97" t="s">
        <v>145</v>
      </c>
      <c r="M42" s="42">
        <v>5</v>
      </c>
      <c r="N42" s="44" t="s">
        <v>149</v>
      </c>
    </row>
    <row r="43" spans="2:14" ht="35.1" customHeight="1" x14ac:dyDescent="0.25">
      <c r="B43" s="13">
        <v>37</v>
      </c>
      <c r="C43" s="97" t="s">
        <v>57</v>
      </c>
      <c r="D43" s="135" t="s">
        <v>91</v>
      </c>
      <c r="E43" s="135"/>
      <c r="F43" s="135"/>
      <c r="G43" s="135"/>
      <c r="H43" s="97" t="s">
        <v>163</v>
      </c>
      <c r="I43" s="97" t="s">
        <v>82</v>
      </c>
      <c r="J43" s="97">
        <v>1270</v>
      </c>
      <c r="K43" s="42">
        <v>3</v>
      </c>
      <c r="L43" s="97" t="s">
        <v>143</v>
      </c>
      <c r="M43" s="42">
        <v>2</v>
      </c>
      <c r="N43" s="44" t="s">
        <v>145</v>
      </c>
    </row>
    <row r="44" spans="2:14" ht="35.1" customHeight="1" x14ac:dyDescent="0.25">
      <c r="B44" s="13">
        <v>38</v>
      </c>
      <c r="C44" s="97" t="s">
        <v>58</v>
      </c>
      <c r="D44" s="135" t="s">
        <v>91</v>
      </c>
      <c r="E44" s="135"/>
      <c r="F44" s="135"/>
      <c r="G44" s="135"/>
      <c r="H44" s="97" t="s">
        <v>163</v>
      </c>
      <c r="I44" s="97" t="s">
        <v>90</v>
      </c>
      <c r="J44" s="97">
        <v>1270</v>
      </c>
      <c r="K44" s="42">
        <v>2</v>
      </c>
      <c r="L44" s="97" t="s">
        <v>145</v>
      </c>
      <c r="M44" s="42">
        <v>3</v>
      </c>
      <c r="N44" s="44" t="s">
        <v>143</v>
      </c>
    </row>
    <row r="45" spans="2:14" ht="35.1" customHeight="1" x14ac:dyDescent="0.25">
      <c r="B45" s="13">
        <v>39</v>
      </c>
      <c r="C45" s="97" t="s">
        <v>70</v>
      </c>
      <c r="D45" s="135" t="s">
        <v>91</v>
      </c>
      <c r="E45" s="135"/>
      <c r="F45" s="135"/>
      <c r="G45" s="135"/>
      <c r="H45" s="97" t="s">
        <v>163</v>
      </c>
      <c r="I45" s="97" t="s">
        <v>81</v>
      </c>
      <c r="J45" s="97">
        <v>1400</v>
      </c>
      <c r="K45" s="42">
        <v>3</v>
      </c>
      <c r="L45" s="97" t="s">
        <v>143</v>
      </c>
      <c r="M45" s="42">
        <v>2</v>
      </c>
      <c r="N45" s="44" t="s">
        <v>145</v>
      </c>
    </row>
    <row r="46" spans="2:14" ht="35.1" customHeight="1" x14ac:dyDescent="0.25">
      <c r="B46" s="13">
        <v>40</v>
      </c>
      <c r="C46" s="97" t="s">
        <v>59</v>
      </c>
      <c r="D46" s="135" t="s">
        <v>91</v>
      </c>
      <c r="E46" s="135"/>
      <c r="F46" s="135"/>
      <c r="G46" s="135"/>
      <c r="H46" s="97" t="s">
        <v>163</v>
      </c>
      <c r="I46" s="97" t="s">
        <v>92</v>
      </c>
      <c r="J46" s="97">
        <v>820</v>
      </c>
      <c r="K46" s="42">
        <v>5</v>
      </c>
      <c r="L46" s="97" t="s">
        <v>151</v>
      </c>
      <c r="M46" s="42">
        <v>2</v>
      </c>
      <c r="N46" s="44" t="s">
        <v>145</v>
      </c>
    </row>
    <row r="47" spans="2:14" ht="35.1" customHeight="1" x14ac:dyDescent="0.25">
      <c r="B47" s="13">
        <v>41</v>
      </c>
      <c r="C47" s="97" t="s">
        <v>60</v>
      </c>
      <c r="D47" s="135" t="s">
        <v>91</v>
      </c>
      <c r="E47" s="135"/>
      <c r="F47" s="135"/>
      <c r="G47" s="135"/>
      <c r="H47" s="97" t="s">
        <v>163</v>
      </c>
      <c r="I47" s="97" t="s">
        <v>93</v>
      </c>
      <c r="J47" s="97">
        <v>820</v>
      </c>
      <c r="K47" s="42">
        <v>2</v>
      </c>
      <c r="L47" s="97" t="s">
        <v>145</v>
      </c>
      <c r="M47" s="42">
        <v>5</v>
      </c>
      <c r="N47" s="44" t="s">
        <v>149</v>
      </c>
    </row>
    <row r="48" spans="2:14" ht="35.1" customHeight="1" x14ac:dyDescent="0.25">
      <c r="B48" s="13">
        <v>42</v>
      </c>
      <c r="C48" s="97" t="s">
        <v>61</v>
      </c>
      <c r="D48" s="135" t="s">
        <v>91</v>
      </c>
      <c r="E48" s="135"/>
      <c r="F48" s="135"/>
      <c r="G48" s="135"/>
      <c r="H48" s="97" t="s">
        <v>163</v>
      </c>
      <c r="I48" s="97" t="s">
        <v>90</v>
      </c>
      <c r="J48" s="97">
        <f>1675-20</f>
        <v>1655</v>
      </c>
      <c r="K48" s="42">
        <v>3.5</v>
      </c>
      <c r="L48" s="97" t="s">
        <v>152</v>
      </c>
      <c r="M48" s="42">
        <v>2</v>
      </c>
      <c r="N48" s="44" t="s">
        <v>153</v>
      </c>
    </row>
    <row r="49" spans="2:15" ht="35.1" customHeight="1" x14ac:dyDescent="0.25">
      <c r="B49" s="13">
        <v>43</v>
      </c>
      <c r="C49" s="97" t="s">
        <v>62</v>
      </c>
      <c r="D49" s="135" t="s">
        <v>91</v>
      </c>
      <c r="E49" s="135"/>
      <c r="F49" s="135"/>
      <c r="G49" s="135"/>
      <c r="H49" s="97" t="s">
        <v>163</v>
      </c>
      <c r="I49" s="97" t="s">
        <v>94</v>
      </c>
      <c r="J49" s="97">
        <f>1675-20</f>
        <v>1655</v>
      </c>
      <c r="K49" s="42">
        <v>2</v>
      </c>
      <c r="L49" s="97" t="s">
        <v>153</v>
      </c>
      <c r="M49" s="42">
        <v>3.5</v>
      </c>
      <c r="N49" s="44" t="s">
        <v>152</v>
      </c>
    </row>
    <row r="50" spans="2:15" ht="35.1" customHeight="1" x14ac:dyDescent="0.25">
      <c r="B50" s="13">
        <v>44</v>
      </c>
      <c r="C50" s="97" t="s">
        <v>63</v>
      </c>
      <c r="D50" s="135" t="s">
        <v>91</v>
      </c>
      <c r="E50" s="135"/>
      <c r="F50" s="135"/>
      <c r="G50" s="135"/>
      <c r="H50" s="97" t="s">
        <v>163</v>
      </c>
      <c r="I50" s="97" t="s">
        <v>95</v>
      </c>
      <c r="J50" s="97">
        <f>1675-20</f>
        <v>1655</v>
      </c>
      <c r="K50" s="42">
        <v>2</v>
      </c>
      <c r="L50" s="97" t="s">
        <v>153</v>
      </c>
      <c r="M50" s="42">
        <v>3.5</v>
      </c>
      <c r="N50" s="44" t="s">
        <v>152</v>
      </c>
    </row>
    <row r="51" spans="2:15" ht="35.1" customHeight="1" x14ac:dyDescent="0.25">
      <c r="B51" s="13">
        <v>45</v>
      </c>
      <c r="C51" s="97" t="s">
        <v>64</v>
      </c>
      <c r="D51" s="135" t="s">
        <v>91</v>
      </c>
      <c r="E51" s="135"/>
      <c r="F51" s="135"/>
      <c r="G51" s="135"/>
      <c r="H51" s="97" t="s">
        <v>163</v>
      </c>
      <c r="I51" s="97" t="s">
        <v>83</v>
      </c>
      <c r="J51" s="97">
        <f>1675-20</f>
        <v>1655</v>
      </c>
      <c r="K51" s="42">
        <v>3.5</v>
      </c>
      <c r="L51" s="97" t="s">
        <v>152</v>
      </c>
      <c r="M51" s="42">
        <v>2</v>
      </c>
      <c r="N51" s="44" t="s">
        <v>153</v>
      </c>
    </row>
    <row r="52" spans="2:15" ht="35.1" customHeight="1" x14ac:dyDescent="0.25">
      <c r="B52" s="13">
        <v>46</v>
      </c>
      <c r="C52" s="97" t="s">
        <v>65</v>
      </c>
      <c r="D52" s="135" t="s">
        <v>91</v>
      </c>
      <c r="E52" s="135"/>
      <c r="F52" s="135"/>
      <c r="G52" s="135"/>
      <c r="H52" s="97" t="s">
        <v>163</v>
      </c>
      <c r="I52" s="97" t="s">
        <v>96</v>
      </c>
      <c r="J52" s="97">
        <f>385-15</f>
        <v>370</v>
      </c>
      <c r="K52" s="102">
        <v>7</v>
      </c>
      <c r="L52" s="41" t="s">
        <v>191</v>
      </c>
      <c r="M52" s="42">
        <v>3</v>
      </c>
      <c r="N52" s="44" t="s">
        <v>154</v>
      </c>
    </row>
    <row r="53" spans="2:15" ht="35.1" customHeight="1" x14ac:dyDescent="0.25">
      <c r="B53" s="13">
        <v>47</v>
      </c>
      <c r="C53" s="97" t="s">
        <v>97</v>
      </c>
      <c r="D53" s="135" t="s">
        <v>91</v>
      </c>
      <c r="E53" s="135"/>
      <c r="F53" s="135"/>
      <c r="G53" s="135"/>
      <c r="H53" s="97" t="s">
        <v>163</v>
      </c>
      <c r="I53" s="97" t="s">
        <v>78</v>
      </c>
      <c r="J53" s="97">
        <f>920-10</f>
        <v>910</v>
      </c>
      <c r="K53" s="42">
        <v>3</v>
      </c>
      <c r="L53" s="97" t="s">
        <v>154</v>
      </c>
      <c r="M53" s="42">
        <v>2</v>
      </c>
      <c r="N53" s="43" t="s">
        <v>145</v>
      </c>
    </row>
    <row r="54" spans="2:15" ht="35.1" customHeight="1" x14ac:dyDescent="0.25">
      <c r="B54" s="13">
        <v>48</v>
      </c>
      <c r="C54" s="97" t="s">
        <v>98</v>
      </c>
      <c r="D54" s="135" t="s">
        <v>71</v>
      </c>
      <c r="E54" s="135"/>
      <c r="F54" s="135"/>
      <c r="G54" s="135"/>
      <c r="H54" s="97" t="s">
        <v>162</v>
      </c>
      <c r="I54" s="97" t="s">
        <v>19</v>
      </c>
      <c r="J54" s="97">
        <v>280</v>
      </c>
      <c r="K54" s="42">
        <v>3.5</v>
      </c>
      <c r="L54" s="97" t="s">
        <v>146</v>
      </c>
      <c r="M54" s="70">
        <v>7</v>
      </c>
      <c r="N54" s="44" t="s">
        <v>180</v>
      </c>
    </row>
    <row r="55" spans="2:15" ht="35.1" customHeight="1" x14ac:dyDescent="0.25">
      <c r="B55" s="13">
        <v>49</v>
      </c>
      <c r="C55" s="97" t="s">
        <v>66</v>
      </c>
      <c r="D55" s="135" t="s">
        <v>91</v>
      </c>
      <c r="E55" s="135"/>
      <c r="F55" s="135"/>
      <c r="G55" s="135"/>
      <c r="H55" s="97" t="s">
        <v>163</v>
      </c>
      <c r="I55" s="97" t="s">
        <v>19</v>
      </c>
      <c r="J55" s="97">
        <v>820</v>
      </c>
      <c r="K55" s="102">
        <v>7</v>
      </c>
      <c r="L55" s="44" t="s">
        <v>177</v>
      </c>
      <c r="M55" s="42">
        <v>3</v>
      </c>
      <c r="N55" s="43" t="s">
        <v>143</v>
      </c>
    </row>
    <row r="56" spans="2:15" ht="35.1" customHeight="1" x14ac:dyDescent="0.25">
      <c r="B56" s="13">
        <v>50</v>
      </c>
      <c r="C56" s="97" t="s">
        <v>67</v>
      </c>
      <c r="D56" s="135" t="s">
        <v>91</v>
      </c>
      <c r="E56" s="135"/>
      <c r="F56" s="135"/>
      <c r="G56" s="135"/>
      <c r="H56" s="97" t="s">
        <v>163</v>
      </c>
      <c r="I56" s="97" t="s">
        <v>78</v>
      </c>
      <c r="J56" s="97">
        <v>205</v>
      </c>
      <c r="K56" s="102">
        <v>7</v>
      </c>
      <c r="L56" s="44" t="s">
        <v>178</v>
      </c>
      <c r="M56" s="42">
        <v>3</v>
      </c>
      <c r="N56" s="43" t="s">
        <v>143</v>
      </c>
    </row>
    <row r="57" spans="2:15" ht="35.1" customHeight="1" x14ac:dyDescent="0.25">
      <c r="B57" s="13">
        <v>51</v>
      </c>
      <c r="C57" s="97" t="s">
        <v>68</v>
      </c>
      <c r="D57" s="135" t="s">
        <v>91</v>
      </c>
      <c r="E57" s="135"/>
      <c r="F57" s="135"/>
      <c r="G57" s="135"/>
      <c r="H57" s="97" t="s">
        <v>163</v>
      </c>
      <c r="I57" s="97" t="s">
        <v>82</v>
      </c>
      <c r="J57" s="97">
        <v>260</v>
      </c>
      <c r="K57" s="42">
        <v>3</v>
      </c>
      <c r="L57" s="97" t="s">
        <v>143</v>
      </c>
      <c r="M57" s="42">
        <v>7</v>
      </c>
      <c r="N57" s="44" t="s">
        <v>179</v>
      </c>
    </row>
    <row r="58" spans="2:15" ht="35.1" customHeight="1" x14ac:dyDescent="0.25">
      <c r="B58" s="13">
        <v>52</v>
      </c>
      <c r="C58" s="97" t="s">
        <v>69</v>
      </c>
      <c r="D58" s="135" t="s">
        <v>91</v>
      </c>
      <c r="E58" s="135"/>
      <c r="F58" s="135"/>
      <c r="G58" s="135"/>
      <c r="H58" s="97" t="s">
        <v>163</v>
      </c>
      <c r="I58" s="97" t="s">
        <v>82</v>
      </c>
      <c r="J58" s="97">
        <v>1380</v>
      </c>
      <c r="K58" s="42">
        <v>3</v>
      </c>
      <c r="L58" s="97" t="s">
        <v>155</v>
      </c>
      <c r="M58" s="42">
        <v>7</v>
      </c>
      <c r="N58" s="23" t="s">
        <v>176</v>
      </c>
    </row>
    <row r="59" spans="2:15" ht="35.1" customHeight="1" x14ac:dyDescent="0.25">
      <c r="B59" s="13">
        <v>53</v>
      </c>
      <c r="C59" s="97" t="s">
        <v>99</v>
      </c>
      <c r="D59" s="135" t="s">
        <v>91</v>
      </c>
      <c r="E59" s="135"/>
      <c r="F59" s="135"/>
      <c r="G59" s="135"/>
      <c r="H59" s="97" t="s">
        <v>163</v>
      </c>
      <c r="I59" s="97" t="s">
        <v>79</v>
      </c>
      <c r="J59" s="97">
        <v>1375</v>
      </c>
      <c r="K59" s="42">
        <v>3</v>
      </c>
      <c r="L59" s="97" t="s">
        <v>155</v>
      </c>
      <c r="M59" s="42">
        <v>7</v>
      </c>
      <c r="N59" s="44" t="s">
        <v>182</v>
      </c>
      <c r="O59" s="4"/>
    </row>
    <row r="60" spans="2:15" ht="35.1" customHeight="1" x14ac:dyDescent="0.25">
      <c r="B60" s="13">
        <v>54</v>
      </c>
      <c r="C60" s="97" t="s">
        <v>20</v>
      </c>
      <c r="D60" s="135" t="s">
        <v>71</v>
      </c>
      <c r="E60" s="135"/>
      <c r="F60" s="135"/>
      <c r="G60" s="135"/>
      <c r="H60" s="97" t="s">
        <v>162</v>
      </c>
      <c r="I60" s="97" t="s">
        <v>84</v>
      </c>
      <c r="J60" s="106">
        <f>420+10</f>
        <v>430</v>
      </c>
      <c r="K60" s="70">
        <v>4.8</v>
      </c>
      <c r="L60" s="97" t="s">
        <v>147</v>
      </c>
      <c r="M60" s="101">
        <v>11</v>
      </c>
      <c r="N60" s="44" t="s">
        <v>172</v>
      </c>
    </row>
    <row r="61" spans="2:15" ht="35.1" customHeight="1" x14ac:dyDescent="0.25">
      <c r="B61" s="13">
        <v>55</v>
      </c>
      <c r="C61" s="97" t="s">
        <v>100</v>
      </c>
      <c r="D61" s="135" t="s">
        <v>91</v>
      </c>
      <c r="E61" s="135"/>
      <c r="F61" s="135"/>
      <c r="G61" s="135"/>
      <c r="H61" s="97" t="s">
        <v>163</v>
      </c>
      <c r="I61" s="97" t="s">
        <v>96</v>
      </c>
      <c r="J61" s="97">
        <f>1675-20</f>
        <v>1655</v>
      </c>
      <c r="K61" s="42">
        <v>3.5</v>
      </c>
      <c r="L61" s="97" t="s">
        <v>152</v>
      </c>
      <c r="M61" s="42">
        <v>2</v>
      </c>
      <c r="N61" s="44" t="s">
        <v>153</v>
      </c>
    </row>
    <row r="62" spans="2:15" ht="35.1" customHeight="1" x14ac:dyDescent="0.25">
      <c r="B62" s="13">
        <v>56</v>
      </c>
      <c r="C62" s="97" t="s">
        <v>101</v>
      </c>
      <c r="D62" s="135" t="s">
        <v>76</v>
      </c>
      <c r="E62" s="135"/>
      <c r="F62" s="135"/>
      <c r="G62" s="135"/>
      <c r="H62" s="97" t="s">
        <v>159</v>
      </c>
      <c r="I62" s="97" t="s">
        <v>19</v>
      </c>
      <c r="J62" s="97">
        <v>1940</v>
      </c>
      <c r="K62" s="42">
        <v>3.5</v>
      </c>
      <c r="L62" s="97" t="s">
        <v>156</v>
      </c>
      <c r="M62" s="42">
        <v>7</v>
      </c>
      <c r="N62" s="44" t="s">
        <v>183</v>
      </c>
    </row>
    <row r="63" spans="2:15" ht="35.1" customHeight="1" x14ac:dyDescent="0.25">
      <c r="B63" s="13">
        <v>57</v>
      </c>
      <c r="C63" s="97" t="s">
        <v>102</v>
      </c>
      <c r="D63" s="135" t="s">
        <v>76</v>
      </c>
      <c r="E63" s="135"/>
      <c r="F63" s="135"/>
      <c r="G63" s="135"/>
      <c r="H63" s="97" t="s">
        <v>159</v>
      </c>
      <c r="I63" s="97" t="s">
        <v>19</v>
      </c>
      <c r="J63" s="97">
        <f>2465-15</f>
        <v>2450</v>
      </c>
      <c r="K63" s="42">
        <v>3</v>
      </c>
      <c r="L63" s="97">
        <v>39000040</v>
      </c>
      <c r="M63" s="42">
        <v>7</v>
      </c>
      <c r="N63" s="44" t="s">
        <v>183</v>
      </c>
    </row>
    <row r="64" spans="2:15" ht="35.1" customHeight="1" x14ac:dyDescent="0.25">
      <c r="B64" s="13">
        <v>58</v>
      </c>
      <c r="C64" s="97" t="s">
        <v>103</v>
      </c>
      <c r="D64" s="135" t="s">
        <v>76</v>
      </c>
      <c r="E64" s="135"/>
      <c r="F64" s="135"/>
      <c r="G64" s="135"/>
      <c r="H64" s="97" t="s">
        <v>159</v>
      </c>
      <c r="I64" s="97" t="s">
        <v>88</v>
      </c>
      <c r="J64" s="97">
        <v>1945</v>
      </c>
      <c r="K64" s="42">
        <v>3.5</v>
      </c>
      <c r="L64" s="97" t="s">
        <v>156</v>
      </c>
      <c r="M64" s="42">
        <v>7</v>
      </c>
      <c r="N64" s="44" t="s">
        <v>184</v>
      </c>
    </row>
    <row r="65" spans="2:14" ht="35.1" customHeight="1" x14ac:dyDescent="0.25">
      <c r="B65" s="13">
        <v>59</v>
      </c>
      <c r="C65" s="97" t="s">
        <v>104</v>
      </c>
      <c r="D65" s="135" t="s">
        <v>76</v>
      </c>
      <c r="E65" s="135"/>
      <c r="F65" s="135"/>
      <c r="G65" s="135"/>
      <c r="H65" s="97" t="s">
        <v>159</v>
      </c>
      <c r="I65" s="97" t="s">
        <v>88</v>
      </c>
      <c r="J65" s="97">
        <f>2480-30</f>
        <v>2450</v>
      </c>
      <c r="K65" s="102">
        <v>7</v>
      </c>
      <c r="L65" s="44" t="s">
        <v>184</v>
      </c>
      <c r="M65" s="42">
        <v>3</v>
      </c>
      <c r="N65" s="44">
        <v>39000040</v>
      </c>
    </row>
    <row r="66" spans="2:14" ht="35.1" customHeight="1" x14ac:dyDescent="0.25">
      <c r="B66" s="13">
        <v>60</v>
      </c>
      <c r="C66" s="97" t="s">
        <v>105</v>
      </c>
      <c r="D66" s="135" t="s">
        <v>91</v>
      </c>
      <c r="E66" s="135"/>
      <c r="F66" s="135"/>
      <c r="G66" s="135"/>
      <c r="H66" s="97" t="s">
        <v>163</v>
      </c>
      <c r="I66" s="97" t="s">
        <v>19</v>
      </c>
      <c r="J66" s="97">
        <f>1675-20</f>
        <v>1655</v>
      </c>
      <c r="K66" s="42">
        <v>3.5</v>
      </c>
      <c r="L66" s="97" t="s">
        <v>152</v>
      </c>
      <c r="M66" s="42">
        <v>2</v>
      </c>
      <c r="N66" s="44" t="s">
        <v>153</v>
      </c>
    </row>
    <row r="67" spans="2:14" ht="35.1" customHeight="1" x14ac:dyDescent="0.25">
      <c r="B67" s="13">
        <v>61</v>
      </c>
      <c r="C67" s="96" t="s">
        <v>106</v>
      </c>
      <c r="D67" s="141" t="s">
        <v>91</v>
      </c>
      <c r="E67" s="141"/>
      <c r="F67" s="141"/>
      <c r="G67" s="141"/>
      <c r="H67" s="96" t="s">
        <v>163</v>
      </c>
      <c r="I67" s="96" t="s">
        <v>96</v>
      </c>
      <c r="J67" s="97">
        <v>1825</v>
      </c>
      <c r="K67" s="42">
        <v>2</v>
      </c>
      <c r="L67" s="97" t="s">
        <v>145</v>
      </c>
      <c r="M67" s="42">
        <v>7</v>
      </c>
      <c r="N67" s="44" t="s">
        <v>201</v>
      </c>
    </row>
    <row r="68" spans="2:14" ht="35.1" customHeight="1" x14ac:dyDescent="0.25">
      <c r="B68" s="13">
        <v>62</v>
      </c>
      <c r="C68" s="96" t="s">
        <v>107</v>
      </c>
      <c r="D68" s="141" t="s">
        <v>91</v>
      </c>
      <c r="E68" s="141"/>
      <c r="F68" s="141"/>
      <c r="G68" s="141"/>
      <c r="H68" s="96" t="s">
        <v>163</v>
      </c>
      <c r="I68" s="96" t="s">
        <v>88</v>
      </c>
      <c r="J68" s="97">
        <v>1345</v>
      </c>
      <c r="K68" s="42">
        <v>3</v>
      </c>
      <c r="L68" s="97" t="s">
        <v>143</v>
      </c>
      <c r="M68" s="42">
        <v>3</v>
      </c>
      <c r="N68" s="43" t="s">
        <v>143</v>
      </c>
    </row>
    <row r="69" spans="2:14" ht="35.1" customHeight="1" x14ac:dyDescent="0.25">
      <c r="B69" s="13">
        <v>63</v>
      </c>
      <c r="C69" s="96" t="s">
        <v>108</v>
      </c>
      <c r="D69" s="135" t="s">
        <v>91</v>
      </c>
      <c r="E69" s="135"/>
      <c r="F69" s="135"/>
      <c r="G69" s="135"/>
      <c r="H69" s="96" t="s">
        <v>163</v>
      </c>
      <c r="I69" s="96" t="s">
        <v>96</v>
      </c>
      <c r="J69" s="97">
        <f>3010-25</f>
        <v>2985</v>
      </c>
      <c r="K69" s="42">
        <v>3</v>
      </c>
      <c r="L69" s="97" t="s">
        <v>143</v>
      </c>
      <c r="M69" s="42">
        <v>3</v>
      </c>
      <c r="N69" s="43" t="s">
        <v>154</v>
      </c>
    </row>
    <row r="70" spans="2:14" ht="35.1" customHeight="1" x14ac:dyDescent="0.25">
      <c r="B70" s="13">
        <v>64</v>
      </c>
      <c r="C70" s="96" t="s">
        <v>109</v>
      </c>
      <c r="D70" s="135" t="s">
        <v>91</v>
      </c>
      <c r="E70" s="135"/>
      <c r="F70" s="135"/>
      <c r="G70" s="135"/>
      <c r="H70" s="96" t="s">
        <v>163</v>
      </c>
      <c r="I70" s="96" t="s">
        <v>81</v>
      </c>
      <c r="J70" s="97">
        <f>1865-25</f>
        <v>1840</v>
      </c>
      <c r="K70" s="42">
        <v>3</v>
      </c>
      <c r="L70" s="97" t="s">
        <v>154</v>
      </c>
      <c r="M70" s="42">
        <v>2</v>
      </c>
      <c r="N70" s="43" t="s">
        <v>145</v>
      </c>
    </row>
    <row r="71" spans="2:14" ht="35.1" customHeight="1" x14ac:dyDescent="0.25">
      <c r="B71" s="13">
        <v>65</v>
      </c>
      <c r="C71" s="96" t="s">
        <v>110</v>
      </c>
      <c r="D71" s="135" t="s">
        <v>91</v>
      </c>
      <c r="E71" s="135"/>
      <c r="F71" s="135"/>
      <c r="G71" s="135"/>
      <c r="H71" s="97" t="s">
        <v>208</v>
      </c>
      <c r="I71" s="97" t="s">
        <v>192</v>
      </c>
      <c r="J71" s="45">
        <v>2550</v>
      </c>
      <c r="K71" s="42">
        <v>3.8</v>
      </c>
      <c r="L71" s="97" t="s">
        <v>209</v>
      </c>
      <c r="M71" s="42">
        <v>2</v>
      </c>
      <c r="N71" s="44" t="s">
        <v>145</v>
      </c>
    </row>
    <row r="72" spans="2:14" ht="35.1" customHeight="1" x14ac:dyDescent="0.25">
      <c r="B72" s="13">
        <v>66</v>
      </c>
      <c r="C72" s="96" t="s">
        <v>111</v>
      </c>
      <c r="D72" s="135" t="s">
        <v>91</v>
      </c>
      <c r="E72" s="135"/>
      <c r="F72" s="135"/>
      <c r="G72" s="135"/>
      <c r="H72" s="97" t="s">
        <v>163</v>
      </c>
      <c r="I72" s="96" t="s">
        <v>113</v>
      </c>
      <c r="J72" s="97">
        <v>455</v>
      </c>
      <c r="K72" s="42">
        <v>3</v>
      </c>
      <c r="L72" s="97" t="s">
        <v>143</v>
      </c>
      <c r="M72" s="42">
        <v>7</v>
      </c>
      <c r="N72" s="44" t="s">
        <v>202</v>
      </c>
    </row>
    <row r="73" spans="2:14" ht="35.1" customHeight="1" x14ac:dyDescent="0.25">
      <c r="B73" s="13">
        <v>67</v>
      </c>
      <c r="C73" s="96" t="s">
        <v>112</v>
      </c>
      <c r="D73" s="135" t="s">
        <v>91</v>
      </c>
      <c r="E73" s="135"/>
      <c r="F73" s="135"/>
      <c r="G73" s="135"/>
      <c r="H73" s="97" t="s">
        <v>208</v>
      </c>
      <c r="I73" s="96" t="s">
        <v>96</v>
      </c>
      <c r="J73" s="45">
        <v>3890</v>
      </c>
      <c r="K73" s="102">
        <v>7</v>
      </c>
      <c r="L73" s="44" t="s">
        <v>201</v>
      </c>
      <c r="M73" s="42">
        <v>3.8</v>
      </c>
      <c r="N73" s="44" t="s">
        <v>209</v>
      </c>
    </row>
    <row r="74" spans="2:14" ht="35.1" customHeight="1" x14ac:dyDescent="0.25">
      <c r="B74" s="13">
        <v>68</v>
      </c>
      <c r="C74" s="96" t="s">
        <v>114</v>
      </c>
      <c r="D74" s="135" t="s">
        <v>91</v>
      </c>
      <c r="E74" s="135"/>
      <c r="F74" s="135"/>
      <c r="G74" s="135"/>
      <c r="H74" s="96" t="s">
        <v>163</v>
      </c>
      <c r="I74" s="96" t="s">
        <v>115</v>
      </c>
      <c r="J74" s="97">
        <v>770</v>
      </c>
      <c r="K74" s="42">
        <v>3</v>
      </c>
      <c r="L74" s="97" t="s">
        <v>143</v>
      </c>
      <c r="M74" s="42">
        <v>2</v>
      </c>
      <c r="N74" s="44" t="s">
        <v>145</v>
      </c>
    </row>
    <row r="75" spans="2:14" ht="35.1" customHeight="1" x14ac:dyDescent="0.25">
      <c r="B75" s="13">
        <v>69</v>
      </c>
      <c r="C75" s="96" t="s">
        <v>116</v>
      </c>
      <c r="D75" s="141" t="s">
        <v>91</v>
      </c>
      <c r="E75" s="141"/>
      <c r="F75" s="141"/>
      <c r="G75" s="141"/>
      <c r="H75" s="96" t="s">
        <v>163</v>
      </c>
      <c r="I75" s="96" t="s">
        <v>85</v>
      </c>
      <c r="J75" s="97">
        <v>770</v>
      </c>
      <c r="K75" s="42">
        <v>2</v>
      </c>
      <c r="L75" s="97" t="s">
        <v>145</v>
      </c>
      <c r="M75" s="42">
        <v>3</v>
      </c>
      <c r="N75" s="44" t="s">
        <v>143</v>
      </c>
    </row>
    <row r="76" spans="2:14" ht="35.1" customHeight="1" x14ac:dyDescent="0.25">
      <c r="B76" s="13">
        <v>70</v>
      </c>
      <c r="C76" s="96" t="s">
        <v>117</v>
      </c>
      <c r="D76" s="141" t="s">
        <v>91</v>
      </c>
      <c r="E76" s="141"/>
      <c r="F76" s="141"/>
      <c r="G76" s="141"/>
      <c r="H76" s="96" t="s">
        <v>163</v>
      </c>
      <c r="I76" s="96" t="s">
        <v>122</v>
      </c>
      <c r="J76" s="105">
        <v>1535</v>
      </c>
      <c r="K76" s="42">
        <v>3</v>
      </c>
      <c r="L76" s="97" t="s">
        <v>143</v>
      </c>
      <c r="M76" s="42">
        <v>2</v>
      </c>
      <c r="N76" s="44" t="s">
        <v>145</v>
      </c>
    </row>
    <row r="77" spans="2:14" ht="35.1" customHeight="1" x14ac:dyDescent="0.25">
      <c r="B77" s="13">
        <v>71</v>
      </c>
      <c r="C77" s="96" t="s">
        <v>118</v>
      </c>
      <c r="D77" s="141" t="s">
        <v>91</v>
      </c>
      <c r="E77" s="141"/>
      <c r="F77" s="141"/>
      <c r="G77" s="141"/>
      <c r="H77" s="96" t="s">
        <v>163</v>
      </c>
      <c r="I77" s="96" t="s">
        <v>75</v>
      </c>
      <c r="J77" s="105">
        <v>1535</v>
      </c>
      <c r="K77" s="42">
        <v>2</v>
      </c>
      <c r="L77" s="97" t="s">
        <v>145</v>
      </c>
      <c r="M77" s="42">
        <v>3</v>
      </c>
      <c r="N77" s="44" t="s">
        <v>143</v>
      </c>
    </row>
    <row r="78" spans="2:14" ht="35.1" customHeight="1" x14ac:dyDescent="0.25">
      <c r="B78" s="13">
        <v>72</v>
      </c>
      <c r="C78" s="96" t="s">
        <v>119</v>
      </c>
      <c r="D78" s="141" t="s">
        <v>91</v>
      </c>
      <c r="E78" s="141"/>
      <c r="F78" s="141"/>
      <c r="G78" s="141"/>
      <c r="H78" s="96" t="s">
        <v>163</v>
      </c>
      <c r="I78" s="96" t="s">
        <v>88</v>
      </c>
      <c r="J78" s="105">
        <f>1835-20</f>
        <v>1815</v>
      </c>
      <c r="K78" s="42">
        <v>3</v>
      </c>
      <c r="L78" s="97" t="s">
        <v>143</v>
      </c>
      <c r="M78" s="42">
        <v>2</v>
      </c>
      <c r="N78" s="44" t="s">
        <v>145</v>
      </c>
    </row>
    <row r="79" spans="2:14" ht="35.1" customHeight="1" x14ac:dyDescent="0.25">
      <c r="B79" s="13">
        <v>73</v>
      </c>
      <c r="C79" s="96" t="s">
        <v>120</v>
      </c>
      <c r="D79" s="141" t="s">
        <v>91</v>
      </c>
      <c r="E79" s="141"/>
      <c r="F79" s="141"/>
      <c r="G79" s="141"/>
      <c r="H79" s="96" t="s">
        <v>163</v>
      </c>
      <c r="I79" s="96" t="s">
        <v>96</v>
      </c>
      <c r="J79" s="105">
        <f>1835-20</f>
        <v>1815</v>
      </c>
      <c r="K79" s="42">
        <v>2</v>
      </c>
      <c r="L79" s="97" t="s">
        <v>145</v>
      </c>
      <c r="M79" s="42">
        <v>3</v>
      </c>
      <c r="N79" s="44" t="s">
        <v>143</v>
      </c>
    </row>
    <row r="80" spans="2:14" ht="35.1" customHeight="1" x14ac:dyDescent="0.25">
      <c r="B80" s="13">
        <v>74</v>
      </c>
      <c r="C80" s="96" t="s">
        <v>121</v>
      </c>
      <c r="D80" s="141" t="s">
        <v>91</v>
      </c>
      <c r="E80" s="141"/>
      <c r="F80" s="141"/>
      <c r="G80" s="141"/>
      <c r="H80" s="96" t="s">
        <v>163</v>
      </c>
      <c r="I80" s="96" t="s">
        <v>78</v>
      </c>
      <c r="J80" s="105">
        <v>1175</v>
      </c>
      <c r="K80" s="42">
        <v>2</v>
      </c>
      <c r="L80" s="41" t="s">
        <v>145</v>
      </c>
      <c r="M80" s="42">
        <v>3</v>
      </c>
      <c r="N80" s="44" t="s">
        <v>143</v>
      </c>
    </row>
    <row r="81" spans="1:15" ht="35.1" customHeight="1" x14ac:dyDescent="0.25">
      <c r="B81" s="13">
        <v>75</v>
      </c>
      <c r="C81" s="96" t="s">
        <v>123</v>
      </c>
      <c r="D81" s="141" t="s">
        <v>91</v>
      </c>
      <c r="E81" s="141"/>
      <c r="F81" s="141"/>
      <c r="G81" s="141"/>
      <c r="H81" s="96" t="s">
        <v>163</v>
      </c>
      <c r="I81" s="95" t="s">
        <v>173</v>
      </c>
      <c r="J81" s="105">
        <f>125+15</f>
        <v>140</v>
      </c>
      <c r="K81" s="102">
        <v>7</v>
      </c>
      <c r="L81" s="41" t="s">
        <v>186</v>
      </c>
      <c r="M81" s="42">
        <v>3</v>
      </c>
      <c r="N81" s="44" t="s">
        <v>143</v>
      </c>
    </row>
    <row r="82" spans="1:15" ht="35.1" customHeight="1" x14ac:dyDescent="0.25">
      <c r="B82" s="13">
        <v>76</v>
      </c>
      <c r="C82" s="96" t="s">
        <v>124</v>
      </c>
      <c r="D82" s="141" t="s">
        <v>91</v>
      </c>
      <c r="E82" s="141"/>
      <c r="F82" s="141"/>
      <c r="G82" s="141"/>
      <c r="H82" s="96" t="s">
        <v>163</v>
      </c>
      <c r="I82" s="95" t="s">
        <v>173</v>
      </c>
      <c r="J82" s="105">
        <v>1030</v>
      </c>
      <c r="K82" s="42">
        <v>2</v>
      </c>
      <c r="L82" s="41" t="s">
        <v>145</v>
      </c>
      <c r="M82" s="42">
        <v>7</v>
      </c>
      <c r="N82" s="44" t="s">
        <v>185</v>
      </c>
    </row>
    <row r="83" spans="1:15" ht="35.1" customHeight="1" x14ac:dyDescent="0.25">
      <c r="B83" s="13">
        <v>77</v>
      </c>
      <c r="C83" s="96" t="s">
        <v>125</v>
      </c>
      <c r="D83" s="141" t="s">
        <v>91</v>
      </c>
      <c r="E83" s="141"/>
      <c r="F83" s="141"/>
      <c r="G83" s="141"/>
      <c r="H83" s="96" t="s">
        <v>163</v>
      </c>
      <c r="I83" s="96" t="s">
        <v>81</v>
      </c>
      <c r="J83" s="105">
        <v>1175</v>
      </c>
      <c r="K83" s="42">
        <v>2</v>
      </c>
      <c r="L83" s="41" t="s">
        <v>145</v>
      </c>
      <c r="M83" s="42">
        <v>3.5</v>
      </c>
      <c r="N83" s="44" t="s">
        <v>143</v>
      </c>
    </row>
    <row r="84" spans="1:15" ht="35.1" customHeight="1" x14ac:dyDescent="0.25">
      <c r="A84" s="54"/>
      <c r="B84" s="40">
        <v>78</v>
      </c>
      <c r="C84" s="97" t="s">
        <v>126</v>
      </c>
      <c r="D84" s="135" t="s">
        <v>91</v>
      </c>
      <c r="E84" s="135"/>
      <c r="F84" s="135"/>
      <c r="G84" s="135"/>
      <c r="H84" s="97" t="s">
        <v>163</v>
      </c>
      <c r="I84" s="97" t="s">
        <v>90</v>
      </c>
      <c r="J84" s="97">
        <f>1030-10</f>
        <v>1020</v>
      </c>
      <c r="K84" s="42">
        <v>3.5</v>
      </c>
      <c r="L84" s="41" t="s">
        <v>152</v>
      </c>
      <c r="M84" s="42">
        <v>2</v>
      </c>
      <c r="N84" s="44" t="s">
        <v>145</v>
      </c>
    </row>
    <row r="85" spans="1:15" ht="35.1" customHeight="1" x14ac:dyDescent="0.25">
      <c r="A85" s="54"/>
      <c r="B85" s="40">
        <v>79</v>
      </c>
      <c r="C85" s="97" t="s">
        <v>127</v>
      </c>
      <c r="D85" s="135" t="s">
        <v>91</v>
      </c>
      <c r="E85" s="135"/>
      <c r="F85" s="135"/>
      <c r="G85" s="135"/>
      <c r="H85" s="97" t="s">
        <v>163</v>
      </c>
      <c r="I85" s="97" t="s">
        <v>83</v>
      </c>
      <c r="J85" s="97">
        <f>1020-10</f>
        <v>1010</v>
      </c>
      <c r="K85" s="42">
        <v>3.5</v>
      </c>
      <c r="L85" s="97" t="s">
        <v>152</v>
      </c>
      <c r="M85" s="42">
        <v>2</v>
      </c>
      <c r="N85" s="44" t="s">
        <v>145</v>
      </c>
    </row>
    <row r="86" spans="1:15" ht="35.1" customHeight="1" x14ac:dyDescent="0.25">
      <c r="A86" s="54"/>
      <c r="B86" s="40">
        <v>80</v>
      </c>
      <c r="C86" s="97" t="s">
        <v>128</v>
      </c>
      <c r="D86" s="135" t="s">
        <v>91</v>
      </c>
      <c r="E86" s="135"/>
      <c r="F86" s="135"/>
      <c r="G86" s="135"/>
      <c r="H86" s="97" t="s">
        <v>163</v>
      </c>
      <c r="I86" s="97" t="s">
        <v>94</v>
      </c>
      <c r="J86" s="97">
        <f>1030-10</f>
        <v>1020</v>
      </c>
      <c r="K86" s="42">
        <v>2</v>
      </c>
      <c r="L86" s="41" t="s">
        <v>145</v>
      </c>
      <c r="M86" s="42">
        <v>3.5</v>
      </c>
      <c r="N86" s="44" t="s">
        <v>152</v>
      </c>
    </row>
    <row r="87" spans="1:15" ht="35.1" customHeight="1" x14ac:dyDescent="0.25">
      <c r="A87" s="54"/>
      <c r="B87" s="40">
        <v>81</v>
      </c>
      <c r="C87" s="97" t="s">
        <v>129</v>
      </c>
      <c r="D87" s="135" t="s">
        <v>91</v>
      </c>
      <c r="E87" s="135"/>
      <c r="F87" s="135"/>
      <c r="G87" s="135"/>
      <c r="H87" s="97" t="s">
        <v>163</v>
      </c>
      <c r="I87" s="97" t="s">
        <v>95</v>
      </c>
      <c r="J87" s="97">
        <f>1030-10</f>
        <v>1020</v>
      </c>
      <c r="K87" s="42">
        <v>3.5</v>
      </c>
      <c r="L87" s="41" t="s">
        <v>152</v>
      </c>
      <c r="M87" s="42">
        <v>2</v>
      </c>
      <c r="N87" s="44" t="s">
        <v>145</v>
      </c>
    </row>
    <row r="88" spans="1:15" ht="35.1" customHeight="1" x14ac:dyDescent="0.25">
      <c r="A88" s="54"/>
      <c r="B88" s="40">
        <v>82</v>
      </c>
      <c r="C88" s="97" t="s">
        <v>130</v>
      </c>
      <c r="D88" s="135" t="s">
        <v>91</v>
      </c>
      <c r="E88" s="135"/>
      <c r="F88" s="135"/>
      <c r="G88" s="135"/>
      <c r="H88" s="97" t="s">
        <v>163</v>
      </c>
      <c r="I88" s="97" t="s">
        <v>96</v>
      </c>
      <c r="J88" s="97">
        <v>550</v>
      </c>
      <c r="K88" s="42">
        <v>2</v>
      </c>
      <c r="L88" s="97" t="s">
        <v>145</v>
      </c>
      <c r="M88" s="42">
        <v>7</v>
      </c>
      <c r="N88" s="44" t="s">
        <v>187</v>
      </c>
    </row>
    <row r="89" spans="1:15" ht="35.1" customHeight="1" x14ac:dyDescent="0.25">
      <c r="A89" s="54"/>
      <c r="B89" s="40">
        <v>83</v>
      </c>
      <c r="C89" s="97" t="s">
        <v>21</v>
      </c>
      <c r="D89" s="135" t="s">
        <v>91</v>
      </c>
      <c r="E89" s="135"/>
      <c r="F89" s="135"/>
      <c r="G89" s="135"/>
      <c r="H89" s="97" t="s">
        <v>163</v>
      </c>
      <c r="I89" s="97" t="s">
        <v>19</v>
      </c>
      <c r="J89" s="97">
        <f>1000-10</f>
        <v>990</v>
      </c>
      <c r="K89" s="42">
        <v>3.5</v>
      </c>
      <c r="L89" s="97" t="s">
        <v>152</v>
      </c>
      <c r="M89" s="42">
        <v>2</v>
      </c>
      <c r="N89" s="44" t="s">
        <v>145</v>
      </c>
    </row>
    <row r="90" spans="1:15" ht="35.1" customHeight="1" x14ac:dyDescent="0.25">
      <c r="A90" s="54"/>
      <c r="B90" s="40">
        <v>84</v>
      </c>
      <c r="C90" s="97" t="s">
        <v>22</v>
      </c>
      <c r="D90" s="135" t="s">
        <v>91</v>
      </c>
      <c r="E90" s="135"/>
      <c r="F90" s="135"/>
      <c r="G90" s="135"/>
      <c r="H90" s="97" t="s">
        <v>163</v>
      </c>
      <c r="I90" s="97" t="s">
        <v>96</v>
      </c>
      <c r="J90" s="97">
        <f>450-10</f>
        <v>440</v>
      </c>
      <c r="K90" s="42">
        <v>3.5</v>
      </c>
      <c r="L90" s="41" t="s">
        <v>152</v>
      </c>
      <c r="M90" s="42">
        <v>7</v>
      </c>
      <c r="N90" s="44" t="s">
        <v>188</v>
      </c>
    </row>
    <row r="91" spans="1:15" ht="35.1" customHeight="1" x14ac:dyDescent="0.25">
      <c r="B91" s="13">
        <v>85</v>
      </c>
      <c r="C91" s="96" t="s">
        <v>23</v>
      </c>
      <c r="D91" s="141" t="s">
        <v>91</v>
      </c>
      <c r="E91" s="141"/>
      <c r="F91" s="141"/>
      <c r="G91" s="141"/>
      <c r="H91" s="96" t="s">
        <v>163</v>
      </c>
      <c r="I91" s="96" t="s">
        <v>80</v>
      </c>
      <c r="J91" s="97">
        <v>1345</v>
      </c>
      <c r="K91" s="42">
        <v>3</v>
      </c>
      <c r="L91" s="41" t="s">
        <v>143</v>
      </c>
      <c r="M91" s="42">
        <v>3</v>
      </c>
      <c r="N91" s="44" t="s">
        <v>143</v>
      </c>
    </row>
    <row r="92" spans="1:15" ht="35.1" customHeight="1" x14ac:dyDescent="0.25">
      <c r="B92" s="13">
        <v>86</v>
      </c>
      <c r="C92" s="96" t="s">
        <v>24</v>
      </c>
      <c r="D92" s="141" t="s">
        <v>91</v>
      </c>
      <c r="E92" s="141"/>
      <c r="F92" s="141"/>
      <c r="G92" s="141"/>
      <c r="H92" s="96" t="s">
        <v>163</v>
      </c>
      <c r="I92" s="96" t="s">
        <v>95</v>
      </c>
      <c r="J92" s="97">
        <v>1345</v>
      </c>
      <c r="K92" s="42">
        <v>3</v>
      </c>
      <c r="L92" s="97" t="s">
        <v>143</v>
      </c>
      <c r="M92" s="42">
        <v>3</v>
      </c>
      <c r="N92" s="43" t="s">
        <v>143</v>
      </c>
    </row>
    <row r="93" spans="1:15" ht="35.1" customHeight="1" x14ac:dyDescent="0.25">
      <c r="B93" s="13">
        <v>87</v>
      </c>
      <c r="C93" s="96" t="s">
        <v>131</v>
      </c>
      <c r="D93" s="141" t="s">
        <v>91</v>
      </c>
      <c r="E93" s="141"/>
      <c r="F93" s="141"/>
      <c r="G93" s="141"/>
      <c r="H93" s="96" t="s">
        <v>163</v>
      </c>
      <c r="I93" s="96" t="s">
        <v>82</v>
      </c>
      <c r="J93" s="97">
        <v>1345</v>
      </c>
      <c r="K93" s="42">
        <v>3</v>
      </c>
      <c r="L93" s="97" t="s">
        <v>143</v>
      </c>
      <c r="M93" s="42">
        <v>3</v>
      </c>
      <c r="N93" s="44" t="s">
        <v>143</v>
      </c>
    </row>
    <row r="94" spans="1:15" ht="35.1" customHeight="1" x14ac:dyDescent="0.25">
      <c r="B94" s="40">
        <v>88</v>
      </c>
      <c r="C94" s="97" t="s">
        <v>132</v>
      </c>
      <c r="D94" s="135" t="s">
        <v>91</v>
      </c>
      <c r="E94" s="135"/>
      <c r="F94" s="135"/>
      <c r="G94" s="135"/>
      <c r="H94" s="97" t="s">
        <v>163</v>
      </c>
      <c r="I94" s="97" t="s">
        <v>73</v>
      </c>
      <c r="J94" s="97">
        <v>1645</v>
      </c>
      <c r="K94" s="42">
        <v>3</v>
      </c>
      <c r="L94" s="97" t="s">
        <v>148</v>
      </c>
      <c r="M94" s="42">
        <v>3</v>
      </c>
      <c r="N94" s="44" t="s">
        <v>148</v>
      </c>
      <c r="O94" s="4"/>
    </row>
    <row r="95" spans="1:15" ht="35.1" customHeight="1" x14ac:dyDescent="0.25">
      <c r="A95" s="4"/>
      <c r="B95" s="40">
        <v>89</v>
      </c>
      <c r="C95" s="97" t="s">
        <v>133</v>
      </c>
      <c r="D95" s="135" t="s">
        <v>91</v>
      </c>
      <c r="E95" s="135"/>
      <c r="F95" s="135"/>
      <c r="G95" s="135"/>
      <c r="H95" s="97" t="s">
        <v>163</v>
      </c>
      <c r="I95" s="97" t="s">
        <v>193</v>
      </c>
      <c r="J95" s="97">
        <f>2055+50</f>
        <v>2105</v>
      </c>
      <c r="K95" s="42">
        <v>3</v>
      </c>
      <c r="L95" s="97" t="s">
        <v>148</v>
      </c>
      <c r="M95" s="42">
        <v>3</v>
      </c>
      <c r="N95" s="44" t="s">
        <v>148</v>
      </c>
      <c r="O95" s="4"/>
    </row>
    <row r="96" spans="1:15" ht="35.1" customHeight="1" x14ac:dyDescent="0.25">
      <c r="B96" s="40">
        <v>90</v>
      </c>
      <c r="C96" s="97" t="s">
        <v>134</v>
      </c>
      <c r="D96" s="135" t="s">
        <v>91</v>
      </c>
      <c r="E96" s="135"/>
      <c r="F96" s="135"/>
      <c r="G96" s="135"/>
      <c r="H96" s="97" t="s">
        <v>163</v>
      </c>
      <c r="I96" s="97" t="s">
        <v>82</v>
      </c>
      <c r="J96" s="97">
        <f>2180-50</f>
        <v>2130</v>
      </c>
      <c r="K96" s="102">
        <v>7</v>
      </c>
      <c r="L96" s="23" t="s">
        <v>181</v>
      </c>
      <c r="M96" s="42">
        <v>3</v>
      </c>
      <c r="N96" s="44" t="s">
        <v>143</v>
      </c>
    </row>
    <row r="97" spans="1:15" ht="35.1" customHeight="1" x14ac:dyDescent="0.25">
      <c r="B97" s="40">
        <v>91</v>
      </c>
      <c r="C97" s="97" t="s">
        <v>135</v>
      </c>
      <c r="D97" s="135" t="s">
        <v>91</v>
      </c>
      <c r="E97" s="135"/>
      <c r="F97" s="135"/>
      <c r="G97" s="135"/>
      <c r="H97" s="97" t="s">
        <v>163</v>
      </c>
      <c r="I97" s="97" t="s">
        <v>79</v>
      </c>
      <c r="J97" s="97">
        <f>2130-20</f>
        <v>2110</v>
      </c>
      <c r="K97" s="102">
        <v>7</v>
      </c>
      <c r="L97" s="44" t="s">
        <v>168</v>
      </c>
      <c r="M97" s="42">
        <v>3</v>
      </c>
      <c r="N97" s="43" t="s">
        <v>143</v>
      </c>
    </row>
    <row r="98" spans="1:15" ht="35.1" customHeight="1" x14ac:dyDescent="0.25">
      <c r="B98" s="40">
        <v>92</v>
      </c>
      <c r="C98" s="97" t="s">
        <v>136</v>
      </c>
      <c r="D98" s="135" t="s">
        <v>71</v>
      </c>
      <c r="E98" s="135"/>
      <c r="F98" s="135"/>
      <c r="G98" s="135"/>
      <c r="H98" s="97" t="s">
        <v>162</v>
      </c>
      <c r="I98" s="97" t="s">
        <v>84</v>
      </c>
      <c r="J98" s="97">
        <v>1725</v>
      </c>
      <c r="K98" s="101">
        <v>11</v>
      </c>
      <c r="L98" s="41" t="s">
        <v>190</v>
      </c>
      <c r="M98" s="42">
        <v>4</v>
      </c>
      <c r="N98" s="44" t="s">
        <v>158</v>
      </c>
    </row>
    <row r="99" spans="1:15" ht="35.1" customHeight="1" x14ac:dyDescent="0.25">
      <c r="B99" s="40">
        <v>93</v>
      </c>
      <c r="C99" s="97" t="s">
        <v>137</v>
      </c>
      <c r="D99" s="135" t="s">
        <v>91</v>
      </c>
      <c r="E99" s="135"/>
      <c r="F99" s="135"/>
      <c r="G99" s="135"/>
      <c r="H99" s="97" t="s">
        <v>163</v>
      </c>
      <c r="I99" s="97" t="s">
        <v>73</v>
      </c>
      <c r="J99" s="97">
        <f>895-170</f>
        <v>725</v>
      </c>
      <c r="K99" s="42">
        <v>3</v>
      </c>
      <c r="L99" s="97" t="s">
        <v>148</v>
      </c>
      <c r="M99" s="42">
        <v>3</v>
      </c>
      <c r="N99" s="44" t="s">
        <v>148</v>
      </c>
      <c r="O99" s="4"/>
    </row>
    <row r="100" spans="1:15" ht="35.1" customHeight="1" x14ac:dyDescent="0.25">
      <c r="B100" s="40">
        <v>94</v>
      </c>
      <c r="C100" s="97" t="s">
        <v>138</v>
      </c>
      <c r="D100" s="135" t="s">
        <v>91</v>
      </c>
      <c r="E100" s="135"/>
      <c r="F100" s="135"/>
      <c r="G100" s="135"/>
      <c r="H100" s="97" t="s">
        <v>163</v>
      </c>
      <c r="I100" s="97" t="s">
        <v>192</v>
      </c>
      <c r="J100" s="97">
        <f>4210-30</f>
        <v>4180</v>
      </c>
      <c r="K100" s="42">
        <v>3</v>
      </c>
      <c r="L100" s="97" t="s">
        <v>148</v>
      </c>
      <c r="M100" s="42">
        <v>3</v>
      </c>
      <c r="N100" s="44" t="s">
        <v>148</v>
      </c>
      <c r="O100" s="4"/>
    </row>
    <row r="101" spans="1:15" ht="35.1" customHeight="1" x14ac:dyDescent="0.25">
      <c r="A101" s="4"/>
      <c r="B101" s="40">
        <v>95</v>
      </c>
      <c r="C101" s="97" t="s">
        <v>139</v>
      </c>
      <c r="D101" s="135" t="s">
        <v>91</v>
      </c>
      <c r="E101" s="135"/>
      <c r="F101" s="135"/>
      <c r="G101" s="135"/>
      <c r="H101" s="97" t="s">
        <v>163</v>
      </c>
      <c r="I101" s="97" t="s">
        <v>73</v>
      </c>
      <c r="J101" s="97">
        <v>755</v>
      </c>
      <c r="K101" s="42">
        <v>3</v>
      </c>
      <c r="L101" s="97" t="s">
        <v>148</v>
      </c>
      <c r="M101" s="42">
        <v>3</v>
      </c>
      <c r="N101" s="44" t="s">
        <v>148</v>
      </c>
      <c r="O101" s="4"/>
    </row>
    <row r="102" spans="1:15" ht="35.1" customHeight="1" x14ac:dyDescent="0.25">
      <c r="B102" s="40">
        <v>96</v>
      </c>
      <c r="C102" s="97" t="s">
        <v>140</v>
      </c>
      <c r="D102" s="135" t="s">
        <v>91</v>
      </c>
      <c r="E102" s="135"/>
      <c r="F102" s="135"/>
      <c r="G102" s="135"/>
      <c r="H102" s="97" t="s">
        <v>163</v>
      </c>
      <c r="I102" s="97" t="s">
        <v>193</v>
      </c>
      <c r="J102" s="97">
        <f>3225-30</f>
        <v>3195</v>
      </c>
      <c r="K102" s="42">
        <v>3</v>
      </c>
      <c r="L102" s="97" t="s">
        <v>148</v>
      </c>
      <c r="M102" s="42">
        <v>2</v>
      </c>
      <c r="N102" s="44" t="s">
        <v>145</v>
      </c>
      <c r="O102" s="4"/>
    </row>
    <row r="103" spans="1:15" ht="15.75" customHeight="1" x14ac:dyDescent="0.25">
      <c r="B103" s="149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1"/>
    </row>
    <row r="104" spans="1:15" ht="22.5" customHeight="1" x14ac:dyDescent="0.3">
      <c r="B104" s="142" t="s">
        <v>205</v>
      </c>
      <c r="C104" s="143"/>
      <c r="D104" s="143" t="s">
        <v>203</v>
      </c>
      <c r="E104" s="143"/>
      <c r="F104" s="143"/>
      <c r="G104" s="143"/>
      <c r="H104" s="143"/>
      <c r="I104" s="143"/>
      <c r="J104" s="143"/>
      <c r="K104" s="143"/>
      <c r="L104" s="143"/>
      <c r="M104" s="143" t="s">
        <v>206</v>
      </c>
      <c r="N104" s="145"/>
    </row>
    <row r="105" spans="1:15" ht="22.5" customHeight="1" x14ac:dyDescent="0.3">
      <c r="B105" s="142">
        <v>0</v>
      </c>
      <c r="C105" s="143"/>
      <c r="D105" s="143" t="s">
        <v>253</v>
      </c>
      <c r="E105" s="143"/>
      <c r="F105" s="143"/>
      <c r="G105" s="143"/>
      <c r="H105" s="143"/>
      <c r="I105" s="143"/>
      <c r="J105" s="143"/>
      <c r="K105" s="143"/>
      <c r="L105" s="143"/>
      <c r="M105" s="144">
        <v>45787</v>
      </c>
      <c r="N105" s="145"/>
    </row>
    <row r="106" spans="1:15" ht="22.5" customHeight="1" x14ac:dyDescent="0.25">
      <c r="B106" s="146">
        <v>1</v>
      </c>
      <c r="C106" s="141"/>
      <c r="D106" s="141" t="s">
        <v>210</v>
      </c>
      <c r="E106" s="141"/>
      <c r="F106" s="141"/>
      <c r="G106" s="141"/>
      <c r="H106" s="141"/>
      <c r="I106" s="141"/>
      <c r="J106" s="141"/>
      <c r="K106" s="141"/>
      <c r="L106" s="141"/>
      <c r="M106" s="147">
        <v>45812</v>
      </c>
      <c r="N106" s="148"/>
    </row>
    <row r="107" spans="1:15" ht="36.75" customHeight="1" x14ac:dyDescent="0.25">
      <c r="B107" s="157">
        <v>2</v>
      </c>
      <c r="C107" s="158"/>
      <c r="D107" s="158" t="s">
        <v>216</v>
      </c>
      <c r="E107" s="158"/>
      <c r="F107" s="158"/>
      <c r="G107" s="158"/>
      <c r="H107" s="158"/>
      <c r="I107" s="158"/>
      <c r="J107" s="158"/>
      <c r="K107" s="158"/>
      <c r="L107" s="158"/>
      <c r="M107" s="147">
        <v>45818</v>
      </c>
      <c r="N107" s="148"/>
    </row>
    <row r="108" spans="1:15" ht="32.25" customHeight="1" x14ac:dyDescent="0.25">
      <c r="B108" s="157"/>
      <c r="C108" s="158"/>
      <c r="D108" s="141" t="s">
        <v>214</v>
      </c>
      <c r="E108" s="141"/>
      <c r="F108" s="141"/>
      <c r="G108" s="141"/>
      <c r="H108" s="141"/>
      <c r="I108" s="141"/>
      <c r="J108" s="141"/>
      <c r="K108" s="141"/>
      <c r="L108" s="141"/>
      <c r="M108" s="147">
        <v>45818</v>
      </c>
      <c r="N108" s="148"/>
    </row>
    <row r="109" spans="1:15" ht="26.25" customHeight="1" x14ac:dyDescent="0.25">
      <c r="B109" s="157">
        <v>3</v>
      </c>
      <c r="C109" s="158"/>
      <c r="D109" s="141" t="s">
        <v>230</v>
      </c>
      <c r="E109" s="141"/>
      <c r="F109" s="141"/>
      <c r="G109" s="141"/>
      <c r="H109" s="141"/>
      <c r="I109" s="141"/>
      <c r="J109" s="141"/>
      <c r="K109" s="141"/>
      <c r="L109" s="141"/>
      <c r="M109" s="147">
        <v>45854</v>
      </c>
      <c r="N109" s="148"/>
    </row>
    <row r="110" spans="1:15" ht="39.75" customHeight="1" x14ac:dyDescent="0.25">
      <c r="B110" s="157"/>
      <c r="C110" s="158"/>
      <c r="D110" s="158" t="s">
        <v>243</v>
      </c>
      <c r="E110" s="158"/>
      <c r="F110" s="158"/>
      <c r="G110" s="158"/>
      <c r="H110" s="158"/>
      <c r="I110" s="158"/>
      <c r="J110" s="158"/>
      <c r="K110" s="158"/>
      <c r="L110" s="158"/>
      <c r="M110" s="147">
        <v>45854</v>
      </c>
      <c r="N110" s="148"/>
    </row>
    <row r="111" spans="1:15" ht="48" customHeight="1" x14ac:dyDescent="0.25">
      <c r="B111" s="157">
        <v>4</v>
      </c>
      <c r="C111" s="158"/>
      <c r="D111" s="131" t="s">
        <v>260</v>
      </c>
      <c r="E111" s="131"/>
      <c r="F111" s="131"/>
      <c r="G111" s="131"/>
      <c r="H111" s="131"/>
      <c r="I111" s="131"/>
      <c r="J111" s="131"/>
      <c r="K111" s="131"/>
      <c r="L111" s="132"/>
      <c r="M111" s="133">
        <v>45862</v>
      </c>
      <c r="N111" s="134"/>
    </row>
    <row r="112" spans="1:15" ht="39.75" customHeight="1" x14ac:dyDescent="0.25">
      <c r="B112" s="157"/>
      <c r="C112" s="158"/>
      <c r="D112" s="131" t="s">
        <v>258</v>
      </c>
      <c r="E112" s="131"/>
      <c r="F112" s="131"/>
      <c r="G112" s="131"/>
      <c r="H112" s="131"/>
      <c r="I112" s="131"/>
      <c r="J112" s="131"/>
      <c r="K112" s="131"/>
      <c r="L112" s="132"/>
      <c r="M112" s="133">
        <v>45867</v>
      </c>
      <c r="N112" s="134"/>
    </row>
    <row r="113" spans="2:14" ht="39.75" customHeight="1" x14ac:dyDescent="0.25">
      <c r="B113" s="157"/>
      <c r="C113" s="158"/>
      <c r="D113" s="141" t="s">
        <v>263</v>
      </c>
      <c r="E113" s="141"/>
      <c r="F113" s="141"/>
      <c r="G113" s="141"/>
      <c r="H113" s="141"/>
      <c r="I113" s="141"/>
      <c r="J113" s="141"/>
      <c r="K113" s="141"/>
      <c r="L113" s="141"/>
      <c r="M113" s="133">
        <v>45873</v>
      </c>
      <c r="N113" s="134"/>
    </row>
    <row r="114" spans="2:14" ht="39.75" customHeight="1" x14ac:dyDescent="0.25">
      <c r="B114" s="159">
        <v>5</v>
      </c>
      <c r="C114" s="132"/>
      <c r="D114" s="141" t="s">
        <v>268</v>
      </c>
      <c r="E114" s="141"/>
      <c r="F114" s="141"/>
      <c r="G114" s="141"/>
      <c r="H114" s="141"/>
      <c r="I114" s="141"/>
      <c r="J114" s="141"/>
      <c r="K114" s="141"/>
      <c r="L114" s="141"/>
      <c r="M114" s="133">
        <v>45920</v>
      </c>
      <c r="N114" s="134"/>
    </row>
    <row r="115" spans="2:14" ht="39.75" customHeight="1" x14ac:dyDescent="0.25">
      <c r="B115" s="159">
        <v>6</v>
      </c>
      <c r="C115" s="132"/>
      <c r="D115" s="141" t="s">
        <v>277</v>
      </c>
      <c r="E115" s="141"/>
      <c r="F115" s="141"/>
      <c r="G115" s="141"/>
      <c r="H115" s="141"/>
      <c r="I115" s="141"/>
      <c r="J115" s="141"/>
      <c r="K115" s="141"/>
      <c r="L115" s="141"/>
      <c r="M115" s="133">
        <v>45937</v>
      </c>
      <c r="N115" s="134"/>
    </row>
    <row r="116" spans="2:14" ht="32.25" customHeight="1" thickBot="1" x14ac:dyDescent="0.3">
      <c r="B116" s="152" t="s">
        <v>229</v>
      </c>
      <c r="C116" s="153"/>
      <c r="D116" s="153"/>
      <c r="E116" s="153"/>
      <c r="F116" s="153"/>
      <c r="G116" s="153"/>
      <c r="H116" s="154"/>
      <c r="I116" s="155" t="s">
        <v>228</v>
      </c>
      <c r="J116" s="153"/>
      <c r="K116" s="154"/>
      <c r="L116" s="155" t="s">
        <v>227</v>
      </c>
      <c r="M116" s="153"/>
      <c r="N116" s="156"/>
    </row>
    <row r="117" spans="2:14" ht="15.75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</sheetData>
  <sheetProtection password="DE0D" sheet="1" objects="1" scenarios="1"/>
  <mergeCells count="144">
    <mergeCell ref="M112:N112"/>
    <mergeCell ref="D112:L112"/>
    <mergeCell ref="B116:H116"/>
    <mergeCell ref="I116:K116"/>
    <mergeCell ref="L116:N116"/>
    <mergeCell ref="B107:C108"/>
    <mergeCell ref="D107:L107"/>
    <mergeCell ref="M107:N107"/>
    <mergeCell ref="D108:L108"/>
    <mergeCell ref="M108:N108"/>
    <mergeCell ref="B109:C110"/>
    <mergeCell ref="D109:L109"/>
    <mergeCell ref="M109:N109"/>
    <mergeCell ref="D110:L110"/>
    <mergeCell ref="M110:N110"/>
    <mergeCell ref="D115:L115"/>
    <mergeCell ref="M115:N115"/>
    <mergeCell ref="D113:L113"/>
    <mergeCell ref="M113:N113"/>
    <mergeCell ref="B111:C113"/>
    <mergeCell ref="B115:C115"/>
    <mergeCell ref="B114:C114"/>
    <mergeCell ref="D114:L114"/>
    <mergeCell ref="M114:N114"/>
    <mergeCell ref="B105:C105"/>
    <mergeCell ref="D105:L105"/>
    <mergeCell ref="M105:N105"/>
    <mergeCell ref="B106:C106"/>
    <mergeCell ref="D106:L106"/>
    <mergeCell ref="M106:N106"/>
    <mergeCell ref="D99:G99"/>
    <mergeCell ref="D100:G100"/>
    <mergeCell ref="D101:G101"/>
    <mergeCell ref="D102:G102"/>
    <mergeCell ref="B103:N103"/>
    <mergeCell ref="B104:C104"/>
    <mergeCell ref="D104:L104"/>
    <mergeCell ref="M104:N104"/>
    <mergeCell ref="D93:G93"/>
    <mergeCell ref="D94:G94"/>
    <mergeCell ref="D95:G95"/>
    <mergeCell ref="D96:G96"/>
    <mergeCell ref="D97:G97"/>
    <mergeCell ref="D98:G98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27:G27"/>
    <mergeCell ref="D28:G28"/>
    <mergeCell ref="D29:G29"/>
    <mergeCell ref="D30:G30"/>
    <mergeCell ref="D31:G31"/>
    <mergeCell ref="D32:G32"/>
    <mergeCell ref="D23:G23"/>
    <mergeCell ref="D24:G24"/>
    <mergeCell ref="D25:G25"/>
    <mergeCell ref="D26:G26"/>
    <mergeCell ref="D15:G15"/>
    <mergeCell ref="D16:G16"/>
    <mergeCell ref="D17:G17"/>
    <mergeCell ref="D18:G18"/>
    <mergeCell ref="D19:G19"/>
    <mergeCell ref="D20:G20"/>
    <mergeCell ref="B1:N1"/>
    <mergeCell ref="B2:N2"/>
    <mergeCell ref="B3:G3"/>
    <mergeCell ref="K3:L3"/>
    <mergeCell ref="M3:N3"/>
    <mergeCell ref="B4:G4"/>
    <mergeCell ref="K4:L4"/>
    <mergeCell ref="M4:N4"/>
    <mergeCell ref="D111:L111"/>
    <mergeCell ref="M111:N111"/>
    <mergeCell ref="D9:G9"/>
    <mergeCell ref="D10:G10"/>
    <mergeCell ref="D11:G11"/>
    <mergeCell ref="D12:G12"/>
    <mergeCell ref="D13:G13"/>
    <mergeCell ref="D14:G14"/>
    <mergeCell ref="B5:G5"/>
    <mergeCell ref="K5:L5"/>
    <mergeCell ref="M5:N5"/>
    <mergeCell ref="D6:G6"/>
    <mergeCell ref="D7:G7"/>
    <mergeCell ref="D8:G8"/>
    <mergeCell ref="D21:G21"/>
    <mergeCell ref="D22:G22"/>
  </mergeCells>
  <printOptions horizontalCentered="1" verticalCentered="1"/>
  <pageMargins left="0" right="0" top="0" bottom="0" header="0" footer="0"/>
  <pageSetup paperSize="9" scale="68" orientation="landscape" r:id="rId1"/>
  <headerFooter scaleWithDoc="0" alignWithMargins="0">
    <firstFooter>&amp;RPage :1 of 2</firstFooter>
  </headerFooter>
  <rowBreaks count="1" manualBreakCount="1">
    <brk id="96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102"/>
  <sheetViews>
    <sheetView tabSelected="1" topLeftCell="E65" workbookViewId="0">
      <selection activeCell="R75" sqref="R75"/>
    </sheetView>
  </sheetViews>
  <sheetFormatPr defaultRowHeight="15" x14ac:dyDescent="0.25"/>
  <cols>
    <col min="7" max="7" width="18.42578125" bestFit="1" customWidth="1"/>
    <col min="13" max="13" width="16.5703125" bestFit="1" customWidth="1"/>
    <col min="14" max="14" width="12" bestFit="1" customWidth="1"/>
    <col min="15" max="15" width="34.42578125" bestFit="1" customWidth="1"/>
    <col min="16" max="16" width="35.28515625" hidden="1" customWidth="1"/>
    <col min="17" max="17" width="0" hidden="1" customWidth="1"/>
  </cols>
  <sheetData>
    <row r="1" spans="1:17" ht="30" customHeight="1" x14ac:dyDescent="0.25">
      <c r="A1" s="117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9"/>
    </row>
    <row r="2" spans="1:17" ht="30" customHeight="1" x14ac:dyDescent="0.25">
      <c r="A2" s="120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1:17" ht="30" customHeight="1" x14ac:dyDescent="0.25">
      <c r="A3" s="123" t="s">
        <v>2</v>
      </c>
      <c r="B3" s="124"/>
      <c r="C3" s="124"/>
      <c r="D3" s="124"/>
      <c r="E3" s="124"/>
      <c r="F3" s="124"/>
      <c r="G3" s="10" t="s">
        <v>161</v>
      </c>
      <c r="H3" s="8" t="s">
        <v>194</v>
      </c>
      <c r="I3" s="110" t="s">
        <v>211</v>
      </c>
      <c r="J3" s="125" t="s">
        <v>195</v>
      </c>
      <c r="K3" s="126"/>
      <c r="L3" s="125" t="s">
        <v>278</v>
      </c>
      <c r="M3" s="127"/>
    </row>
    <row r="4" spans="1:17" ht="30" customHeight="1" x14ac:dyDescent="0.25">
      <c r="A4" s="123" t="s">
        <v>3</v>
      </c>
      <c r="B4" s="124"/>
      <c r="C4" s="124"/>
      <c r="D4" s="124"/>
      <c r="E4" s="124"/>
      <c r="F4" s="124"/>
      <c r="G4" s="110" t="s">
        <v>4</v>
      </c>
      <c r="H4" s="9" t="s">
        <v>197</v>
      </c>
      <c r="I4" s="10">
        <v>6</v>
      </c>
      <c r="J4" s="128" t="s">
        <v>198</v>
      </c>
      <c r="K4" s="129"/>
      <c r="L4" s="124" t="s">
        <v>279</v>
      </c>
      <c r="M4" s="130"/>
    </row>
    <row r="5" spans="1:17" ht="30" customHeight="1" x14ac:dyDescent="0.25">
      <c r="A5" s="123" t="s">
        <v>5</v>
      </c>
      <c r="B5" s="124"/>
      <c r="C5" s="124"/>
      <c r="D5" s="124"/>
      <c r="E5" s="124"/>
      <c r="F5" s="124"/>
      <c r="G5" s="110" t="s">
        <v>18</v>
      </c>
      <c r="H5" s="9" t="s">
        <v>199</v>
      </c>
      <c r="I5" s="21">
        <v>45938</v>
      </c>
      <c r="J5" s="136" t="s">
        <v>6</v>
      </c>
      <c r="K5" s="137"/>
      <c r="L5" s="138" t="s">
        <v>7</v>
      </c>
      <c r="M5" s="139"/>
    </row>
    <row r="6" spans="1:17" ht="30" customHeight="1" x14ac:dyDescent="0.25">
      <c r="A6" s="7" t="s">
        <v>160</v>
      </c>
      <c r="B6" s="5" t="s">
        <v>8</v>
      </c>
      <c r="C6" s="140" t="s">
        <v>9</v>
      </c>
      <c r="D6" s="140"/>
      <c r="E6" s="140"/>
      <c r="F6" s="140"/>
      <c r="G6" s="2" t="s">
        <v>10</v>
      </c>
      <c r="H6" s="112" t="s">
        <v>11</v>
      </c>
      <c r="I6" s="2" t="s">
        <v>12</v>
      </c>
      <c r="J6" s="2" t="s">
        <v>13</v>
      </c>
      <c r="K6" s="2" t="s">
        <v>14</v>
      </c>
      <c r="L6" s="2" t="s">
        <v>13</v>
      </c>
      <c r="M6" s="187" t="s">
        <v>14</v>
      </c>
      <c r="N6" s="191" t="s">
        <v>348</v>
      </c>
      <c r="O6" s="2" t="s">
        <v>347</v>
      </c>
      <c r="P6" t="s">
        <v>280</v>
      </c>
    </row>
    <row r="7" spans="1:17" ht="30" customHeight="1" x14ac:dyDescent="0.25">
      <c r="A7" s="114">
        <v>1</v>
      </c>
      <c r="B7" s="111" t="s">
        <v>25</v>
      </c>
      <c r="C7" s="135" t="s">
        <v>71</v>
      </c>
      <c r="D7" s="135"/>
      <c r="E7" s="135"/>
      <c r="F7" s="135"/>
      <c r="G7" s="111" t="s">
        <v>162</v>
      </c>
      <c r="H7" s="111" t="s">
        <v>19</v>
      </c>
      <c r="I7" s="111">
        <v>1220</v>
      </c>
      <c r="J7" s="42">
        <v>5</v>
      </c>
      <c r="K7" s="111" t="s">
        <v>72</v>
      </c>
      <c r="L7" s="101">
        <v>11</v>
      </c>
      <c r="M7" s="188" t="s">
        <v>164</v>
      </c>
      <c r="N7" s="191" t="s">
        <v>295</v>
      </c>
      <c r="O7" s="191" t="s">
        <v>296</v>
      </c>
      <c r="P7" t="s">
        <v>296</v>
      </c>
      <c r="Q7" t="b">
        <f>+P7=O7</f>
        <v>1</v>
      </c>
    </row>
    <row r="8" spans="1:17" ht="30" customHeight="1" x14ac:dyDescent="0.25">
      <c r="A8" s="114">
        <v>2</v>
      </c>
      <c r="B8" s="111" t="s">
        <v>26</v>
      </c>
      <c r="C8" s="135" t="s">
        <v>71</v>
      </c>
      <c r="D8" s="135"/>
      <c r="E8" s="135"/>
      <c r="F8" s="135"/>
      <c r="G8" s="111" t="s">
        <v>162</v>
      </c>
      <c r="H8" s="111" t="s">
        <v>73</v>
      </c>
      <c r="I8" s="111">
        <v>830</v>
      </c>
      <c r="J8" s="101">
        <v>12</v>
      </c>
      <c r="K8" s="41" t="s">
        <v>165</v>
      </c>
      <c r="L8" s="42">
        <v>5</v>
      </c>
      <c r="M8" s="189" t="s">
        <v>72</v>
      </c>
      <c r="N8" s="191" t="s">
        <v>297</v>
      </c>
      <c r="O8" s="191" t="s">
        <v>298</v>
      </c>
      <c r="P8" t="s">
        <v>298</v>
      </c>
      <c r="Q8" t="b">
        <f t="shared" ref="Q8:Q71" si="0">+P8=O8</f>
        <v>1</v>
      </c>
    </row>
    <row r="9" spans="1:17" ht="30" customHeight="1" x14ac:dyDescent="0.25">
      <c r="A9" s="114">
        <v>3</v>
      </c>
      <c r="B9" s="111" t="s">
        <v>74</v>
      </c>
      <c r="C9" s="135" t="s">
        <v>91</v>
      </c>
      <c r="D9" s="135"/>
      <c r="E9" s="135"/>
      <c r="F9" s="135"/>
      <c r="G9" s="111" t="s">
        <v>163</v>
      </c>
      <c r="H9" s="111" t="s">
        <v>75</v>
      </c>
      <c r="I9" s="111">
        <v>1725</v>
      </c>
      <c r="J9" s="101">
        <v>12</v>
      </c>
      <c r="K9" s="41" t="s">
        <v>165</v>
      </c>
      <c r="L9" s="42">
        <v>3.5</v>
      </c>
      <c r="M9" s="189" t="s">
        <v>141</v>
      </c>
      <c r="N9" s="191" t="s">
        <v>299</v>
      </c>
      <c r="O9" s="191" t="s">
        <v>281</v>
      </c>
      <c r="P9" t="s">
        <v>281</v>
      </c>
      <c r="Q9" t="b">
        <f t="shared" si="0"/>
        <v>1</v>
      </c>
    </row>
    <row r="10" spans="1:17" ht="30" customHeight="1" x14ac:dyDescent="0.25">
      <c r="A10" s="114">
        <v>4</v>
      </c>
      <c r="B10" s="111" t="s">
        <v>27</v>
      </c>
      <c r="C10" s="135" t="s">
        <v>76</v>
      </c>
      <c r="D10" s="135"/>
      <c r="E10" s="135"/>
      <c r="F10" s="135"/>
      <c r="G10" s="111" t="s">
        <v>159</v>
      </c>
      <c r="H10" s="111" t="s">
        <v>73</v>
      </c>
      <c r="I10" s="111">
        <v>1950</v>
      </c>
      <c r="J10" s="42">
        <v>3</v>
      </c>
      <c r="K10" s="111">
        <v>39000040</v>
      </c>
      <c r="L10" s="70">
        <v>12</v>
      </c>
      <c r="M10" s="188" t="s">
        <v>170</v>
      </c>
      <c r="N10" s="191" t="s">
        <v>300</v>
      </c>
      <c r="O10" s="191" t="s">
        <v>301</v>
      </c>
      <c r="P10" t="s">
        <v>301</v>
      </c>
      <c r="Q10" t="b">
        <f t="shared" si="0"/>
        <v>1</v>
      </c>
    </row>
    <row r="11" spans="1:17" ht="30" customHeight="1" x14ac:dyDescent="0.25">
      <c r="A11" s="114">
        <v>5</v>
      </c>
      <c r="B11" s="111" t="s">
        <v>28</v>
      </c>
      <c r="C11" s="135" t="s">
        <v>71</v>
      </c>
      <c r="D11" s="135"/>
      <c r="E11" s="135"/>
      <c r="F11" s="135"/>
      <c r="G11" s="111" t="s">
        <v>162</v>
      </c>
      <c r="H11" s="111" t="s">
        <v>77</v>
      </c>
      <c r="I11" s="111">
        <v>490</v>
      </c>
      <c r="J11" s="42">
        <v>3</v>
      </c>
      <c r="K11" s="111" t="s">
        <v>142</v>
      </c>
      <c r="L11" s="102">
        <v>11</v>
      </c>
      <c r="M11" s="188" t="s">
        <v>189</v>
      </c>
      <c r="N11" s="191" t="s">
        <v>302</v>
      </c>
      <c r="O11" s="191" t="s">
        <v>283</v>
      </c>
      <c r="P11" t="s">
        <v>283</v>
      </c>
      <c r="Q11" t="b">
        <f t="shared" si="0"/>
        <v>1</v>
      </c>
    </row>
    <row r="12" spans="1:17" ht="30" customHeight="1" x14ac:dyDescent="0.25">
      <c r="A12" s="114">
        <v>6</v>
      </c>
      <c r="B12" s="111" t="s">
        <v>29</v>
      </c>
      <c r="C12" s="135" t="s">
        <v>91</v>
      </c>
      <c r="D12" s="135"/>
      <c r="E12" s="135"/>
      <c r="F12" s="135"/>
      <c r="G12" s="111" t="s">
        <v>163</v>
      </c>
      <c r="H12" s="111" t="s">
        <v>73</v>
      </c>
      <c r="I12" s="111">
        <v>1345</v>
      </c>
      <c r="J12" s="42">
        <v>3</v>
      </c>
      <c r="K12" s="111" t="s">
        <v>143</v>
      </c>
      <c r="L12" s="42">
        <v>3</v>
      </c>
      <c r="M12" s="188" t="s">
        <v>143</v>
      </c>
      <c r="N12" s="191" t="s">
        <v>303</v>
      </c>
      <c r="O12" s="191" t="s">
        <v>304</v>
      </c>
      <c r="P12" t="s">
        <v>304</v>
      </c>
      <c r="Q12" t="b">
        <f t="shared" si="0"/>
        <v>1</v>
      </c>
    </row>
    <row r="13" spans="1:17" ht="30" customHeight="1" x14ac:dyDescent="0.25">
      <c r="A13" s="114">
        <v>7</v>
      </c>
      <c r="B13" s="111" t="s">
        <v>30</v>
      </c>
      <c r="C13" s="135" t="s">
        <v>76</v>
      </c>
      <c r="D13" s="135"/>
      <c r="E13" s="135"/>
      <c r="F13" s="135"/>
      <c r="G13" s="111" t="s">
        <v>159</v>
      </c>
      <c r="H13" s="111" t="s">
        <v>78</v>
      </c>
      <c r="I13" s="111">
        <f>1390-20</f>
        <v>1370</v>
      </c>
      <c r="J13" s="42">
        <v>3.5</v>
      </c>
      <c r="K13" s="111" t="s">
        <v>144</v>
      </c>
      <c r="L13" s="42">
        <v>7</v>
      </c>
      <c r="M13" s="188" t="s">
        <v>167</v>
      </c>
      <c r="N13" s="191" t="s">
        <v>305</v>
      </c>
      <c r="O13" s="191" t="s">
        <v>306</v>
      </c>
      <c r="P13" t="s">
        <v>306</v>
      </c>
      <c r="Q13" t="b">
        <f t="shared" si="0"/>
        <v>1</v>
      </c>
    </row>
    <row r="14" spans="1:17" ht="30" customHeight="1" x14ac:dyDescent="0.25">
      <c r="A14" s="114">
        <v>8</v>
      </c>
      <c r="B14" s="111" t="s">
        <v>31</v>
      </c>
      <c r="C14" s="135" t="s">
        <v>91</v>
      </c>
      <c r="D14" s="135"/>
      <c r="E14" s="135"/>
      <c r="F14" s="135"/>
      <c r="G14" s="111" t="s">
        <v>163</v>
      </c>
      <c r="H14" s="111" t="s">
        <v>79</v>
      </c>
      <c r="I14" s="111">
        <v>1000</v>
      </c>
      <c r="J14" s="42">
        <v>2</v>
      </c>
      <c r="K14" s="111" t="s">
        <v>145</v>
      </c>
      <c r="L14" s="42">
        <v>7</v>
      </c>
      <c r="M14" s="188" t="s">
        <v>168</v>
      </c>
      <c r="N14" s="191" t="s">
        <v>307</v>
      </c>
      <c r="O14" s="191" t="s">
        <v>308</v>
      </c>
      <c r="P14" t="s">
        <v>308</v>
      </c>
      <c r="Q14" t="b">
        <f t="shared" si="0"/>
        <v>1</v>
      </c>
    </row>
    <row r="15" spans="1:17" ht="30" customHeight="1" x14ac:dyDescent="0.25">
      <c r="A15" s="114">
        <v>9</v>
      </c>
      <c r="B15" s="111" t="s">
        <v>32</v>
      </c>
      <c r="C15" s="135" t="s">
        <v>91</v>
      </c>
      <c r="D15" s="135"/>
      <c r="E15" s="135"/>
      <c r="F15" s="135"/>
      <c r="G15" s="111" t="s">
        <v>163</v>
      </c>
      <c r="H15" s="111" t="s">
        <v>79</v>
      </c>
      <c r="I15" s="111">
        <v>1400</v>
      </c>
      <c r="J15" s="42">
        <v>3</v>
      </c>
      <c r="K15" s="111" t="s">
        <v>143</v>
      </c>
      <c r="L15" s="42">
        <v>2</v>
      </c>
      <c r="M15" s="188" t="s">
        <v>145</v>
      </c>
      <c r="N15" s="191" t="s">
        <v>307</v>
      </c>
      <c r="O15" s="191" t="s">
        <v>308</v>
      </c>
      <c r="P15" t="s">
        <v>308</v>
      </c>
      <c r="Q15" t="b">
        <f t="shared" si="0"/>
        <v>1</v>
      </c>
    </row>
    <row r="16" spans="1:17" ht="30" customHeight="1" x14ac:dyDescent="0.25">
      <c r="A16" s="114">
        <v>10</v>
      </c>
      <c r="B16" s="111" t="s">
        <v>33</v>
      </c>
      <c r="C16" s="135" t="s">
        <v>91</v>
      </c>
      <c r="D16" s="135"/>
      <c r="E16" s="135"/>
      <c r="F16" s="135"/>
      <c r="G16" s="111" t="s">
        <v>163</v>
      </c>
      <c r="H16" s="111" t="s">
        <v>80</v>
      </c>
      <c r="I16" s="111">
        <v>1155</v>
      </c>
      <c r="J16" s="42">
        <v>2</v>
      </c>
      <c r="K16" s="111" t="s">
        <v>145</v>
      </c>
      <c r="L16" s="42">
        <v>3</v>
      </c>
      <c r="M16" s="189" t="s">
        <v>143</v>
      </c>
      <c r="N16" s="191" t="s">
        <v>309</v>
      </c>
      <c r="O16" s="191" t="s">
        <v>310</v>
      </c>
      <c r="P16" t="s">
        <v>310</v>
      </c>
      <c r="Q16" t="b">
        <f t="shared" si="0"/>
        <v>1</v>
      </c>
    </row>
    <row r="17" spans="1:17" ht="30" customHeight="1" x14ac:dyDescent="0.25">
      <c r="A17" s="114">
        <v>11</v>
      </c>
      <c r="B17" s="111" t="s">
        <v>34</v>
      </c>
      <c r="C17" s="135" t="s">
        <v>71</v>
      </c>
      <c r="D17" s="135"/>
      <c r="E17" s="135"/>
      <c r="F17" s="135"/>
      <c r="G17" s="111" t="s">
        <v>162</v>
      </c>
      <c r="H17" s="111" t="s">
        <v>77</v>
      </c>
      <c r="I17" s="116">
        <f>1205+10</f>
        <v>1215</v>
      </c>
      <c r="J17" s="42">
        <v>3.5</v>
      </c>
      <c r="K17" s="111" t="s">
        <v>146</v>
      </c>
      <c r="L17" s="42">
        <v>5</v>
      </c>
      <c r="M17" s="189" t="s">
        <v>147</v>
      </c>
      <c r="N17" s="191" t="s">
        <v>302</v>
      </c>
      <c r="O17" s="191" t="s">
        <v>283</v>
      </c>
      <c r="P17" t="s">
        <v>283</v>
      </c>
      <c r="Q17" t="b">
        <f t="shared" si="0"/>
        <v>1</v>
      </c>
    </row>
    <row r="18" spans="1:17" ht="30" customHeight="1" x14ac:dyDescent="0.25">
      <c r="A18" s="114">
        <v>12</v>
      </c>
      <c r="B18" s="111" t="s">
        <v>35</v>
      </c>
      <c r="C18" s="135" t="s">
        <v>91</v>
      </c>
      <c r="D18" s="135"/>
      <c r="E18" s="135"/>
      <c r="F18" s="135"/>
      <c r="G18" s="111" t="s">
        <v>163</v>
      </c>
      <c r="H18" s="111" t="s">
        <v>75</v>
      </c>
      <c r="I18" s="111">
        <v>1400</v>
      </c>
      <c r="J18" s="42">
        <v>2</v>
      </c>
      <c r="K18" s="111" t="s">
        <v>145</v>
      </c>
      <c r="L18" s="42">
        <v>3</v>
      </c>
      <c r="M18" s="188" t="s">
        <v>143</v>
      </c>
      <c r="N18" s="191" t="s">
        <v>299</v>
      </c>
      <c r="O18" s="191" t="s">
        <v>281</v>
      </c>
      <c r="P18" t="s">
        <v>281</v>
      </c>
      <c r="Q18" t="b">
        <f t="shared" si="0"/>
        <v>1</v>
      </c>
    </row>
    <row r="19" spans="1:17" ht="30" customHeight="1" x14ac:dyDescent="0.25">
      <c r="A19" s="114">
        <v>13</v>
      </c>
      <c r="B19" s="111" t="s">
        <v>36</v>
      </c>
      <c r="C19" s="135" t="s">
        <v>91</v>
      </c>
      <c r="D19" s="135"/>
      <c r="E19" s="135"/>
      <c r="F19" s="135"/>
      <c r="G19" s="111" t="s">
        <v>163</v>
      </c>
      <c r="H19" s="111" t="s">
        <v>81</v>
      </c>
      <c r="I19" s="111">
        <f>1480-15</f>
        <v>1465</v>
      </c>
      <c r="J19" s="42">
        <v>3</v>
      </c>
      <c r="K19" s="111" t="s">
        <v>148</v>
      </c>
      <c r="L19" s="42">
        <v>2</v>
      </c>
      <c r="M19" s="189" t="s">
        <v>145</v>
      </c>
      <c r="N19" s="191" t="s">
        <v>311</v>
      </c>
      <c r="O19" s="191" t="s">
        <v>286</v>
      </c>
      <c r="P19" t="s">
        <v>286</v>
      </c>
      <c r="Q19" t="b">
        <f t="shared" si="0"/>
        <v>1</v>
      </c>
    </row>
    <row r="20" spans="1:17" ht="30" customHeight="1" x14ac:dyDescent="0.25">
      <c r="A20" s="114">
        <v>14</v>
      </c>
      <c r="B20" s="111" t="s">
        <v>37</v>
      </c>
      <c r="C20" s="135" t="s">
        <v>91</v>
      </c>
      <c r="D20" s="135"/>
      <c r="E20" s="135"/>
      <c r="F20" s="135"/>
      <c r="G20" s="111" t="s">
        <v>163</v>
      </c>
      <c r="H20" s="111" t="s">
        <v>75</v>
      </c>
      <c r="I20" s="111">
        <f>3170-25</f>
        <v>3145</v>
      </c>
      <c r="J20" s="42">
        <v>3</v>
      </c>
      <c r="K20" s="111" t="s">
        <v>148</v>
      </c>
      <c r="L20" s="42">
        <v>3</v>
      </c>
      <c r="M20" s="189" t="s">
        <v>148</v>
      </c>
      <c r="N20" s="191" t="s">
        <v>299</v>
      </c>
      <c r="O20" s="191" t="s">
        <v>281</v>
      </c>
      <c r="P20" t="s">
        <v>281</v>
      </c>
      <c r="Q20" t="b">
        <f t="shared" si="0"/>
        <v>1</v>
      </c>
    </row>
    <row r="21" spans="1:17" ht="30" customHeight="1" x14ac:dyDescent="0.25">
      <c r="A21" s="114">
        <v>15</v>
      </c>
      <c r="B21" s="111" t="s">
        <v>38</v>
      </c>
      <c r="C21" s="135" t="s">
        <v>76</v>
      </c>
      <c r="D21" s="135"/>
      <c r="E21" s="135"/>
      <c r="F21" s="135"/>
      <c r="G21" s="111" t="s">
        <v>159</v>
      </c>
      <c r="H21" s="111" t="s">
        <v>82</v>
      </c>
      <c r="I21" s="111">
        <f>1340-20</f>
        <v>1320</v>
      </c>
      <c r="J21" s="42">
        <v>3.5</v>
      </c>
      <c r="K21" s="111" t="s">
        <v>144</v>
      </c>
      <c r="L21" s="42">
        <v>7</v>
      </c>
      <c r="M21" s="188" t="s">
        <v>169</v>
      </c>
      <c r="N21" s="191" t="s">
        <v>312</v>
      </c>
      <c r="O21" s="191" t="s">
        <v>313</v>
      </c>
      <c r="P21" t="s">
        <v>313</v>
      </c>
      <c r="Q21" t="b">
        <f t="shared" si="0"/>
        <v>1</v>
      </c>
    </row>
    <row r="22" spans="1:17" ht="30" customHeight="1" x14ac:dyDescent="0.25">
      <c r="A22" s="114">
        <v>16</v>
      </c>
      <c r="B22" s="111" t="s">
        <v>39</v>
      </c>
      <c r="C22" s="135" t="s">
        <v>71</v>
      </c>
      <c r="D22" s="135"/>
      <c r="E22" s="135"/>
      <c r="F22" s="135"/>
      <c r="G22" s="111" t="s">
        <v>162</v>
      </c>
      <c r="H22" s="111" t="s">
        <v>73</v>
      </c>
      <c r="I22" s="111">
        <v>1145</v>
      </c>
      <c r="J22" s="42">
        <v>3</v>
      </c>
      <c r="K22" s="111" t="s">
        <v>142</v>
      </c>
      <c r="L22" s="42">
        <v>12</v>
      </c>
      <c r="M22" s="188" t="s">
        <v>170</v>
      </c>
      <c r="N22" s="191" t="s">
        <v>297</v>
      </c>
      <c r="O22" s="191" t="s">
        <v>298</v>
      </c>
      <c r="P22" t="s">
        <v>298</v>
      </c>
      <c r="Q22" t="b">
        <f t="shared" si="0"/>
        <v>1</v>
      </c>
    </row>
    <row r="23" spans="1:17" ht="30" customHeight="1" x14ac:dyDescent="0.25">
      <c r="A23" s="114">
        <v>17</v>
      </c>
      <c r="B23" s="111" t="s">
        <v>40</v>
      </c>
      <c r="C23" s="135" t="s">
        <v>91</v>
      </c>
      <c r="D23" s="135"/>
      <c r="E23" s="135"/>
      <c r="F23" s="135"/>
      <c r="G23" s="111" t="s">
        <v>163</v>
      </c>
      <c r="H23" s="111" t="s">
        <v>83</v>
      </c>
      <c r="I23" s="111">
        <v>815</v>
      </c>
      <c r="J23" s="42">
        <v>5</v>
      </c>
      <c r="K23" s="111" t="s">
        <v>149</v>
      </c>
      <c r="L23" s="42">
        <v>2</v>
      </c>
      <c r="M23" s="188" t="s">
        <v>145</v>
      </c>
      <c r="N23" s="191" t="s">
        <v>314</v>
      </c>
      <c r="O23" s="191" t="s">
        <v>282</v>
      </c>
      <c r="P23" t="s">
        <v>282</v>
      </c>
      <c r="Q23" t="b">
        <f t="shared" si="0"/>
        <v>1</v>
      </c>
    </row>
    <row r="24" spans="1:17" ht="30" customHeight="1" x14ac:dyDescent="0.25">
      <c r="A24" s="114">
        <v>18</v>
      </c>
      <c r="B24" s="111" t="s">
        <v>41</v>
      </c>
      <c r="C24" s="135" t="s">
        <v>71</v>
      </c>
      <c r="D24" s="135"/>
      <c r="E24" s="135"/>
      <c r="F24" s="135"/>
      <c r="G24" s="111" t="s">
        <v>162</v>
      </c>
      <c r="H24" s="111" t="s">
        <v>19</v>
      </c>
      <c r="I24" s="111">
        <v>490</v>
      </c>
      <c r="J24" s="42">
        <v>3</v>
      </c>
      <c r="K24" s="41" t="s">
        <v>142</v>
      </c>
      <c r="L24" s="103">
        <v>11</v>
      </c>
      <c r="M24" s="188" t="s">
        <v>166</v>
      </c>
      <c r="N24" s="191" t="s">
        <v>295</v>
      </c>
      <c r="O24" s="191" t="s">
        <v>296</v>
      </c>
      <c r="P24" t="s">
        <v>296</v>
      </c>
      <c r="Q24" t="b">
        <f t="shared" si="0"/>
        <v>1</v>
      </c>
    </row>
    <row r="25" spans="1:17" ht="30" customHeight="1" x14ac:dyDescent="0.25">
      <c r="A25" s="114">
        <v>19</v>
      </c>
      <c r="B25" s="111" t="s">
        <v>42</v>
      </c>
      <c r="C25" s="135" t="s">
        <v>76</v>
      </c>
      <c r="D25" s="135"/>
      <c r="E25" s="135"/>
      <c r="F25" s="135"/>
      <c r="G25" s="111" t="s">
        <v>159</v>
      </c>
      <c r="H25" s="111" t="s">
        <v>19</v>
      </c>
      <c r="I25" s="111">
        <f>775-20</f>
        <v>755</v>
      </c>
      <c r="J25" s="42">
        <v>3.5</v>
      </c>
      <c r="K25" s="111" t="s">
        <v>144</v>
      </c>
      <c r="L25" s="70">
        <v>7</v>
      </c>
      <c r="M25" s="188" t="s">
        <v>171</v>
      </c>
      <c r="N25" s="191" t="s">
        <v>315</v>
      </c>
      <c r="O25" s="191" t="s">
        <v>316</v>
      </c>
      <c r="P25" t="s">
        <v>316</v>
      </c>
      <c r="Q25" t="b">
        <f t="shared" si="0"/>
        <v>1</v>
      </c>
    </row>
    <row r="26" spans="1:17" ht="30" customHeight="1" x14ac:dyDescent="0.25">
      <c r="A26" s="114">
        <v>20</v>
      </c>
      <c r="B26" s="111" t="s">
        <v>43</v>
      </c>
      <c r="C26" s="135" t="s">
        <v>71</v>
      </c>
      <c r="D26" s="135"/>
      <c r="E26" s="135"/>
      <c r="F26" s="135"/>
      <c r="G26" s="111" t="s">
        <v>162</v>
      </c>
      <c r="H26" s="111" t="s">
        <v>84</v>
      </c>
      <c r="I26" s="111">
        <v>2195</v>
      </c>
      <c r="J26" s="101">
        <v>11</v>
      </c>
      <c r="K26" s="41" t="s">
        <v>190</v>
      </c>
      <c r="L26" s="42">
        <v>3</v>
      </c>
      <c r="M26" s="189" t="s">
        <v>142</v>
      </c>
      <c r="N26" s="191" t="s">
        <v>317</v>
      </c>
      <c r="O26" s="191" t="s">
        <v>284</v>
      </c>
      <c r="P26" t="s">
        <v>284</v>
      </c>
      <c r="Q26" t="b">
        <f t="shared" si="0"/>
        <v>1</v>
      </c>
    </row>
    <row r="27" spans="1:17" ht="30" customHeight="1" x14ac:dyDescent="0.25">
      <c r="A27" s="114">
        <v>21</v>
      </c>
      <c r="B27" s="111" t="s">
        <v>44</v>
      </c>
      <c r="C27" s="135" t="s">
        <v>71</v>
      </c>
      <c r="D27" s="135"/>
      <c r="E27" s="135"/>
      <c r="F27" s="135"/>
      <c r="G27" s="111" t="s">
        <v>162</v>
      </c>
      <c r="H27" s="111" t="s">
        <v>84</v>
      </c>
      <c r="I27" s="111">
        <v>875</v>
      </c>
      <c r="J27" s="42">
        <v>3</v>
      </c>
      <c r="K27" s="111" t="s">
        <v>142</v>
      </c>
      <c r="L27" s="102">
        <v>11</v>
      </c>
      <c r="M27" s="188" t="s">
        <v>172</v>
      </c>
      <c r="N27" s="191" t="s">
        <v>317</v>
      </c>
      <c r="O27" s="191" t="s">
        <v>284</v>
      </c>
      <c r="P27" t="s">
        <v>284</v>
      </c>
      <c r="Q27" t="b">
        <f t="shared" si="0"/>
        <v>1</v>
      </c>
    </row>
    <row r="28" spans="1:17" ht="30" customHeight="1" x14ac:dyDescent="0.25">
      <c r="A28" s="114">
        <v>22</v>
      </c>
      <c r="B28" s="111" t="s">
        <v>45</v>
      </c>
      <c r="C28" s="135" t="s">
        <v>91</v>
      </c>
      <c r="D28" s="135"/>
      <c r="E28" s="135"/>
      <c r="F28" s="135"/>
      <c r="G28" s="111" t="s">
        <v>163</v>
      </c>
      <c r="H28" s="41" t="s">
        <v>173</v>
      </c>
      <c r="I28" s="111">
        <f>125+15</f>
        <v>140</v>
      </c>
      <c r="J28" s="42">
        <v>3</v>
      </c>
      <c r="K28" s="111" t="s">
        <v>143</v>
      </c>
      <c r="L28" s="42">
        <v>7</v>
      </c>
      <c r="M28" s="188" t="s">
        <v>174</v>
      </c>
      <c r="N28" s="191" t="s">
        <v>318</v>
      </c>
      <c r="O28" s="191" t="s">
        <v>290</v>
      </c>
      <c r="P28" t="s">
        <v>290</v>
      </c>
      <c r="Q28" t="b">
        <f t="shared" si="0"/>
        <v>1</v>
      </c>
    </row>
    <row r="29" spans="1:17" ht="30" customHeight="1" x14ac:dyDescent="0.25">
      <c r="A29" s="114">
        <v>23</v>
      </c>
      <c r="B29" s="111" t="s">
        <v>46</v>
      </c>
      <c r="C29" s="135" t="s">
        <v>91</v>
      </c>
      <c r="D29" s="135"/>
      <c r="E29" s="135"/>
      <c r="F29" s="135"/>
      <c r="G29" s="111" t="s">
        <v>163</v>
      </c>
      <c r="H29" s="111" t="s">
        <v>73</v>
      </c>
      <c r="I29" s="111">
        <v>1150</v>
      </c>
      <c r="J29" s="42">
        <v>2</v>
      </c>
      <c r="K29" s="111" t="s">
        <v>145</v>
      </c>
      <c r="L29" s="42">
        <v>3</v>
      </c>
      <c r="M29" s="188" t="s">
        <v>143</v>
      </c>
      <c r="N29" s="191" t="s">
        <v>303</v>
      </c>
      <c r="O29" s="191" t="s">
        <v>304</v>
      </c>
      <c r="P29" t="s">
        <v>304</v>
      </c>
      <c r="Q29" t="b">
        <f t="shared" si="0"/>
        <v>1</v>
      </c>
    </row>
    <row r="30" spans="1:17" ht="30" customHeight="1" x14ac:dyDescent="0.25">
      <c r="A30" s="114">
        <v>24</v>
      </c>
      <c r="B30" s="111" t="s">
        <v>47</v>
      </c>
      <c r="C30" s="135" t="s">
        <v>71</v>
      </c>
      <c r="D30" s="135"/>
      <c r="E30" s="135"/>
      <c r="F30" s="135"/>
      <c r="G30" s="111" t="s">
        <v>162</v>
      </c>
      <c r="H30" s="111" t="s">
        <v>85</v>
      </c>
      <c r="I30" s="111">
        <v>895</v>
      </c>
      <c r="J30" s="42">
        <v>3</v>
      </c>
      <c r="K30" s="111" t="s">
        <v>142</v>
      </c>
      <c r="L30" s="42">
        <v>12</v>
      </c>
      <c r="M30" s="188" t="s">
        <v>170</v>
      </c>
      <c r="N30" s="191" t="s">
        <v>319</v>
      </c>
      <c r="O30" s="191" t="s">
        <v>285</v>
      </c>
      <c r="P30" t="s">
        <v>285</v>
      </c>
      <c r="Q30" t="b">
        <f t="shared" si="0"/>
        <v>1</v>
      </c>
    </row>
    <row r="31" spans="1:17" ht="30" customHeight="1" x14ac:dyDescent="0.25">
      <c r="A31" s="114">
        <v>25</v>
      </c>
      <c r="B31" s="111" t="s">
        <v>48</v>
      </c>
      <c r="C31" s="135" t="s">
        <v>71</v>
      </c>
      <c r="D31" s="135"/>
      <c r="E31" s="135"/>
      <c r="F31" s="135"/>
      <c r="G31" s="111" t="s">
        <v>162</v>
      </c>
      <c r="H31" s="111" t="s">
        <v>73</v>
      </c>
      <c r="I31" s="111">
        <v>895</v>
      </c>
      <c r="J31" s="102">
        <v>12</v>
      </c>
      <c r="K31" s="41" t="s">
        <v>170</v>
      </c>
      <c r="L31" s="42">
        <v>3</v>
      </c>
      <c r="M31" s="188" t="s">
        <v>142</v>
      </c>
      <c r="N31" s="191" t="s">
        <v>297</v>
      </c>
      <c r="O31" s="191" t="s">
        <v>298</v>
      </c>
      <c r="P31" t="s">
        <v>298</v>
      </c>
      <c r="Q31" t="b">
        <f t="shared" si="0"/>
        <v>1</v>
      </c>
    </row>
    <row r="32" spans="1:17" ht="30" customHeight="1" x14ac:dyDescent="0.25">
      <c r="A32" s="114">
        <v>26</v>
      </c>
      <c r="B32" s="111" t="s">
        <v>86</v>
      </c>
      <c r="C32" s="135" t="s">
        <v>91</v>
      </c>
      <c r="D32" s="135"/>
      <c r="E32" s="135"/>
      <c r="F32" s="135"/>
      <c r="G32" s="111" t="s">
        <v>163</v>
      </c>
      <c r="H32" s="111" t="s">
        <v>85</v>
      </c>
      <c r="I32" s="111">
        <v>1735</v>
      </c>
      <c r="J32" s="102">
        <v>12</v>
      </c>
      <c r="K32" s="41" t="s">
        <v>165</v>
      </c>
      <c r="L32" s="42">
        <v>3</v>
      </c>
      <c r="M32" s="188" t="s">
        <v>141</v>
      </c>
      <c r="N32" s="191" t="s">
        <v>320</v>
      </c>
      <c r="O32" s="191" t="s">
        <v>292</v>
      </c>
      <c r="P32" t="s">
        <v>292</v>
      </c>
      <c r="Q32" t="b">
        <f t="shared" si="0"/>
        <v>1</v>
      </c>
    </row>
    <row r="33" spans="1:17" ht="30" customHeight="1" x14ac:dyDescent="0.25">
      <c r="A33" s="114">
        <v>27</v>
      </c>
      <c r="B33" s="111" t="s">
        <v>87</v>
      </c>
      <c r="C33" s="135" t="s">
        <v>71</v>
      </c>
      <c r="D33" s="135"/>
      <c r="E33" s="135"/>
      <c r="F33" s="135"/>
      <c r="G33" s="111" t="s">
        <v>162</v>
      </c>
      <c r="H33" s="111" t="s">
        <v>88</v>
      </c>
      <c r="I33" s="111">
        <v>280</v>
      </c>
      <c r="J33" s="42">
        <v>3.5</v>
      </c>
      <c r="K33" s="111" t="s">
        <v>146</v>
      </c>
      <c r="L33" s="42">
        <v>7</v>
      </c>
      <c r="M33" s="188" t="s">
        <v>175</v>
      </c>
      <c r="N33" s="191" t="s">
        <v>321</v>
      </c>
      <c r="O33" s="191" t="s">
        <v>322</v>
      </c>
      <c r="P33" t="s">
        <v>322</v>
      </c>
      <c r="Q33" t="b">
        <f t="shared" si="0"/>
        <v>1</v>
      </c>
    </row>
    <row r="34" spans="1:17" ht="30" customHeight="1" x14ac:dyDescent="0.25">
      <c r="A34" s="114">
        <v>28</v>
      </c>
      <c r="B34" s="111" t="s">
        <v>89</v>
      </c>
      <c r="C34" s="135" t="s">
        <v>91</v>
      </c>
      <c r="D34" s="135"/>
      <c r="E34" s="135"/>
      <c r="F34" s="135"/>
      <c r="G34" s="111" t="s">
        <v>163</v>
      </c>
      <c r="H34" s="111" t="s">
        <v>82</v>
      </c>
      <c r="I34" s="111">
        <f>1010-20</f>
        <v>990</v>
      </c>
      <c r="J34" s="42">
        <v>2</v>
      </c>
      <c r="K34" s="111" t="s">
        <v>145</v>
      </c>
      <c r="L34" s="42">
        <v>7</v>
      </c>
      <c r="M34" s="190" t="s">
        <v>181</v>
      </c>
      <c r="N34" s="191" t="s">
        <v>323</v>
      </c>
      <c r="O34" s="191" t="s">
        <v>324</v>
      </c>
      <c r="P34" t="s">
        <v>324</v>
      </c>
      <c r="Q34" t="b">
        <f t="shared" si="0"/>
        <v>1</v>
      </c>
    </row>
    <row r="35" spans="1:17" ht="30" customHeight="1" x14ac:dyDescent="0.25">
      <c r="A35" s="114">
        <v>29</v>
      </c>
      <c r="B35" s="111" t="s">
        <v>49</v>
      </c>
      <c r="C35" s="135" t="s">
        <v>91</v>
      </c>
      <c r="D35" s="135"/>
      <c r="E35" s="135"/>
      <c r="F35" s="135"/>
      <c r="G35" s="111" t="s">
        <v>163</v>
      </c>
      <c r="H35" s="111" t="s">
        <v>82</v>
      </c>
      <c r="I35" s="111">
        <f>1580-20</f>
        <v>1560</v>
      </c>
      <c r="J35" s="42">
        <v>3.5</v>
      </c>
      <c r="K35" s="111" t="s">
        <v>150</v>
      </c>
      <c r="L35" s="42">
        <v>7</v>
      </c>
      <c r="M35" s="188" t="s">
        <v>169</v>
      </c>
      <c r="N35" s="191" t="s">
        <v>323</v>
      </c>
      <c r="O35" s="191" t="s">
        <v>324</v>
      </c>
      <c r="P35" t="s">
        <v>324</v>
      </c>
      <c r="Q35" t="b">
        <f t="shared" si="0"/>
        <v>1</v>
      </c>
    </row>
    <row r="36" spans="1:17" ht="30" customHeight="1" x14ac:dyDescent="0.25">
      <c r="A36" s="114">
        <v>30</v>
      </c>
      <c r="B36" s="111" t="s">
        <v>50</v>
      </c>
      <c r="C36" s="135" t="s">
        <v>91</v>
      </c>
      <c r="D36" s="135"/>
      <c r="E36" s="135"/>
      <c r="F36" s="135"/>
      <c r="G36" s="111" t="s">
        <v>163</v>
      </c>
      <c r="H36" s="111" t="s">
        <v>78</v>
      </c>
      <c r="I36" s="111">
        <f>1640-20</f>
        <v>1620</v>
      </c>
      <c r="J36" s="42">
        <v>3.5</v>
      </c>
      <c r="K36" s="111" t="s">
        <v>150</v>
      </c>
      <c r="L36" s="42">
        <v>7</v>
      </c>
      <c r="M36" s="188" t="s">
        <v>167</v>
      </c>
      <c r="N36" s="191" t="s">
        <v>325</v>
      </c>
      <c r="O36" s="191" t="s">
        <v>326</v>
      </c>
      <c r="P36" t="s">
        <v>326</v>
      </c>
      <c r="Q36" t="b">
        <f t="shared" si="0"/>
        <v>1</v>
      </c>
    </row>
    <row r="37" spans="1:17" ht="30" customHeight="1" x14ac:dyDescent="0.25">
      <c r="A37" s="114">
        <v>31</v>
      </c>
      <c r="B37" s="111" t="s">
        <v>51</v>
      </c>
      <c r="C37" s="135" t="s">
        <v>91</v>
      </c>
      <c r="D37" s="135"/>
      <c r="E37" s="135"/>
      <c r="F37" s="135"/>
      <c r="G37" s="111" t="s">
        <v>163</v>
      </c>
      <c r="H37" s="111" t="s">
        <v>19</v>
      </c>
      <c r="I37" s="111">
        <f>1020-20</f>
        <v>1000</v>
      </c>
      <c r="J37" s="42">
        <v>3.5</v>
      </c>
      <c r="K37" s="111" t="s">
        <v>150</v>
      </c>
      <c r="L37" s="42">
        <v>7</v>
      </c>
      <c r="M37" s="188" t="s">
        <v>171</v>
      </c>
      <c r="N37" s="191" t="s">
        <v>327</v>
      </c>
      <c r="O37" s="191" t="s">
        <v>328</v>
      </c>
      <c r="P37" t="s">
        <v>328</v>
      </c>
      <c r="Q37" t="b">
        <f t="shared" si="0"/>
        <v>1</v>
      </c>
    </row>
    <row r="38" spans="1:17" ht="30" customHeight="1" x14ac:dyDescent="0.25">
      <c r="A38" s="114">
        <v>32</v>
      </c>
      <c r="B38" s="111" t="s">
        <v>52</v>
      </c>
      <c r="C38" s="135" t="s">
        <v>91</v>
      </c>
      <c r="D38" s="135"/>
      <c r="E38" s="135"/>
      <c r="F38" s="135"/>
      <c r="G38" s="111" t="s">
        <v>163</v>
      </c>
      <c r="H38" s="111" t="s">
        <v>19</v>
      </c>
      <c r="I38" s="111">
        <v>1450</v>
      </c>
      <c r="J38" s="102">
        <v>7</v>
      </c>
      <c r="K38" s="44" t="s">
        <v>177</v>
      </c>
      <c r="L38" s="42">
        <v>3</v>
      </c>
      <c r="M38" s="188" t="s">
        <v>143</v>
      </c>
      <c r="N38" s="191" t="s">
        <v>327</v>
      </c>
      <c r="O38" s="191" t="s">
        <v>328</v>
      </c>
      <c r="P38" t="s">
        <v>328</v>
      </c>
      <c r="Q38" t="b">
        <f t="shared" si="0"/>
        <v>1</v>
      </c>
    </row>
    <row r="39" spans="1:17" ht="30" customHeight="1" x14ac:dyDescent="0.25">
      <c r="A39" s="114">
        <v>33</v>
      </c>
      <c r="B39" s="111" t="s">
        <v>53</v>
      </c>
      <c r="C39" s="135" t="s">
        <v>91</v>
      </c>
      <c r="D39" s="135"/>
      <c r="E39" s="135"/>
      <c r="F39" s="135"/>
      <c r="G39" s="111" t="s">
        <v>163</v>
      </c>
      <c r="H39" s="111" t="s">
        <v>78</v>
      </c>
      <c r="I39" s="111">
        <v>1210</v>
      </c>
      <c r="J39" s="102">
        <v>7</v>
      </c>
      <c r="K39" s="44" t="s">
        <v>178</v>
      </c>
      <c r="L39" s="42">
        <v>3</v>
      </c>
      <c r="M39" s="189" t="s">
        <v>143</v>
      </c>
      <c r="N39" s="191" t="s">
        <v>325</v>
      </c>
      <c r="O39" s="191" t="s">
        <v>326</v>
      </c>
      <c r="P39" t="s">
        <v>326</v>
      </c>
      <c r="Q39" t="b">
        <f t="shared" si="0"/>
        <v>1</v>
      </c>
    </row>
    <row r="40" spans="1:17" ht="30" customHeight="1" x14ac:dyDescent="0.25">
      <c r="A40" s="114">
        <v>34</v>
      </c>
      <c r="B40" s="111" t="s">
        <v>54</v>
      </c>
      <c r="C40" s="135" t="s">
        <v>91</v>
      </c>
      <c r="D40" s="135"/>
      <c r="E40" s="135"/>
      <c r="F40" s="135"/>
      <c r="G40" s="111" t="s">
        <v>163</v>
      </c>
      <c r="H40" s="111" t="s">
        <v>82</v>
      </c>
      <c r="I40" s="111">
        <v>1140</v>
      </c>
      <c r="J40" s="102">
        <v>7</v>
      </c>
      <c r="K40" s="44" t="s">
        <v>179</v>
      </c>
      <c r="L40" s="42">
        <v>3</v>
      </c>
      <c r="M40" s="188" t="s">
        <v>143</v>
      </c>
      <c r="N40" s="191" t="s">
        <v>323</v>
      </c>
      <c r="O40" s="191" t="s">
        <v>324</v>
      </c>
      <c r="P40" t="s">
        <v>324</v>
      </c>
      <c r="Q40" t="b">
        <f t="shared" si="0"/>
        <v>1</v>
      </c>
    </row>
    <row r="41" spans="1:17" ht="30" customHeight="1" x14ac:dyDescent="0.25">
      <c r="A41" s="114">
        <v>35</v>
      </c>
      <c r="B41" s="111" t="s">
        <v>55</v>
      </c>
      <c r="C41" s="135" t="s">
        <v>91</v>
      </c>
      <c r="D41" s="135"/>
      <c r="E41" s="135"/>
      <c r="F41" s="135"/>
      <c r="G41" s="111" t="s">
        <v>163</v>
      </c>
      <c r="H41" s="111" t="s">
        <v>80</v>
      </c>
      <c r="I41" s="111">
        <v>1000</v>
      </c>
      <c r="J41" s="42">
        <v>5</v>
      </c>
      <c r="K41" s="111" t="s">
        <v>149</v>
      </c>
      <c r="L41" s="42">
        <v>2</v>
      </c>
      <c r="M41" s="188" t="s">
        <v>145</v>
      </c>
      <c r="N41" s="191" t="s">
        <v>309</v>
      </c>
      <c r="O41" s="191" t="s">
        <v>310</v>
      </c>
      <c r="P41" t="s">
        <v>310</v>
      </c>
      <c r="Q41" t="b">
        <f t="shared" si="0"/>
        <v>1</v>
      </c>
    </row>
    <row r="42" spans="1:17" ht="30" customHeight="1" x14ac:dyDescent="0.25">
      <c r="A42" s="114">
        <v>36</v>
      </c>
      <c r="B42" s="111" t="s">
        <v>56</v>
      </c>
      <c r="C42" s="135" t="s">
        <v>91</v>
      </c>
      <c r="D42" s="135"/>
      <c r="E42" s="135"/>
      <c r="F42" s="135"/>
      <c r="G42" s="111" t="s">
        <v>163</v>
      </c>
      <c r="H42" s="41" t="s">
        <v>173</v>
      </c>
      <c r="I42" s="111">
        <v>1000</v>
      </c>
      <c r="J42" s="42">
        <v>2</v>
      </c>
      <c r="K42" s="111" t="s">
        <v>145</v>
      </c>
      <c r="L42" s="42">
        <v>5</v>
      </c>
      <c r="M42" s="188" t="s">
        <v>149</v>
      </c>
      <c r="N42" s="191" t="s">
        <v>318</v>
      </c>
      <c r="O42" s="191" t="s">
        <v>290</v>
      </c>
      <c r="P42" t="s">
        <v>290</v>
      </c>
      <c r="Q42" t="b">
        <f t="shared" si="0"/>
        <v>1</v>
      </c>
    </row>
    <row r="43" spans="1:17" ht="30" customHeight="1" x14ac:dyDescent="0.25">
      <c r="A43" s="114">
        <v>37</v>
      </c>
      <c r="B43" s="111" t="s">
        <v>57</v>
      </c>
      <c r="C43" s="135" t="s">
        <v>91</v>
      </c>
      <c r="D43" s="135"/>
      <c r="E43" s="135"/>
      <c r="F43" s="135"/>
      <c r="G43" s="111" t="s">
        <v>163</v>
      </c>
      <c r="H43" s="111" t="s">
        <v>82</v>
      </c>
      <c r="I43" s="111">
        <v>1270</v>
      </c>
      <c r="J43" s="42">
        <v>3</v>
      </c>
      <c r="K43" s="111" t="s">
        <v>143</v>
      </c>
      <c r="L43" s="42">
        <v>2</v>
      </c>
      <c r="M43" s="188" t="s">
        <v>145</v>
      </c>
      <c r="N43" s="191" t="s">
        <v>323</v>
      </c>
      <c r="O43" s="191" t="s">
        <v>324</v>
      </c>
      <c r="P43" t="s">
        <v>324</v>
      </c>
      <c r="Q43" t="b">
        <f t="shared" si="0"/>
        <v>1</v>
      </c>
    </row>
    <row r="44" spans="1:17" ht="30" customHeight="1" x14ac:dyDescent="0.25">
      <c r="A44" s="114">
        <v>38</v>
      </c>
      <c r="B44" s="111" t="s">
        <v>58</v>
      </c>
      <c r="C44" s="135" t="s">
        <v>91</v>
      </c>
      <c r="D44" s="135"/>
      <c r="E44" s="135"/>
      <c r="F44" s="135"/>
      <c r="G44" s="111" t="s">
        <v>163</v>
      </c>
      <c r="H44" s="111" t="s">
        <v>90</v>
      </c>
      <c r="I44" s="111">
        <v>1270</v>
      </c>
      <c r="J44" s="42">
        <v>2</v>
      </c>
      <c r="K44" s="111" t="s">
        <v>145</v>
      </c>
      <c r="L44" s="42">
        <v>3</v>
      </c>
      <c r="M44" s="188" t="s">
        <v>143</v>
      </c>
      <c r="N44" s="191" t="s">
        <v>329</v>
      </c>
      <c r="O44" s="191" t="s">
        <v>287</v>
      </c>
      <c r="P44" t="s">
        <v>287</v>
      </c>
      <c r="Q44" t="b">
        <f t="shared" si="0"/>
        <v>1</v>
      </c>
    </row>
    <row r="45" spans="1:17" ht="30" customHeight="1" x14ac:dyDescent="0.25">
      <c r="A45" s="114">
        <v>39</v>
      </c>
      <c r="B45" s="111" t="s">
        <v>70</v>
      </c>
      <c r="C45" s="135" t="s">
        <v>91</v>
      </c>
      <c r="D45" s="135"/>
      <c r="E45" s="135"/>
      <c r="F45" s="135"/>
      <c r="G45" s="111" t="s">
        <v>163</v>
      </c>
      <c r="H45" s="111" t="s">
        <v>81</v>
      </c>
      <c r="I45" s="111">
        <v>1400</v>
      </c>
      <c r="J45" s="42">
        <v>3</v>
      </c>
      <c r="K45" s="111" t="s">
        <v>143</v>
      </c>
      <c r="L45" s="42">
        <v>2</v>
      </c>
      <c r="M45" s="188" t="s">
        <v>145</v>
      </c>
      <c r="N45" s="191" t="s">
        <v>311</v>
      </c>
      <c r="O45" s="191" t="s">
        <v>286</v>
      </c>
      <c r="P45" t="s">
        <v>286</v>
      </c>
      <c r="Q45" t="b">
        <f t="shared" si="0"/>
        <v>1</v>
      </c>
    </row>
    <row r="46" spans="1:17" ht="30" customHeight="1" x14ac:dyDescent="0.25">
      <c r="A46" s="114">
        <v>40</v>
      </c>
      <c r="B46" s="111" t="s">
        <v>59</v>
      </c>
      <c r="C46" s="135" t="s">
        <v>91</v>
      </c>
      <c r="D46" s="135"/>
      <c r="E46" s="135"/>
      <c r="F46" s="135"/>
      <c r="G46" s="111" t="s">
        <v>163</v>
      </c>
      <c r="H46" s="111" t="s">
        <v>92</v>
      </c>
      <c r="I46" s="111">
        <v>820</v>
      </c>
      <c r="J46" s="42">
        <v>5</v>
      </c>
      <c r="K46" s="111" t="s">
        <v>151</v>
      </c>
      <c r="L46" s="42">
        <v>2</v>
      </c>
      <c r="M46" s="188" t="s">
        <v>145</v>
      </c>
      <c r="N46" s="191" t="s">
        <v>330</v>
      </c>
      <c r="O46" s="191" t="s">
        <v>349</v>
      </c>
      <c r="P46" t="s">
        <v>291</v>
      </c>
      <c r="Q46" t="b">
        <f t="shared" si="0"/>
        <v>0</v>
      </c>
    </row>
    <row r="47" spans="1:17" ht="30" customHeight="1" x14ac:dyDescent="0.25">
      <c r="A47" s="114">
        <v>41</v>
      </c>
      <c r="B47" s="111" t="s">
        <v>60</v>
      </c>
      <c r="C47" s="135" t="s">
        <v>91</v>
      </c>
      <c r="D47" s="135"/>
      <c r="E47" s="135"/>
      <c r="F47" s="135"/>
      <c r="G47" s="111" t="s">
        <v>163</v>
      </c>
      <c r="H47" s="111" t="s">
        <v>93</v>
      </c>
      <c r="I47" s="111">
        <v>820</v>
      </c>
      <c r="J47" s="42">
        <v>2</v>
      </c>
      <c r="K47" s="111" t="s">
        <v>145</v>
      </c>
      <c r="L47" s="42">
        <v>5</v>
      </c>
      <c r="M47" s="188" t="s">
        <v>149</v>
      </c>
      <c r="N47" s="191" t="s">
        <v>331</v>
      </c>
      <c r="O47" s="191" t="s">
        <v>332</v>
      </c>
      <c r="P47" t="s">
        <v>332</v>
      </c>
      <c r="Q47" t="b">
        <f t="shared" si="0"/>
        <v>1</v>
      </c>
    </row>
    <row r="48" spans="1:17" ht="30" customHeight="1" x14ac:dyDescent="0.25">
      <c r="A48" s="114">
        <v>42</v>
      </c>
      <c r="B48" s="111" t="s">
        <v>61</v>
      </c>
      <c r="C48" s="135" t="s">
        <v>91</v>
      </c>
      <c r="D48" s="135"/>
      <c r="E48" s="135"/>
      <c r="F48" s="135"/>
      <c r="G48" s="111" t="s">
        <v>163</v>
      </c>
      <c r="H48" s="111" t="s">
        <v>90</v>
      </c>
      <c r="I48" s="111">
        <f>1675-20</f>
        <v>1655</v>
      </c>
      <c r="J48" s="42">
        <v>3.5</v>
      </c>
      <c r="K48" s="111" t="s">
        <v>152</v>
      </c>
      <c r="L48" s="42">
        <v>2</v>
      </c>
      <c r="M48" s="188" t="s">
        <v>153</v>
      </c>
      <c r="N48" s="191" t="s">
        <v>329</v>
      </c>
      <c r="O48" s="191" t="s">
        <v>287</v>
      </c>
      <c r="P48" t="s">
        <v>287</v>
      </c>
      <c r="Q48" t="b">
        <f t="shared" si="0"/>
        <v>1</v>
      </c>
    </row>
    <row r="49" spans="1:17" ht="30" customHeight="1" x14ac:dyDescent="0.25">
      <c r="A49" s="114">
        <v>43</v>
      </c>
      <c r="B49" s="111" t="s">
        <v>62</v>
      </c>
      <c r="C49" s="135" t="s">
        <v>91</v>
      </c>
      <c r="D49" s="135"/>
      <c r="E49" s="135"/>
      <c r="F49" s="135"/>
      <c r="G49" s="111" t="s">
        <v>163</v>
      </c>
      <c r="H49" s="111" t="s">
        <v>94</v>
      </c>
      <c r="I49" s="111">
        <f>1675-20</f>
        <v>1655</v>
      </c>
      <c r="J49" s="42">
        <v>2</v>
      </c>
      <c r="K49" s="111" t="s">
        <v>153</v>
      </c>
      <c r="L49" s="42">
        <v>3.5</v>
      </c>
      <c r="M49" s="188" t="s">
        <v>152</v>
      </c>
      <c r="N49" s="191" t="s">
        <v>333</v>
      </c>
      <c r="O49" s="191" t="s">
        <v>293</v>
      </c>
      <c r="P49" t="s">
        <v>293</v>
      </c>
      <c r="Q49" t="b">
        <f t="shared" si="0"/>
        <v>1</v>
      </c>
    </row>
    <row r="50" spans="1:17" ht="30" customHeight="1" x14ac:dyDescent="0.25">
      <c r="A50" s="114">
        <v>44</v>
      </c>
      <c r="B50" s="111" t="s">
        <v>63</v>
      </c>
      <c r="C50" s="135" t="s">
        <v>91</v>
      </c>
      <c r="D50" s="135"/>
      <c r="E50" s="135"/>
      <c r="F50" s="135"/>
      <c r="G50" s="111" t="s">
        <v>163</v>
      </c>
      <c r="H50" s="111" t="s">
        <v>95</v>
      </c>
      <c r="I50" s="111">
        <f>1675-20</f>
        <v>1655</v>
      </c>
      <c r="J50" s="42">
        <v>2</v>
      </c>
      <c r="K50" s="111" t="s">
        <v>153</v>
      </c>
      <c r="L50" s="42">
        <v>3.5</v>
      </c>
      <c r="M50" s="188" t="s">
        <v>152</v>
      </c>
      <c r="N50" s="191" t="s">
        <v>334</v>
      </c>
      <c r="O50" s="191" t="s">
        <v>294</v>
      </c>
      <c r="P50" t="s">
        <v>294</v>
      </c>
      <c r="Q50" t="b">
        <f t="shared" si="0"/>
        <v>1</v>
      </c>
    </row>
    <row r="51" spans="1:17" ht="30" customHeight="1" x14ac:dyDescent="0.25">
      <c r="A51" s="114">
        <v>45</v>
      </c>
      <c r="B51" s="111" t="s">
        <v>64</v>
      </c>
      <c r="C51" s="135" t="s">
        <v>91</v>
      </c>
      <c r="D51" s="135"/>
      <c r="E51" s="135"/>
      <c r="F51" s="135"/>
      <c r="G51" s="111" t="s">
        <v>163</v>
      </c>
      <c r="H51" s="111" t="s">
        <v>83</v>
      </c>
      <c r="I51" s="111">
        <f>1675-20</f>
        <v>1655</v>
      </c>
      <c r="J51" s="42">
        <v>3.5</v>
      </c>
      <c r="K51" s="111" t="s">
        <v>152</v>
      </c>
      <c r="L51" s="42">
        <v>2</v>
      </c>
      <c r="M51" s="188" t="s">
        <v>153</v>
      </c>
      <c r="N51" s="191" t="s">
        <v>314</v>
      </c>
      <c r="O51" s="191" t="s">
        <v>282</v>
      </c>
      <c r="P51" t="s">
        <v>282</v>
      </c>
      <c r="Q51" t="b">
        <f t="shared" si="0"/>
        <v>1</v>
      </c>
    </row>
    <row r="52" spans="1:17" ht="30" customHeight="1" x14ac:dyDescent="0.25">
      <c r="A52" s="114">
        <v>46</v>
      </c>
      <c r="B52" s="111" t="s">
        <v>65</v>
      </c>
      <c r="C52" s="135" t="s">
        <v>91</v>
      </c>
      <c r="D52" s="135"/>
      <c r="E52" s="135"/>
      <c r="F52" s="135"/>
      <c r="G52" s="111" t="s">
        <v>163</v>
      </c>
      <c r="H52" s="111" t="s">
        <v>96</v>
      </c>
      <c r="I52" s="111">
        <f>385-15</f>
        <v>370</v>
      </c>
      <c r="J52" s="102">
        <v>7</v>
      </c>
      <c r="K52" s="41" t="s">
        <v>191</v>
      </c>
      <c r="L52" s="42">
        <v>3</v>
      </c>
      <c r="M52" s="188" t="s">
        <v>154</v>
      </c>
      <c r="N52" s="191" t="s">
        <v>335</v>
      </c>
      <c r="O52" s="191" t="s">
        <v>336</v>
      </c>
      <c r="P52" t="s">
        <v>336</v>
      </c>
      <c r="Q52" t="b">
        <f t="shared" si="0"/>
        <v>1</v>
      </c>
    </row>
    <row r="53" spans="1:17" ht="30" customHeight="1" x14ac:dyDescent="0.25">
      <c r="A53" s="114">
        <v>47</v>
      </c>
      <c r="B53" s="111" t="s">
        <v>97</v>
      </c>
      <c r="C53" s="135" t="s">
        <v>91</v>
      </c>
      <c r="D53" s="135"/>
      <c r="E53" s="135"/>
      <c r="F53" s="135"/>
      <c r="G53" s="111" t="s">
        <v>163</v>
      </c>
      <c r="H53" s="111" t="s">
        <v>78</v>
      </c>
      <c r="I53" s="111">
        <f>920-10</f>
        <v>910</v>
      </c>
      <c r="J53" s="42">
        <v>3</v>
      </c>
      <c r="K53" s="111" t="s">
        <v>154</v>
      </c>
      <c r="L53" s="42">
        <v>2</v>
      </c>
      <c r="M53" s="189" t="s">
        <v>145</v>
      </c>
      <c r="N53" s="191" t="s">
        <v>325</v>
      </c>
      <c r="O53" s="191" t="s">
        <v>326</v>
      </c>
      <c r="P53" t="s">
        <v>326</v>
      </c>
      <c r="Q53" t="b">
        <f t="shared" si="0"/>
        <v>1</v>
      </c>
    </row>
    <row r="54" spans="1:17" ht="30" customHeight="1" x14ac:dyDescent="0.25">
      <c r="A54" s="114">
        <v>48</v>
      </c>
      <c r="B54" s="111" t="s">
        <v>98</v>
      </c>
      <c r="C54" s="135" t="s">
        <v>71</v>
      </c>
      <c r="D54" s="135"/>
      <c r="E54" s="135"/>
      <c r="F54" s="135"/>
      <c r="G54" s="111" t="s">
        <v>162</v>
      </c>
      <c r="H54" s="111" t="s">
        <v>19</v>
      </c>
      <c r="I54" s="111">
        <v>280</v>
      </c>
      <c r="J54" s="42">
        <v>3.5</v>
      </c>
      <c r="K54" s="111" t="s">
        <v>146</v>
      </c>
      <c r="L54" s="70">
        <v>7</v>
      </c>
      <c r="M54" s="188" t="s">
        <v>180</v>
      </c>
      <c r="N54" s="191" t="s">
        <v>295</v>
      </c>
      <c r="O54" s="191" t="s">
        <v>296</v>
      </c>
      <c r="P54" t="s">
        <v>296</v>
      </c>
      <c r="Q54" t="b">
        <f t="shared" si="0"/>
        <v>1</v>
      </c>
    </row>
    <row r="55" spans="1:17" ht="30" customHeight="1" x14ac:dyDescent="0.25">
      <c r="A55" s="114">
        <v>49</v>
      </c>
      <c r="B55" s="111" t="s">
        <v>66</v>
      </c>
      <c r="C55" s="135" t="s">
        <v>91</v>
      </c>
      <c r="D55" s="135"/>
      <c r="E55" s="135"/>
      <c r="F55" s="135"/>
      <c r="G55" s="111" t="s">
        <v>163</v>
      </c>
      <c r="H55" s="111" t="s">
        <v>19</v>
      </c>
      <c r="I55" s="111">
        <v>820</v>
      </c>
      <c r="J55" s="102">
        <v>7</v>
      </c>
      <c r="K55" s="44" t="s">
        <v>177</v>
      </c>
      <c r="L55" s="42">
        <v>3</v>
      </c>
      <c r="M55" s="189" t="s">
        <v>143</v>
      </c>
      <c r="N55" s="191" t="s">
        <v>327</v>
      </c>
      <c r="O55" s="191" t="s">
        <v>328</v>
      </c>
      <c r="P55" t="s">
        <v>328</v>
      </c>
      <c r="Q55" t="b">
        <f t="shared" si="0"/>
        <v>1</v>
      </c>
    </row>
    <row r="56" spans="1:17" ht="30" customHeight="1" x14ac:dyDescent="0.25">
      <c r="A56" s="114">
        <v>50</v>
      </c>
      <c r="B56" s="111" t="s">
        <v>67</v>
      </c>
      <c r="C56" s="135" t="s">
        <v>91</v>
      </c>
      <c r="D56" s="135"/>
      <c r="E56" s="135"/>
      <c r="F56" s="135"/>
      <c r="G56" s="111" t="s">
        <v>163</v>
      </c>
      <c r="H56" s="111" t="s">
        <v>78</v>
      </c>
      <c r="I56" s="111">
        <v>205</v>
      </c>
      <c r="J56" s="102">
        <v>7</v>
      </c>
      <c r="K56" s="44" t="s">
        <v>178</v>
      </c>
      <c r="L56" s="42">
        <v>3</v>
      </c>
      <c r="M56" s="189" t="s">
        <v>143</v>
      </c>
      <c r="N56" s="191" t="s">
        <v>325</v>
      </c>
      <c r="O56" s="191" t="s">
        <v>326</v>
      </c>
      <c r="P56" t="s">
        <v>326</v>
      </c>
      <c r="Q56" t="b">
        <f t="shared" si="0"/>
        <v>1</v>
      </c>
    </row>
    <row r="57" spans="1:17" ht="30" customHeight="1" x14ac:dyDescent="0.25">
      <c r="A57" s="114">
        <v>51</v>
      </c>
      <c r="B57" s="111" t="s">
        <v>68</v>
      </c>
      <c r="C57" s="135" t="s">
        <v>91</v>
      </c>
      <c r="D57" s="135"/>
      <c r="E57" s="135"/>
      <c r="F57" s="135"/>
      <c r="G57" s="111" t="s">
        <v>163</v>
      </c>
      <c r="H57" s="111" t="s">
        <v>82</v>
      </c>
      <c r="I57" s="111">
        <v>260</v>
      </c>
      <c r="J57" s="42">
        <v>3</v>
      </c>
      <c r="K57" s="111" t="s">
        <v>143</v>
      </c>
      <c r="L57" s="42">
        <v>7</v>
      </c>
      <c r="M57" s="188" t="s">
        <v>179</v>
      </c>
      <c r="N57" s="191" t="s">
        <v>323</v>
      </c>
      <c r="O57" s="191" t="s">
        <v>324</v>
      </c>
      <c r="P57" t="s">
        <v>324</v>
      </c>
      <c r="Q57" t="b">
        <f t="shared" si="0"/>
        <v>1</v>
      </c>
    </row>
    <row r="58" spans="1:17" ht="30" customHeight="1" x14ac:dyDescent="0.25">
      <c r="A58" s="114">
        <v>52</v>
      </c>
      <c r="B58" s="111" t="s">
        <v>69</v>
      </c>
      <c r="C58" s="135" t="s">
        <v>91</v>
      </c>
      <c r="D58" s="135"/>
      <c r="E58" s="135"/>
      <c r="F58" s="135"/>
      <c r="G58" s="111" t="s">
        <v>163</v>
      </c>
      <c r="H58" s="111" t="s">
        <v>82</v>
      </c>
      <c r="I58" s="111">
        <v>1380</v>
      </c>
      <c r="J58" s="42">
        <v>3</v>
      </c>
      <c r="K58" s="111" t="s">
        <v>155</v>
      </c>
      <c r="L58" s="42">
        <v>7</v>
      </c>
      <c r="M58" s="190" t="s">
        <v>176</v>
      </c>
      <c r="N58" s="191" t="s">
        <v>323</v>
      </c>
      <c r="O58" s="191" t="s">
        <v>324</v>
      </c>
      <c r="P58" t="s">
        <v>324</v>
      </c>
      <c r="Q58" t="b">
        <f t="shared" si="0"/>
        <v>1</v>
      </c>
    </row>
    <row r="59" spans="1:17" ht="30" customHeight="1" x14ac:dyDescent="0.25">
      <c r="A59" s="114">
        <v>53</v>
      </c>
      <c r="B59" s="111" t="s">
        <v>99</v>
      </c>
      <c r="C59" s="135" t="s">
        <v>91</v>
      </c>
      <c r="D59" s="135"/>
      <c r="E59" s="135"/>
      <c r="F59" s="135"/>
      <c r="G59" s="111" t="s">
        <v>163</v>
      </c>
      <c r="H59" s="111" t="s">
        <v>79</v>
      </c>
      <c r="I59" s="111">
        <v>1375</v>
      </c>
      <c r="J59" s="42">
        <v>3</v>
      </c>
      <c r="K59" s="111" t="s">
        <v>155</v>
      </c>
      <c r="L59" s="42">
        <v>7</v>
      </c>
      <c r="M59" s="188" t="s">
        <v>182</v>
      </c>
      <c r="N59" s="191" t="s">
        <v>307</v>
      </c>
      <c r="O59" s="191" t="s">
        <v>308</v>
      </c>
      <c r="P59" t="s">
        <v>308</v>
      </c>
      <c r="Q59" t="b">
        <f t="shared" si="0"/>
        <v>1</v>
      </c>
    </row>
    <row r="60" spans="1:17" ht="30" customHeight="1" x14ac:dyDescent="0.25">
      <c r="A60" s="114">
        <v>54</v>
      </c>
      <c r="B60" s="111" t="s">
        <v>20</v>
      </c>
      <c r="C60" s="135" t="s">
        <v>71</v>
      </c>
      <c r="D60" s="135"/>
      <c r="E60" s="135"/>
      <c r="F60" s="135"/>
      <c r="G60" s="111" t="s">
        <v>162</v>
      </c>
      <c r="H60" s="111" t="s">
        <v>84</v>
      </c>
      <c r="I60" s="116">
        <f>420+10</f>
        <v>430</v>
      </c>
      <c r="J60" s="70">
        <v>4.8</v>
      </c>
      <c r="K60" s="111" t="s">
        <v>147</v>
      </c>
      <c r="L60" s="101">
        <v>11</v>
      </c>
      <c r="M60" s="188" t="s">
        <v>172</v>
      </c>
      <c r="N60" s="191" t="s">
        <v>317</v>
      </c>
      <c r="O60" s="191" t="s">
        <v>284</v>
      </c>
      <c r="P60" t="s">
        <v>284</v>
      </c>
      <c r="Q60" t="b">
        <f t="shared" si="0"/>
        <v>1</v>
      </c>
    </row>
    <row r="61" spans="1:17" ht="30" customHeight="1" x14ac:dyDescent="0.25">
      <c r="A61" s="114">
        <v>55</v>
      </c>
      <c r="B61" s="111" t="s">
        <v>100</v>
      </c>
      <c r="C61" s="135" t="s">
        <v>91</v>
      </c>
      <c r="D61" s="135"/>
      <c r="E61" s="135"/>
      <c r="F61" s="135"/>
      <c r="G61" s="111" t="s">
        <v>163</v>
      </c>
      <c r="H61" s="111" t="s">
        <v>96</v>
      </c>
      <c r="I61" s="111">
        <f>1675-20</f>
        <v>1655</v>
      </c>
      <c r="J61" s="42">
        <v>3.5</v>
      </c>
      <c r="K61" s="111" t="s">
        <v>152</v>
      </c>
      <c r="L61" s="42">
        <v>2</v>
      </c>
      <c r="M61" s="188" t="s">
        <v>153</v>
      </c>
      <c r="N61" s="191" t="s">
        <v>335</v>
      </c>
      <c r="O61" s="191" t="s">
        <v>336</v>
      </c>
      <c r="P61" t="s">
        <v>336</v>
      </c>
      <c r="Q61" t="b">
        <f t="shared" si="0"/>
        <v>1</v>
      </c>
    </row>
    <row r="62" spans="1:17" ht="30" customHeight="1" x14ac:dyDescent="0.25">
      <c r="A62" s="114">
        <v>56</v>
      </c>
      <c r="B62" s="111" t="s">
        <v>101</v>
      </c>
      <c r="C62" s="135" t="s">
        <v>76</v>
      </c>
      <c r="D62" s="135"/>
      <c r="E62" s="135"/>
      <c r="F62" s="135"/>
      <c r="G62" s="111" t="s">
        <v>159</v>
      </c>
      <c r="H62" s="111" t="s">
        <v>19</v>
      </c>
      <c r="I62" s="111">
        <v>1940</v>
      </c>
      <c r="J62" s="42">
        <v>3.5</v>
      </c>
      <c r="K62" s="111" t="s">
        <v>156</v>
      </c>
      <c r="L62" s="42">
        <v>7</v>
      </c>
      <c r="M62" s="188" t="s">
        <v>183</v>
      </c>
      <c r="N62" s="191" t="s">
        <v>315</v>
      </c>
      <c r="O62" s="191" t="s">
        <v>316</v>
      </c>
      <c r="P62" t="s">
        <v>316</v>
      </c>
      <c r="Q62" t="b">
        <f t="shared" si="0"/>
        <v>1</v>
      </c>
    </row>
    <row r="63" spans="1:17" ht="30" customHeight="1" x14ac:dyDescent="0.25">
      <c r="A63" s="114">
        <v>57</v>
      </c>
      <c r="B63" s="111" t="s">
        <v>102</v>
      </c>
      <c r="C63" s="135" t="s">
        <v>76</v>
      </c>
      <c r="D63" s="135"/>
      <c r="E63" s="135"/>
      <c r="F63" s="135"/>
      <c r="G63" s="111" t="s">
        <v>159</v>
      </c>
      <c r="H63" s="111" t="s">
        <v>19</v>
      </c>
      <c r="I63" s="111">
        <f>2465-15</f>
        <v>2450</v>
      </c>
      <c r="J63" s="42">
        <v>3</v>
      </c>
      <c r="K63" s="111">
        <v>39000040</v>
      </c>
      <c r="L63" s="42">
        <v>7</v>
      </c>
      <c r="M63" s="188" t="s">
        <v>183</v>
      </c>
      <c r="N63" s="191" t="s">
        <v>315</v>
      </c>
      <c r="O63" s="191" t="s">
        <v>316</v>
      </c>
      <c r="P63" t="s">
        <v>316</v>
      </c>
      <c r="Q63" t="b">
        <f t="shared" si="0"/>
        <v>1</v>
      </c>
    </row>
    <row r="64" spans="1:17" ht="30" customHeight="1" x14ac:dyDescent="0.25">
      <c r="A64" s="114">
        <v>58</v>
      </c>
      <c r="B64" s="111" t="s">
        <v>103</v>
      </c>
      <c r="C64" s="135" t="s">
        <v>76</v>
      </c>
      <c r="D64" s="135"/>
      <c r="E64" s="135"/>
      <c r="F64" s="135"/>
      <c r="G64" s="111" t="s">
        <v>159</v>
      </c>
      <c r="H64" s="111" t="s">
        <v>88</v>
      </c>
      <c r="I64" s="111">
        <v>1945</v>
      </c>
      <c r="J64" s="42">
        <v>3.5</v>
      </c>
      <c r="K64" s="111" t="s">
        <v>156</v>
      </c>
      <c r="L64" s="42">
        <v>7</v>
      </c>
      <c r="M64" s="188" t="s">
        <v>184</v>
      </c>
      <c r="N64" s="191" t="s">
        <v>337</v>
      </c>
      <c r="O64" s="191" t="s">
        <v>338</v>
      </c>
      <c r="P64" t="s">
        <v>338</v>
      </c>
      <c r="Q64" t="b">
        <f t="shared" si="0"/>
        <v>1</v>
      </c>
    </row>
    <row r="65" spans="1:17" ht="30" customHeight="1" x14ac:dyDescent="0.25">
      <c r="A65" s="114">
        <v>59</v>
      </c>
      <c r="B65" s="111" t="s">
        <v>104</v>
      </c>
      <c r="C65" s="135" t="s">
        <v>76</v>
      </c>
      <c r="D65" s="135"/>
      <c r="E65" s="135"/>
      <c r="F65" s="135"/>
      <c r="G65" s="111" t="s">
        <v>159</v>
      </c>
      <c r="H65" s="111" t="s">
        <v>88</v>
      </c>
      <c r="I65" s="111">
        <f>2480-30</f>
        <v>2450</v>
      </c>
      <c r="J65" s="102">
        <v>7</v>
      </c>
      <c r="K65" s="44" t="s">
        <v>184</v>
      </c>
      <c r="L65" s="42">
        <v>3</v>
      </c>
      <c r="M65" s="188">
        <v>39000040</v>
      </c>
      <c r="N65" s="191" t="s">
        <v>337</v>
      </c>
      <c r="O65" s="191" t="s">
        <v>338</v>
      </c>
      <c r="P65" t="s">
        <v>338</v>
      </c>
      <c r="Q65" t="b">
        <f t="shared" si="0"/>
        <v>1</v>
      </c>
    </row>
    <row r="66" spans="1:17" ht="30" customHeight="1" x14ac:dyDescent="0.25">
      <c r="A66" s="114">
        <v>60</v>
      </c>
      <c r="B66" s="111" t="s">
        <v>105</v>
      </c>
      <c r="C66" s="135" t="s">
        <v>91</v>
      </c>
      <c r="D66" s="135"/>
      <c r="E66" s="135"/>
      <c r="F66" s="135"/>
      <c r="G66" s="111" t="s">
        <v>163</v>
      </c>
      <c r="H66" s="111" t="s">
        <v>19</v>
      </c>
      <c r="I66" s="111">
        <f>1675-20</f>
        <v>1655</v>
      </c>
      <c r="J66" s="42">
        <v>3.5</v>
      </c>
      <c r="K66" s="111" t="s">
        <v>152</v>
      </c>
      <c r="L66" s="42">
        <v>2</v>
      </c>
      <c r="M66" s="188" t="s">
        <v>153</v>
      </c>
      <c r="N66" s="191" t="s">
        <v>327</v>
      </c>
      <c r="O66" s="191" t="s">
        <v>328</v>
      </c>
      <c r="P66" t="s">
        <v>328</v>
      </c>
      <c r="Q66" t="b">
        <f t="shared" si="0"/>
        <v>1</v>
      </c>
    </row>
    <row r="67" spans="1:17" ht="30" customHeight="1" x14ac:dyDescent="0.25">
      <c r="A67" s="114">
        <v>61</v>
      </c>
      <c r="B67" s="113" t="s">
        <v>106</v>
      </c>
      <c r="C67" s="141" t="s">
        <v>91</v>
      </c>
      <c r="D67" s="141"/>
      <c r="E67" s="141"/>
      <c r="F67" s="141"/>
      <c r="G67" s="113" t="s">
        <v>163</v>
      </c>
      <c r="H67" s="113" t="s">
        <v>96</v>
      </c>
      <c r="I67" s="111">
        <v>1825</v>
      </c>
      <c r="J67" s="42">
        <v>2</v>
      </c>
      <c r="K67" s="111" t="s">
        <v>145</v>
      </c>
      <c r="L67" s="42">
        <v>7</v>
      </c>
      <c r="M67" s="188" t="s">
        <v>201</v>
      </c>
      <c r="N67" s="191" t="s">
        <v>335</v>
      </c>
      <c r="O67" s="191" t="s">
        <v>336</v>
      </c>
      <c r="P67" t="s">
        <v>336</v>
      </c>
      <c r="Q67" t="b">
        <f t="shared" si="0"/>
        <v>1</v>
      </c>
    </row>
    <row r="68" spans="1:17" ht="30" customHeight="1" x14ac:dyDescent="0.25">
      <c r="A68" s="114">
        <v>62</v>
      </c>
      <c r="B68" s="113" t="s">
        <v>107</v>
      </c>
      <c r="C68" s="141" t="s">
        <v>91</v>
      </c>
      <c r="D68" s="141"/>
      <c r="E68" s="141"/>
      <c r="F68" s="141"/>
      <c r="G68" s="113" t="s">
        <v>163</v>
      </c>
      <c r="H68" s="113" t="s">
        <v>88</v>
      </c>
      <c r="I68" s="111">
        <v>1345</v>
      </c>
      <c r="J68" s="42">
        <v>3</v>
      </c>
      <c r="K68" s="111" t="s">
        <v>143</v>
      </c>
      <c r="L68" s="42">
        <v>3</v>
      </c>
      <c r="M68" s="189" t="s">
        <v>143</v>
      </c>
      <c r="N68" s="191" t="s">
        <v>339</v>
      </c>
      <c r="O68" s="191" t="s">
        <v>340</v>
      </c>
      <c r="P68" t="s">
        <v>340</v>
      </c>
      <c r="Q68" t="b">
        <f t="shared" si="0"/>
        <v>1</v>
      </c>
    </row>
    <row r="69" spans="1:17" ht="30" customHeight="1" x14ac:dyDescent="0.25">
      <c r="A69" s="114">
        <v>63</v>
      </c>
      <c r="B69" s="113" t="s">
        <v>108</v>
      </c>
      <c r="C69" s="135" t="s">
        <v>91</v>
      </c>
      <c r="D69" s="135"/>
      <c r="E69" s="135"/>
      <c r="F69" s="135"/>
      <c r="G69" s="113" t="s">
        <v>163</v>
      </c>
      <c r="H69" s="113" t="s">
        <v>96</v>
      </c>
      <c r="I69" s="111">
        <f>3010-25</f>
        <v>2985</v>
      </c>
      <c r="J69" s="42">
        <v>3</v>
      </c>
      <c r="K69" s="111" t="s">
        <v>143</v>
      </c>
      <c r="L69" s="42">
        <v>3</v>
      </c>
      <c r="M69" s="189" t="s">
        <v>154</v>
      </c>
      <c r="N69" s="191" t="s">
        <v>335</v>
      </c>
      <c r="O69" s="191" t="s">
        <v>336</v>
      </c>
      <c r="P69" t="s">
        <v>336</v>
      </c>
      <c r="Q69" t="b">
        <f t="shared" si="0"/>
        <v>1</v>
      </c>
    </row>
    <row r="70" spans="1:17" ht="30" customHeight="1" x14ac:dyDescent="0.25">
      <c r="A70" s="114">
        <v>64</v>
      </c>
      <c r="B70" s="113" t="s">
        <v>109</v>
      </c>
      <c r="C70" s="135" t="s">
        <v>91</v>
      </c>
      <c r="D70" s="135"/>
      <c r="E70" s="135"/>
      <c r="F70" s="135"/>
      <c r="G70" s="113" t="s">
        <v>163</v>
      </c>
      <c r="H70" s="113" t="s">
        <v>81</v>
      </c>
      <c r="I70" s="111">
        <f>1865-25</f>
        <v>1840</v>
      </c>
      <c r="J70" s="42">
        <v>3</v>
      </c>
      <c r="K70" s="111" t="s">
        <v>154</v>
      </c>
      <c r="L70" s="42">
        <v>2</v>
      </c>
      <c r="M70" s="189" t="s">
        <v>145</v>
      </c>
      <c r="N70" s="191" t="s">
        <v>311</v>
      </c>
      <c r="O70" s="191" t="s">
        <v>286</v>
      </c>
      <c r="P70" t="s">
        <v>286</v>
      </c>
      <c r="Q70" t="b">
        <f t="shared" si="0"/>
        <v>1</v>
      </c>
    </row>
    <row r="71" spans="1:17" ht="30" customHeight="1" x14ac:dyDescent="0.25">
      <c r="A71" s="114">
        <v>65</v>
      </c>
      <c r="B71" s="113" t="s">
        <v>110</v>
      </c>
      <c r="C71" s="135" t="s">
        <v>91</v>
      </c>
      <c r="D71" s="135"/>
      <c r="E71" s="135"/>
      <c r="F71" s="135"/>
      <c r="G71" s="111" t="s">
        <v>208</v>
      </c>
      <c r="H71" s="111" t="s">
        <v>192</v>
      </c>
      <c r="I71" s="45">
        <v>2550</v>
      </c>
      <c r="J71" s="42">
        <v>3.8</v>
      </c>
      <c r="K71" s="111" t="s">
        <v>209</v>
      </c>
      <c r="L71" s="42">
        <v>2</v>
      </c>
      <c r="M71" s="188" t="s">
        <v>145</v>
      </c>
      <c r="N71" s="191" t="s">
        <v>341</v>
      </c>
      <c r="O71" s="191" t="s">
        <v>342</v>
      </c>
      <c r="P71" t="s">
        <v>342</v>
      </c>
      <c r="Q71" t="b">
        <f t="shared" si="0"/>
        <v>1</v>
      </c>
    </row>
    <row r="72" spans="1:17" ht="30" customHeight="1" x14ac:dyDescent="0.25">
      <c r="A72" s="114">
        <v>66</v>
      </c>
      <c r="B72" s="113" t="s">
        <v>111</v>
      </c>
      <c r="C72" s="135" t="s">
        <v>91</v>
      </c>
      <c r="D72" s="135"/>
      <c r="E72" s="135"/>
      <c r="F72" s="135"/>
      <c r="G72" s="111" t="s">
        <v>163</v>
      </c>
      <c r="H72" s="113" t="s">
        <v>113</v>
      </c>
      <c r="I72" s="111">
        <v>455</v>
      </c>
      <c r="J72" s="42">
        <v>3</v>
      </c>
      <c r="K72" s="111" t="s">
        <v>143</v>
      </c>
      <c r="L72" s="42">
        <v>7</v>
      </c>
      <c r="M72" s="188" t="s">
        <v>202</v>
      </c>
      <c r="N72" s="191" t="s">
        <v>343</v>
      </c>
      <c r="O72" s="191" t="s">
        <v>288</v>
      </c>
      <c r="P72" t="s">
        <v>288</v>
      </c>
      <c r="Q72" t="b">
        <f t="shared" ref="Q72:Q102" si="1">+P72=O72</f>
        <v>1</v>
      </c>
    </row>
    <row r="73" spans="1:17" ht="30" customHeight="1" x14ac:dyDescent="0.25">
      <c r="A73" s="114">
        <v>67</v>
      </c>
      <c r="B73" s="113" t="s">
        <v>112</v>
      </c>
      <c r="C73" s="135" t="s">
        <v>91</v>
      </c>
      <c r="D73" s="135"/>
      <c r="E73" s="135"/>
      <c r="F73" s="135"/>
      <c r="G73" s="111" t="s">
        <v>208</v>
      </c>
      <c r="H73" s="113" t="s">
        <v>96</v>
      </c>
      <c r="I73" s="45">
        <v>3890</v>
      </c>
      <c r="J73" s="102">
        <v>7</v>
      </c>
      <c r="K73" s="44" t="s">
        <v>201</v>
      </c>
      <c r="L73" s="42">
        <v>3.8</v>
      </c>
      <c r="M73" s="188" t="s">
        <v>209</v>
      </c>
      <c r="N73" s="191" t="s">
        <v>335</v>
      </c>
      <c r="O73" s="191" t="s">
        <v>336</v>
      </c>
      <c r="P73" t="s">
        <v>336</v>
      </c>
      <c r="Q73" t="b">
        <f t="shared" si="1"/>
        <v>1</v>
      </c>
    </row>
    <row r="74" spans="1:17" ht="30" customHeight="1" x14ac:dyDescent="0.25">
      <c r="A74" s="114">
        <v>68</v>
      </c>
      <c r="B74" s="113" t="s">
        <v>114</v>
      </c>
      <c r="C74" s="135" t="s">
        <v>91</v>
      </c>
      <c r="D74" s="135"/>
      <c r="E74" s="135"/>
      <c r="F74" s="135"/>
      <c r="G74" s="113" t="s">
        <v>163</v>
      </c>
      <c r="H74" s="113" t="s">
        <v>115</v>
      </c>
      <c r="I74" s="111">
        <v>770</v>
      </c>
      <c r="J74" s="42">
        <v>3</v>
      </c>
      <c r="K74" s="111" t="s">
        <v>143</v>
      </c>
      <c r="L74" s="42">
        <v>2</v>
      </c>
      <c r="M74" s="188" t="s">
        <v>145</v>
      </c>
      <c r="N74" s="191" t="s">
        <v>344</v>
      </c>
      <c r="O74" s="191" t="s">
        <v>350</v>
      </c>
      <c r="P74" t="s">
        <v>345</v>
      </c>
      <c r="Q74" t="b">
        <f t="shared" si="1"/>
        <v>0</v>
      </c>
    </row>
    <row r="75" spans="1:17" ht="30" customHeight="1" x14ac:dyDescent="0.25">
      <c r="A75" s="114">
        <v>69</v>
      </c>
      <c r="B75" s="113" t="s">
        <v>116</v>
      </c>
      <c r="C75" s="141" t="s">
        <v>91</v>
      </c>
      <c r="D75" s="141"/>
      <c r="E75" s="141"/>
      <c r="F75" s="141"/>
      <c r="G75" s="113" t="s">
        <v>163</v>
      </c>
      <c r="H75" s="113" t="s">
        <v>85</v>
      </c>
      <c r="I75" s="111">
        <v>770</v>
      </c>
      <c r="J75" s="42">
        <v>2</v>
      </c>
      <c r="K75" s="111" t="s">
        <v>145</v>
      </c>
      <c r="L75" s="42">
        <v>3</v>
      </c>
      <c r="M75" s="188" t="s">
        <v>143</v>
      </c>
      <c r="N75" s="191" t="s">
        <v>320</v>
      </c>
      <c r="O75" s="191" t="s">
        <v>292</v>
      </c>
      <c r="P75" t="s">
        <v>292</v>
      </c>
      <c r="Q75" t="b">
        <f t="shared" si="1"/>
        <v>1</v>
      </c>
    </row>
    <row r="76" spans="1:17" ht="30" customHeight="1" x14ac:dyDescent="0.25">
      <c r="A76" s="114">
        <v>70</v>
      </c>
      <c r="B76" s="113" t="s">
        <v>117</v>
      </c>
      <c r="C76" s="141" t="s">
        <v>91</v>
      </c>
      <c r="D76" s="141"/>
      <c r="E76" s="141"/>
      <c r="F76" s="141"/>
      <c r="G76" s="113" t="s">
        <v>163</v>
      </c>
      <c r="H76" s="113" t="s">
        <v>122</v>
      </c>
      <c r="I76" s="111">
        <v>1535</v>
      </c>
      <c r="J76" s="42">
        <v>3</v>
      </c>
      <c r="K76" s="111" t="s">
        <v>143</v>
      </c>
      <c r="L76" s="42">
        <v>2</v>
      </c>
      <c r="M76" s="188" t="s">
        <v>145</v>
      </c>
      <c r="N76" s="191" t="s">
        <v>346</v>
      </c>
      <c r="O76" s="191" t="s">
        <v>289</v>
      </c>
      <c r="P76" t="s">
        <v>289</v>
      </c>
      <c r="Q76" t="b">
        <f t="shared" si="1"/>
        <v>1</v>
      </c>
    </row>
    <row r="77" spans="1:17" ht="30" customHeight="1" x14ac:dyDescent="0.25">
      <c r="A77" s="114">
        <v>71</v>
      </c>
      <c r="B77" s="113" t="s">
        <v>118</v>
      </c>
      <c r="C77" s="141" t="s">
        <v>91</v>
      </c>
      <c r="D77" s="141"/>
      <c r="E77" s="141"/>
      <c r="F77" s="141"/>
      <c r="G77" s="113" t="s">
        <v>163</v>
      </c>
      <c r="H77" s="113" t="s">
        <v>75</v>
      </c>
      <c r="I77" s="111">
        <v>1535</v>
      </c>
      <c r="J77" s="42">
        <v>2</v>
      </c>
      <c r="K77" s="111" t="s">
        <v>145</v>
      </c>
      <c r="L77" s="42">
        <v>3</v>
      </c>
      <c r="M77" s="188" t="s">
        <v>143</v>
      </c>
      <c r="N77" s="191" t="s">
        <v>299</v>
      </c>
      <c r="O77" s="191" t="s">
        <v>281</v>
      </c>
      <c r="P77" t="s">
        <v>281</v>
      </c>
      <c r="Q77" t="b">
        <f t="shared" si="1"/>
        <v>1</v>
      </c>
    </row>
    <row r="78" spans="1:17" ht="30" customHeight="1" x14ac:dyDescent="0.25">
      <c r="A78" s="114">
        <v>72</v>
      </c>
      <c r="B78" s="113" t="s">
        <v>119</v>
      </c>
      <c r="C78" s="141" t="s">
        <v>91</v>
      </c>
      <c r="D78" s="141"/>
      <c r="E78" s="141"/>
      <c r="F78" s="141"/>
      <c r="G78" s="113" t="s">
        <v>163</v>
      </c>
      <c r="H78" s="113" t="s">
        <v>88</v>
      </c>
      <c r="I78" s="111">
        <f>1835-20</f>
        <v>1815</v>
      </c>
      <c r="J78" s="42">
        <v>3</v>
      </c>
      <c r="K78" s="111" t="s">
        <v>143</v>
      </c>
      <c r="L78" s="42">
        <v>2</v>
      </c>
      <c r="M78" s="188" t="s">
        <v>145</v>
      </c>
      <c r="N78" s="191" t="s">
        <v>339</v>
      </c>
      <c r="O78" s="191" t="s">
        <v>340</v>
      </c>
      <c r="P78" t="s">
        <v>340</v>
      </c>
      <c r="Q78" t="b">
        <f t="shared" si="1"/>
        <v>1</v>
      </c>
    </row>
    <row r="79" spans="1:17" ht="30" customHeight="1" x14ac:dyDescent="0.25">
      <c r="A79" s="114">
        <v>73</v>
      </c>
      <c r="B79" s="113" t="s">
        <v>120</v>
      </c>
      <c r="C79" s="141" t="s">
        <v>91</v>
      </c>
      <c r="D79" s="141"/>
      <c r="E79" s="141"/>
      <c r="F79" s="141"/>
      <c r="G79" s="113" t="s">
        <v>163</v>
      </c>
      <c r="H79" s="113" t="s">
        <v>96</v>
      </c>
      <c r="I79" s="111">
        <f>1835-20</f>
        <v>1815</v>
      </c>
      <c r="J79" s="42">
        <v>2</v>
      </c>
      <c r="K79" s="111" t="s">
        <v>145</v>
      </c>
      <c r="L79" s="42">
        <v>3</v>
      </c>
      <c r="M79" s="188" t="s">
        <v>143</v>
      </c>
      <c r="N79" s="191" t="s">
        <v>335</v>
      </c>
      <c r="O79" s="191" t="s">
        <v>336</v>
      </c>
      <c r="P79" t="s">
        <v>336</v>
      </c>
      <c r="Q79" t="b">
        <f t="shared" si="1"/>
        <v>1</v>
      </c>
    </row>
    <row r="80" spans="1:17" ht="30" customHeight="1" x14ac:dyDescent="0.25">
      <c r="A80" s="114">
        <v>74</v>
      </c>
      <c r="B80" s="113" t="s">
        <v>121</v>
      </c>
      <c r="C80" s="141" t="s">
        <v>91</v>
      </c>
      <c r="D80" s="141"/>
      <c r="E80" s="141"/>
      <c r="F80" s="141"/>
      <c r="G80" s="113" t="s">
        <v>163</v>
      </c>
      <c r="H80" s="113" t="s">
        <v>78</v>
      </c>
      <c r="I80" s="111">
        <v>1175</v>
      </c>
      <c r="J80" s="42">
        <v>2</v>
      </c>
      <c r="K80" s="41" t="s">
        <v>145</v>
      </c>
      <c r="L80" s="42">
        <v>3</v>
      </c>
      <c r="M80" s="188" t="s">
        <v>143</v>
      </c>
      <c r="N80" s="191" t="s">
        <v>325</v>
      </c>
      <c r="O80" s="191" t="s">
        <v>326</v>
      </c>
      <c r="P80" t="s">
        <v>326</v>
      </c>
      <c r="Q80" t="b">
        <f t="shared" si="1"/>
        <v>1</v>
      </c>
    </row>
    <row r="81" spans="1:17" ht="30" customHeight="1" x14ac:dyDescent="0.25">
      <c r="A81" s="114">
        <v>75</v>
      </c>
      <c r="B81" s="113" t="s">
        <v>123</v>
      </c>
      <c r="C81" s="141" t="s">
        <v>91</v>
      </c>
      <c r="D81" s="141"/>
      <c r="E81" s="141"/>
      <c r="F81" s="141"/>
      <c r="G81" s="113" t="s">
        <v>163</v>
      </c>
      <c r="H81" s="115" t="s">
        <v>173</v>
      </c>
      <c r="I81" s="111">
        <f>125+15</f>
        <v>140</v>
      </c>
      <c r="J81" s="102">
        <v>7</v>
      </c>
      <c r="K81" s="41" t="s">
        <v>186</v>
      </c>
      <c r="L81" s="42">
        <v>3</v>
      </c>
      <c r="M81" s="188" t="s">
        <v>143</v>
      </c>
      <c r="N81" s="191" t="s">
        <v>318</v>
      </c>
      <c r="O81" s="191" t="s">
        <v>290</v>
      </c>
      <c r="P81" t="s">
        <v>290</v>
      </c>
      <c r="Q81" t="b">
        <f t="shared" si="1"/>
        <v>1</v>
      </c>
    </row>
    <row r="82" spans="1:17" ht="30" customHeight="1" x14ac:dyDescent="0.25">
      <c r="A82" s="114">
        <v>76</v>
      </c>
      <c r="B82" s="113" t="s">
        <v>124</v>
      </c>
      <c r="C82" s="141" t="s">
        <v>91</v>
      </c>
      <c r="D82" s="141"/>
      <c r="E82" s="141"/>
      <c r="F82" s="141"/>
      <c r="G82" s="113" t="s">
        <v>163</v>
      </c>
      <c r="H82" s="115" t="s">
        <v>173</v>
      </c>
      <c r="I82" s="111">
        <v>1030</v>
      </c>
      <c r="J82" s="42">
        <v>2</v>
      </c>
      <c r="K82" s="41" t="s">
        <v>145</v>
      </c>
      <c r="L82" s="42">
        <v>7</v>
      </c>
      <c r="M82" s="188" t="s">
        <v>185</v>
      </c>
      <c r="N82" s="191" t="s">
        <v>318</v>
      </c>
      <c r="O82" s="191" t="s">
        <v>290</v>
      </c>
      <c r="P82" t="s">
        <v>290</v>
      </c>
      <c r="Q82" t="b">
        <f t="shared" si="1"/>
        <v>1</v>
      </c>
    </row>
    <row r="83" spans="1:17" ht="30" customHeight="1" x14ac:dyDescent="0.25">
      <c r="A83" s="114">
        <v>77</v>
      </c>
      <c r="B83" s="113" t="s">
        <v>125</v>
      </c>
      <c r="C83" s="141" t="s">
        <v>91</v>
      </c>
      <c r="D83" s="141"/>
      <c r="E83" s="141"/>
      <c r="F83" s="141"/>
      <c r="G83" s="113" t="s">
        <v>163</v>
      </c>
      <c r="H83" s="113" t="s">
        <v>81</v>
      </c>
      <c r="I83" s="111">
        <v>1175</v>
      </c>
      <c r="J83" s="42">
        <v>2</v>
      </c>
      <c r="K83" s="41" t="s">
        <v>145</v>
      </c>
      <c r="L83" s="42">
        <v>3.5</v>
      </c>
      <c r="M83" s="188" t="s">
        <v>143</v>
      </c>
      <c r="N83" s="191" t="s">
        <v>311</v>
      </c>
      <c r="O83" s="191" t="s">
        <v>286</v>
      </c>
      <c r="P83" t="s">
        <v>286</v>
      </c>
      <c r="Q83" t="b">
        <f t="shared" si="1"/>
        <v>1</v>
      </c>
    </row>
    <row r="84" spans="1:17" ht="30" customHeight="1" x14ac:dyDescent="0.25">
      <c r="A84" s="40">
        <v>78</v>
      </c>
      <c r="B84" s="111" t="s">
        <v>126</v>
      </c>
      <c r="C84" s="135" t="s">
        <v>91</v>
      </c>
      <c r="D84" s="135"/>
      <c r="E84" s="135"/>
      <c r="F84" s="135"/>
      <c r="G84" s="111" t="s">
        <v>163</v>
      </c>
      <c r="H84" s="111" t="s">
        <v>90</v>
      </c>
      <c r="I84" s="111">
        <f>1030-10</f>
        <v>1020</v>
      </c>
      <c r="J84" s="42">
        <v>3.5</v>
      </c>
      <c r="K84" s="41" t="s">
        <v>152</v>
      </c>
      <c r="L84" s="42">
        <v>2</v>
      </c>
      <c r="M84" s="188" t="s">
        <v>145</v>
      </c>
      <c r="N84" s="191" t="s">
        <v>329</v>
      </c>
      <c r="O84" s="191" t="s">
        <v>287</v>
      </c>
      <c r="P84" t="s">
        <v>287</v>
      </c>
      <c r="Q84" t="b">
        <f t="shared" si="1"/>
        <v>1</v>
      </c>
    </row>
    <row r="85" spans="1:17" ht="30" customHeight="1" x14ac:dyDescent="0.25">
      <c r="A85" s="40">
        <v>79</v>
      </c>
      <c r="B85" s="111" t="s">
        <v>127</v>
      </c>
      <c r="C85" s="135" t="s">
        <v>91</v>
      </c>
      <c r="D85" s="135"/>
      <c r="E85" s="135"/>
      <c r="F85" s="135"/>
      <c r="G85" s="111" t="s">
        <v>163</v>
      </c>
      <c r="H85" s="111" t="s">
        <v>83</v>
      </c>
      <c r="I85" s="111">
        <f>1020-10</f>
        <v>1010</v>
      </c>
      <c r="J85" s="42">
        <v>3.5</v>
      </c>
      <c r="K85" s="111" t="s">
        <v>152</v>
      </c>
      <c r="L85" s="42">
        <v>2</v>
      </c>
      <c r="M85" s="188" t="s">
        <v>145</v>
      </c>
      <c r="N85" s="191" t="s">
        <v>314</v>
      </c>
      <c r="O85" s="191" t="s">
        <v>282</v>
      </c>
      <c r="P85" t="s">
        <v>282</v>
      </c>
      <c r="Q85" t="b">
        <f t="shared" si="1"/>
        <v>1</v>
      </c>
    </row>
    <row r="86" spans="1:17" ht="30" customHeight="1" x14ac:dyDescent="0.25">
      <c r="A86" s="40">
        <v>80</v>
      </c>
      <c r="B86" s="111" t="s">
        <v>128</v>
      </c>
      <c r="C86" s="135" t="s">
        <v>91</v>
      </c>
      <c r="D86" s="135"/>
      <c r="E86" s="135"/>
      <c r="F86" s="135"/>
      <c r="G86" s="111" t="s">
        <v>163</v>
      </c>
      <c r="H86" s="111" t="s">
        <v>94</v>
      </c>
      <c r="I86" s="111">
        <f>1030-10</f>
        <v>1020</v>
      </c>
      <c r="J86" s="42">
        <v>2</v>
      </c>
      <c r="K86" s="41" t="s">
        <v>145</v>
      </c>
      <c r="L86" s="42">
        <v>3.5</v>
      </c>
      <c r="M86" s="188" t="s">
        <v>152</v>
      </c>
      <c r="N86" s="191" t="s">
        <v>333</v>
      </c>
      <c r="O86" s="191" t="s">
        <v>293</v>
      </c>
      <c r="P86" t="s">
        <v>293</v>
      </c>
      <c r="Q86" t="b">
        <f t="shared" si="1"/>
        <v>1</v>
      </c>
    </row>
    <row r="87" spans="1:17" ht="30" customHeight="1" x14ac:dyDescent="0.25">
      <c r="A87" s="40">
        <v>81</v>
      </c>
      <c r="B87" s="111" t="s">
        <v>129</v>
      </c>
      <c r="C87" s="135" t="s">
        <v>91</v>
      </c>
      <c r="D87" s="135"/>
      <c r="E87" s="135"/>
      <c r="F87" s="135"/>
      <c r="G87" s="111" t="s">
        <v>163</v>
      </c>
      <c r="H87" s="111" t="s">
        <v>95</v>
      </c>
      <c r="I87" s="111">
        <f>1030-10</f>
        <v>1020</v>
      </c>
      <c r="J87" s="42">
        <v>3.5</v>
      </c>
      <c r="K87" s="41" t="s">
        <v>152</v>
      </c>
      <c r="L87" s="42">
        <v>2</v>
      </c>
      <c r="M87" s="188" t="s">
        <v>145</v>
      </c>
      <c r="N87" s="191" t="s">
        <v>334</v>
      </c>
      <c r="O87" s="191" t="s">
        <v>294</v>
      </c>
      <c r="P87" t="s">
        <v>294</v>
      </c>
      <c r="Q87" t="b">
        <f t="shared" si="1"/>
        <v>1</v>
      </c>
    </row>
    <row r="88" spans="1:17" ht="30" customHeight="1" x14ac:dyDescent="0.25">
      <c r="A88" s="40">
        <v>82</v>
      </c>
      <c r="B88" s="111" t="s">
        <v>130</v>
      </c>
      <c r="C88" s="135" t="s">
        <v>91</v>
      </c>
      <c r="D88" s="135"/>
      <c r="E88" s="135"/>
      <c r="F88" s="135"/>
      <c r="G88" s="111" t="s">
        <v>163</v>
      </c>
      <c r="H88" s="111" t="s">
        <v>96</v>
      </c>
      <c r="I88" s="111">
        <v>550</v>
      </c>
      <c r="J88" s="42">
        <v>2</v>
      </c>
      <c r="K88" s="111" t="s">
        <v>145</v>
      </c>
      <c r="L88" s="42">
        <v>7</v>
      </c>
      <c r="M88" s="188" t="s">
        <v>187</v>
      </c>
      <c r="N88" s="191" t="s">
        <v>335</v>
      </c>
      <c r="O88" s="191" t="s">
        <v>336</v>
      </c>
      <c r="P88" t="s">
        <v>336</v>
      </c>
      <c r="Q88" t="b">
        <f t="shared" si="1"/>
        <v>1</v>
      </c>
    </row>
    <row r="89" spans="1:17" ht="30" customHeight="1" x14ac:dyDescent="0.25">
      <c r="A89" s="40">
        <v>83</v>
      </c>
      <c r="B89" s="111" t="s">
        <v>21</v>
      </c>
      <c r="C89" s="135" t="s">
        <v>91</v>
      </c>
      <c r="D89" s="135"/>
      <c r="E89" s="135"/>
      <c r="F89" s="135"/>
      <c r="G89" s="111" t="s">
        <v>163</v>
      </c>
      <c r="H89" s="111" t="s">
        <v>19</v>
      </c>
      <c r="I89" s="111">
        <f>1000-10</f>
        <v>990</v>
      </c>
      <c r="J89" s="42">
        <v>3.5</v>
      </c>
      <c r="K89" s="111" t="s">
        <v>152</v>
      </c>
      <c r="L89" s="42">
        <v>2</v>
      </c>
      <c r="M89" s="188" t="s">
        <v>145</v>
      </c>
      <c r="N89" s="191" t="s">
        <v>327</v>
      </c>
      <c r="O89" s="191" t="s">
        <v>328</v>
      </c>
      <c r="P89" t="s">
        <v>328</v>
      </c>
      <c r="Q89" t="b">
        <f t="shared" si="1"/>
        <v>1</v>
      </c>
    </row>
    <row r="90" spans="1:17" ht="30" customHeight="1" x14ac:dyDescent="0.25">
      <c r="A90" s="40">
        <v>84</v>
      </c>
      <c r="B90" s="111" t="s">
        <v>22</v>
      </c>
      <c r="C90" s="135" t="s">
        <v>91</v>
      </c>
      <c r="D90" s="135"/>
      <c r="E90" s="135"/>
      <c r="F90" s="135"/>
      <c r="G90" s="111" t="s">
        <v>163</v>
      </c>
      <c r="H90" s="111" t="s">
        <v>96</v>
      </c>
      <c r="I90" s="111">
        <f>450-10</f>
        <v>440</v>
      </c>
      <c r="J90" s="42">
        <v>3.5</v>
      </c>
      <c r="K90" s="41" t="s">
        <v>152</v>
      </c>
      <c r="L90" s="42">
        <v>7</v>
      </c>
      <c r="M90" s="188" t="s">
        <v>188</v>
      </c>
      <c r="N90" s="191" t="s">
        <v>335</v>
      </c>
      <c r="O90" s="191" t="s">
        <v>336</v>
      </c>
      <c r="P90" t="s">
        <v>336</v>
      </c>
      <c r="Q90" t="b">
        <f t="shared" si="1"/>
        <v>1</v>
      </c>
    </row>
    <row r="91" spans="1:17" ht="30" customHeight="1" x14ac:dyDescent="0.25">
      <c r="A91" s="114">
        <v>85</v>
      </c>
      <c r="B91" s="113" t="s">
        <v>23</v>
      </c>
      <c r="C91" s="141" t="s">
        <v>91</v>
      </c>
      <c r="D91" s="141"/>
      <c r="E91" s="141"/>
      <c r="F91" s="141"/>
      <c r="G91" s="113" t="s">
        <v>163</v>
      </c>
      <c r="H91" s="113" t="s">
        <v>80</v>
      </c>
      <c r="I91" s="111">
        <v>1345</v>
      </c>
      <c r="J91" s="42">
        <v>3</v>
      </c>
      <c r="K91" s="41" t="s">
        <v>143</v>
      </c>
      <c r="L91" s="42">
        <v>3</v>
      </c>
      <c r="M91" s="188" t="s">
        <v>143</v>
      </c>
      <c r="N91" s="191" t="s">
        <v>309</v>
      </c>
      <c r="O91" s="191" t="s">
        <v>310</v>
      </c>
      <c r="P91" t="s">
        <v>310</v>
      </c>
      <c r="Q91" t="b">
        <f t="shared" si="1"/>
        <v>1</v>
      </c>
    </row>
    <row r="92" spans="1:17" ht="30" customHeight="1" x14ac:dyDescent="0.25">
      <c r="A92" s="114">
        <v>86</v>
      </c>
      <c r="B92" s="113" t="s">
        <v>24</v>
      </c>
      <c r="C92" s="141" t="s">
        <v>91</v>
      </c>
      <c r="D92" s="141"/>
      <c r="E92" s="141"/>
      <c r="F92" s="141"/>
      <c r="G92" s="113" t="s">
        <v>163</v>
      </c>
      <c r="H92" s="113" t="s">
        <v>95</v>
      </c>
      <c r="I92" s="111">
        <v>1345</v>
      </c>
      <c r="J92" s="42">
        <v>3</v>
      </c>
      <c r="K92" s="111" t="s">
        <v>143</v>
      </c>
      <c r="L92" s="42">
        <v>3</v>
      </c>
      <c r="M92" s="189" t="s">
        <v>143</v>
      </c>
      <c r="N92" s="191" t="s">
        <v>334</v>
      </c>
      <c r="O92" s="191" t="s">
        <v>294</v>
      </c>
      <c r="P92" t="s">
        <v>294</v>
      </c>
      <c r="Q92" t="b">
        <f t="shared" si="1"/>
        <v>1</v>
      </c>
    </row>
    <row r="93" spans="1:17" ht="30" customHeight="1" x14ac:dyDescent="0.25">
      <c r="A93" s="114">
        <v>87</v>
      </c>
      <c r="B93" s="113" t="s">
        <v>131</v>
      </c>
      <c r="C93" s="141" t="s">
        <v>91</v>
      </c>
      <c r="D93" s="141"/>
      <c r="E93" s="141"/>
      <c r="F93" s="141"/>
      <c r="G93" s="113" t="s">
        <v>163</v>
      </c>
      <c r="H93" s="113" t="s">
        <v>82</v>
      </c>
      <c r="I93" s="111">
        <v>1345</v>
      </c>
      <c r="J93" s="42">
        <v>3</v>
      </c>
      <c r="K93" s="111" t="s">
        <v>143</v>
      </c>
      <c r="L93" s="42">
        <v>3</v>
      </c>
      <c r="M93" s="188" t="s">
        <v>143</v>
      </c>
      <c r="N93" s="191" t="s">
        <v>323</v>
      </c>
      <c r="O93" s="191" t="s">
        <v>324</v>
      </c>
      <c r="P93" t="s">
        <v>324</v>
      </c>
      <c r="Q93" t="b">
        <f t="shared" si="1"/>
        <v>1</v>
      </c>
    </row>
    <row r="94" spans="1:17" ht="30" customHeight="1" x14ac:dyDescent="0.25">
      <c r="A94" s="40">
        <v>88</v>
      </c>
      <c r="B94" s="111" t="s">
        <v>132</v>
      </c>
      <c r="C94" s="135" t="s">
        <v>91</v>
      </c>
      <c r="D94" s="135"/>
      <c r="E94" s="135"/>
      <c r="F94" s="135"/>
      <c r="G94" s="111" t="s">
        <v>163</v>
      </c>
      <c r="H94" s="111" t="s">
        <v>73</v>
      </c>
      <c r="I94" s="111">
        <v>1645</v>
      </c>
      <c r="J94" s="42">
        <v>3</v>
      </c>
      <c r="K94" s="111" t="s">
        <v>148</v>
      </c>
      <c r="L94" s="42">
        <v>3</v>
      </c>
      <c r="M94" s="188" t="s">
        <v>148</v>
      </c>
      <c r="N94" s="191" t="s">
        <v>303</v>
      </c>
      <c r="O94" s="191" t="s">
        <v>304</v>
      </c>
      <c r="P94" t="s">
        <v>304</v>
      </c>
      <c r="Q94" t="b">
        <f t="shared" si="1"/>
        <v>1</v>
      </c>
    </row>
    <row r="95" spans="1:17" ht="30" customHeight="1" x14ac:dyDescent="0.25">
      <c r="A95" s="40">
        <v>89</v>
      </c>
      <c r="B95" s="111" t="s">
        <v>133</v>
      </c>
      <c r="C95" s="135" t="s">
        <v>91</v>
      </c>
      <c r="D95" s="135"/>
      <c r="E95" s="135"/>
      <c r="F95" s="135"/>
      <c r="G95" s="111" t="s">
        <v>163</v>
      </c>
      <c r="H95" s="111" t="s">
        <v>193</v>
      </c>
      <c r="I95" s="111">
        <f>2055+50</f>
        <v>2105</v>
      </c>
      <c r="J95" s="42">
        <v>3</v>
      </c>
      <c r="K95" s="111" t="s">
        <v>148</v>
      </c>
      <c r="L95" s="42">
        <v>3</v>
      </c>
      <c r="M95" s="188" t="s">
        <v>148</v>
      </c>
      <c r="N95" s="191" t="s">
        <v>341</v>
      </c>
      <c r="O95" s="191" t="s">
        <v>342</v>
      </c>
      <c r="P95" t="s">
        <v>342</v>
      </c>
      <c r="Q95" t="b">
        <f t="shared" si="1"/>
        <v>1</v>
      </c>
    </row>
    <row r="96" spans="1:17" ht="30" customHeight="1" x14ac:dyDescent="0.25">
      <c r="A96" s="40">
        <v>90</v>
      </c>
      <c r="B96" s="111" t="s">
        <v>134</v>
      </c>
      <c r="C96" s="135" t="s">
        <v>91</v>
      </c>
      <c r="D96" s="135"/>
      <c r="E96" s="135"/>
      <c r="F96" s="135"/>
      <c r="G96" s="111" t="s">
        <v>163</v>
      </c>
      <c r="H96" s="111" t="s">
        <v>82</v>
      </c>
      <c r="I96" s="111">
        <f>2180-50</f>
        <v>2130</v>
      </c>
      <c r="J96" s="102">
        <v>7</v>
      </c>
      <c r="K96" s="23" t="s">
        <v>181</v>
      </c>
      <c r="L96" s="42">
        <v>3</v>
      </c>
      <c r="M96" s="188" t="s">
        <v>143</v>
      </c>
      <c r="N96" s="191" t="s">
        <v>323</v>
      </c>
      <c r="O96" s="191" t="s">
        <v>324</v>
      </c>
      <c r="P96" t="s">
        <v>324</v>
      </c>
      <c r="Q96" t="b">
        <f t="shared" si="1"/>
        <v>1</v>
      </c>
    </row>
    <row r="97" spans="1:17" ht="30" customHeight="1" x14ac:dyDescent="0.25">
      <c r="A97" s="40">
        <v>91</v>
      </c>
      <c r="B97" s="111" t="s">
        <v>135</v>
      </c>
      <c r="C97" s="135" t="s">
        <v>91</v>
      </c>
      <c r="D97" s="135"/>
      <c r="E97" s="135"/>
      <c r="F97" s="135"/>
      <c r="G97" s="111" t="s">
        <v>163</v>
      </c>
      <c r="H97" s="111" t="s">
        <v>79</v>
      </c>
      <c r="I97" s="111">
        <f>2130-20</f>
        <v>2110</v>
      </c>
      <c r="J97" s="102">
        <v>7</v>
      </c>
      <c r="K97" s="44" t="s">
        <v>168</v>
      </c>
      <c r="L97" s="42">
        <v>3</v>
      </c>
      <c r="M97" s="189" t="s">
        <v>143</v>
      </c>
      <c r="N97" s="191" t="s">
        <v>307</v>
      </c>
      <c r="O97" s="191" t="s">
        <v>308</v>
      </c>
      <c r="P97" t="s">
        <v>308</v>
      </c>
      <c r="Q97" t="b">
        <f t="shared" si="1"/>
        <v>1</v>
      </c>
    </row>
    <row r="98" spans="1:17" ht="30" customHeight="1" x14ac:dyDescent="0.25">
      <c r="A98" s="40">
        <v>92</v>
      </c>
      <c r="B98" s="111" t="s">
        <v>136</v>
      </c>
      <c r="C98" s="135" t="s">
        <v>71</v>
      </c>
      <c r="D98" s="135"/>
      <c r="E98" s="135"/>
      <c r="F98" s="135"/>
      <c r="G98" s="111" t="s">
        <v>162</v>
      </c>
      <c r="H98" s="111" t="s">
        <v>84</v>
      </c>
      <c r="I98" s="111">
        <v>1725</v>
      </c>
      <c r="J98" s="101">
        <v>11</v>
      </c>
      <c r="K98" s="41" t="s">
        <v>190</v>
      </c>
      <c r="L98" s="42">
        <v>4</v>
      </c>
      <c r="M98" s="188" t="s">
        <v>158</v>
      </c>
      <c r="N98" s="191" t="s">
        <v>317</v>
      </c>
      <c r="O98" s="191" t="s">
        <v>284</v>
      </c>
      <c r="P98" t="s">
        <v>284</v>
      </c>
      <c r="Q98" t="b">
        <f t="shared" si="1"/>
        <v>1</v>
      </c>
    </row>
    <row r="99" spans="1:17" ht="30" customHeight="1" x14ac:dyDescent="0.25">
      <c r="A99" s="40">
        <v>93</v>
      </c>
      <c r="B99" s="111" t="s">
        <v>137</v>
      </c>
      <c r="C99" s="135" t="s">
        <v>91</v>
      </c>
      <c r="D99" s="135"/>
      <c r="E99" s="135"/>
      <c r="F99" s="135"/>
      <c r="G99" s="111" t="s">
        <v>163</v>
      </c>
      <c r="H99" s="111" t="s">
        <v>73</v>
      </c>
      <c r="I99" s="111">
        <f>895-170</f>
        <v>725</v>
      </c>
      <c r="J99" s="42">
        <v>3</v>
      </c>
      <c r="K99" s="111" t="s">
        <v>148</v>
      </c>
      <c r="L99" s="42">
        <v>3</v>
      </c>
      <c r="M99" s="188" t="s">
        <v>148</v>
      </c>
      <c r="N99" s="191" t="s">
        <v>303</v>
      </c>
      <c r="O99" s="191" t="s">
        <v>304</v>
      </c>
      <c r="P99" t="s">
        <v>304</v>
      </c>
      <c r="Q99" t="b">
        <f t="shared" si="1"/>
        <v>1</v>
      </c>
    </row>
    <row r="100" spans="1:17" ht="30" customHeight="1" x14ac:dyDescent="0.25">
      <c r="A100" s="40">
        <v>94</v>
      </c>
      <c r="B100" s="111" t="s">
        <v>138</v>
      </c>
      <c r="C100" s="135" t="s">
        <v>91</v>
      </c>
      <c r="D100" s="135"/>
      <c r="E100" s="135"/>
      <c r="F100" s="135"/>
      <c r="G100" s="111" t="s">
        <v>163</v>
      </c>
      <c r="H100" s="111" t="s">
        <v>192</v>
      </c>
      <c r="I100" s="111">
        <f>4210-30</f>
        <v>4180</v>
      </c>
      <c r="J100" s="42">
        <v>3</v>
      </c>
      <c r="K100" s="111" t="s">
        <v>148</v>
      </c>
      <c r="L100" s="42">
        <v>3</v>
      </c>
      <c r="M100" s="188" t="s">
        <v>148</v>
      </c>
      <c r="N100" s="191" t="s">
        <v>341</v>
      </c>
      <c r="O100" s="191" t="s">
        <v>342</v>
      </c>
      <c r="P100" t="s">
        <v>342</v>
      </c>
      <c r="Q100" t="b">
        <f t="shared" si="1"/>
        <v>1</v>
      </c>
    </row>
    <row r="101" spans="1:17" ht="30" customHeight="1" x14ac:dyDescent="0.25">
      <c r="A101" s="40">
        <v>95</v>
      </c>
      <c r="B101" s="111" t="s">
        <v>139</v>
      </c>
      <c r="C101" s="135" t="s">
        <v>91</v>
      </c>
      <c r="D101" s="135"/>
      <c r="E101" s="135"/>
      <c r="F101" s="135"/>
      <c r="G101" s="111" t="s">
        <v>163</v>
      </c>
      <c r="H101" s="111" t="s">
        <v>73</v>
      </c>
      <c r="I101" s="111">
        <v>755</v>
      </c>
      <c r="J101" s="42">
        <v>3</v>
      </c>
      <c r="K101" s="111" t="s">
        <v>148</v>
      </c>
      <c r="L101" s="42">
        <v>3</v>
      </c>
      <c r="M101" s="188" t="s">
        <v>148</v>
      </c>
      <c r="N101" s="191" t="s">
        <v>303</v>
      </c>
      <c r="O101" s="191" t="s">
        <v>304</v>
      </c>
      <c r="P101" t="s">
        <v>304</v>
      </c>
      <c r="Q101" t="b">
        <f t="shared" si="1"/>
        <v>1</v>
      </c>
    </row>
    <row r="102" spans="1:17" ht="30" customHeight="1" x14ac:dyDescent="0.25">
      <c r="A102" s="40">
        <v>96</v>
      </c>
      <c r="B102" s="111" t="s">
        <v>140</v>
      </c>
      <c r="C102" s="135" t="s">
        <v>91</v>
      </c>
      <c r="D102" s="135"/>
      <c r="E102" s="135"/>
      <c r="F102" s="135"/>
      <c r="G102" s="111" t="s">
        <v>163</v>
      </c>
      <c r="H102" s="111" t="s">
        <v>193</v>
      </c>
      <c r="I102" s="111">
        <f>3225-30</f>
        <v>3195</v>
      </c>
      <c r="J102" s="42">
        <v>3</v>
      </c>
      <c r="K102" s="111" t="s">
        <v>148</v>
      </c>
      <c r="L102" s="42">
        <v>2</v>
      </c>
      <c r="M102" s="188" t="s">
        <v>145</v>
      </c>
      <c r="N102" s="191" t="s">
        <v>341</v>
      </c>
      <c r="O102" s="191" t="s">
        <v>342</v>
      </c>
      <c r="P102" t="s">
        <v>342</v>
      </c>
      <c r="Q102" t="b">
        <f t="shared" si="1"/>
        <v>1</v>
      </c>
    </row>
  </sheetData>
  <autoFilter ref="A6:Q102">
    <filterColumn colId="2" showButton="0"/>
    <filterColumn colId="3" showButton="0"/>
    <filterColumn colId="4" showButton="0"/>
  </autoFilter>
  <mergeCells count="108">
    <mergeCell ref="A5:F5"/>
    <mergeCell ref="J5:K5"/>
    <mergeCell ref="L5:M5"/>
    <mergeCell ref="C6:F6"/>
    <mergeCell ref="C7:F7"/>
    <mergeCell ref="C8:F8"/>
    <mergeCell ref="A1:M1"/>
    <mergeCell ref="A2:M2"/>
    <mergeCell ref="A3:F3"/>
    <mergeCell ref="J3:K3"/>
    <mergeCell ref="L3:M3"/>
    <mergeCell ref="A4:F4"/>
    <mergeCell ref="J4:K4"/>
    <mergeCell ref="L4:M4"/>
    <mergeCell ref="C15:F15"/>
    <mergeCell ref="C16:F16"/>
    <mergeCell ref="C17:F17"/>
    <mergeCell ref="C18:F18"/>
    <mergeCell ref="C19:F19"/>
    <mergeCell ref="C20:F20"/>
    <mergeCell ref="C9:F9"/>
    <mergeCell ref="C10:F10"/>
    <mergeCell ref="C11:F11"/>
    <mergeCell ref="C12:F12"/>
    <mergeCell ref="C13:F13"/>
    <mergeCell ref="C14:F14"/>
    <mergeCell ref="C27:F27"/>
    <mergeCell ref="C28:F28"/>
    <mergeCell ref="C29:F29"/>
    <mergeCell ref="C30:F30"/>
    <mergeCell ref="C31:F31"/>
    <mergeCell ref="C32:F32"/>
    <mergeCell ref="C21:F21"/>
    <mergeCell ref="C22:F22"/>
    <mergeCell ref="C23:F23"/>
    <mergeCell ref="C24:F24"/>
    <mergeCell ref="C25:F25"/>
    <mergeCell ref="C26:F26"/>
    <mergeCell ref="C39:F39"/>
    <mergeCell ref="C40:F40"/>
    <mergeCell ref="C41:F41"/>
    <mergeCell ref="C42:F42"/>
    <mergeCell ref="C43:F43"/>
    <mergeCell ref="C44:F44"/>
    <mergeCell ref="C33:F33"/>
    <mergeCell ref="C34:F34"/>
    <mergeCell ref="C35:F35"/>
    <mergeCell ref="C36:F36"/>
    <mergeCell ref="C37:F37"/>
    <mergeCell ref="C38:F38"/>
    <mergeCell ref="C51:F51"/>
    <mergeCell ref="C52:F52"/>
    <mergeCell ref="C53:F53"/>
    <mergeCell ref="C54:F54"/>
    <mergeCell ref="C55:F55"/>
    <mergeCell ref="C56:F56"/>
    <mergeCell ref="C45:F45"/>
    <mergeCell ref="C46:F46"/>
    <mergeCell ref="C47:F47"/>
    <mergeCell ref="C48:F48"/>
    <mergeCell ref="C49:F49"/>
    <mergeCell ref="C50:F50"/>
    <mergeCell ref="C63:F63"/>
    <mergeCell ref="C64:F64"/>
    <mergeCell ref="C65:F65"/>
    <mergeCell ref="C66:F66"/>
    <mergeCell ref="C67:F67"/>
    <mergeCell ref="C68:F68"/>
    <mergeCell ref="C57:F57"/>
    <mergeCell ref="C58:F58"/>
    <mergeCell ref="C59:F59"/>
    <mergeCell ref="C60:F60"/>
    <mergeCell ref="C61:F61"/>
    <mergeCell ref="C62:F62"/>
    <mergeCell ref="C75:F75"/>
    <mergeCell ref="C76:F76"/>
    <mergeCell ref="C77:F77"/>
    <mergeCell ref="C78:F78"/>
    <mergeCell ref="C79:F79"/>
    <mergeCell ref="C80:F80"/>
    <mergeCell ref="C69:F69"/>
    <mergeCell ref="C70:F70"/>
    <mergeCell ref="C71:F71"/>
    <mergeCell ref="C72:F72"/>
    <mergeCell ref="C73:F73"/>
    <mergeCell ref="C74:F74"/>
    <mergeCell ref="C87:F87"/>
    <mergeCell ref="C88:F88"/>
    <mergeCell ref="C89:F89"/>
    <mergeCell ref="C90:F90"/>
    <mergeCell ref="C91:F91"/>
    <mergeCell ref="C92:F92"/>
    <mergeCell ref="C81:F81"/>
    <mergeCell ref="C82:F82"/>
    <mergeCell ref="C83:F83"/>
    <mergeCell ref="C84:F84"/>
    <mergeCell ref="C85:F85"/>
    <mergeCell ref="C86:F86"/>
    <mergeCell ref="C99:F99"/>
    <mergeCell ref="C100:F100"/>
    <mergeCell ref="C101:F101"/>
    <mergeCell ref="C102:F102"/>
    <mergeCell ref="C93:F93"/>
    <mergeCell ref="C94:F94"/>
    <mergeCell ref="C95:F95"/>
    <mergeCell ref="C96:F96"/>
    <mergeCell ref="C97:F97"/>
    <mergeCell ref="C98:F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56"/>
  <sheetViews>
    <sheetView topLeftCell="B1" zoomScale="90" zoomScaleNormal="90" workbookViewId="0">
      <pane ySplit="1125" topLeftCell="A38" activePane="bottomLeft"/>
      <selection pane="bottomLeft" activeCell="G53" sqref="G53"/>
    </sheetView>
  </sheetViews>
  <sheetFormatPr defaultRowHeight="15" x14ac:dyDescent="0.25"/>
  <cols>
    <col min="1" max="1" width="8.85546875" bestFit="1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9.85546875" customWidth="1"/>
    <col min="7" max="7" width="17.5703125" bestFit="1" customWidth="1"/>
    <col min="8" max="8" width="22.140625" customWidth="1"/>
    <col min="9" max="9" width="26.5703125" customWidth="1"/>
  </cols>
  <sheetData>
    <row r="1" spans="1:9" ht="27.75" customHeight="1" thickBot="1" x14ac:dyDescent="0.3">
      <c r="A1" s="160" t="s">
        <v>203</v>
      </c>
      <c r="B1" s="161"/>
      <c r="C1" s="161"/>
      <c r="D1" s="161"/>
      <c r="E1" s="161"/>
      <c r="F1" s="161"/>
      <c r="G1" s="161"/>
      <c r="H1" s="161"/>
      <c r="I1" s="162"/>
    </row>
    <row r="2" spans="1:9" ht="21" customHeight="1" x14ac:dyDescent="0.25">
      <c r="A2" s="67" t="s">
        <v>217</v>
      </c>
      <c r="B2" s="68" t="s">
        <v>218</v>
      </c>
      <c r="C2" s="68" t="s">
        <v>219</v>
      </c>
      <c r="D2" s="68" t="s">
        <v>220</v>
      </c>
      <c r="E2" s="68" t="s">
        <v>221</v>
      </c>
      <c r="F2" s="68" t="s">
        <v>222</v>
      </c>
      <c r="G2" s="68" t="s">
        <v>223</v>
      </c>
      <c r="H2" s="68" t="s">
        <v>206</v>
      </c>
      <c r="I2" s="69" t="s">
        <v>224</v>
      </c>
    </row>
    <row r="3" spans="1:9" ht="21" customHeight="1" x14ac:dyDescent="0.25">
      <c r="A3" s="56">
        <v>1</v>
      </c>
      <c r="B3" s="57" t="s">
        <v>231</v>
      </c>
      <c r="C3" s="57"/>
      <c r="D3" s="57">
        <v>1</v>
      </c>
      <c r="E3" s="57" t="s">
        <v>232</v>
      </c>
      <c r="F3" s="57" t="s">
        <v>233</v>
      </c>
      <c r="G3" s="57" t="s">
        <v>234</v>
      </c>
      <c r="H3" s="58">
        <v>45812</v>
      </c>
      <c r="I3" s="59" t="s">
        <v>226</v>
      </c>
    </row>
    <row r="4" spans="1:9" ht="21" customHeight="1" x14ac:dyDescent="0.25">
      <c r="A4" s="56">
        <v>2</v>
      </c>
      <c r="B4" s="57" t="s">
        <v>235</v>
      </c>
      <c r="C4" s="57"/>
      <c r="D4" s="57">
        <v>1</v>
      </c>
      <c r="E4" s="57" t="s">
        <v>236</v>
      </c>
      <c r="F4" s="57" t="s">
        <v>157</v>
      </c>
      <c r="G4" s="57" t="s">
        <v>209</v>
      </c>
      <c r="H4" s="58">
        <v>45812</v>
      </c>
      <c r="I4" s="59" t="s">
        <v>226</v>
      </c>
    </row>
    <row r="5" spans="1:9" ht="21" customHeight="1" x14ac:dyDescent="0.25">
      <c r="A5" s="56">
        <v>3</v>
      </c>
      <c r="B5" s="57" t="s">
        <v>133</v>
      </c>
      <c r="C5" s="57"/>
      <c r="D5" s="57">
        <v>2</v>
      </c>
      <c r="E5" s="57" t="s">
        <v>237</v>
      </c>
      <c r="F5" s="57">
        <v>2055</v>
      </c>
      <c r="G5" s="57">
        <v>2105</v>
      </c>
      <c r="H5" s="58">
        <v>45817</v>
      </c>
      <c r="I5" s="59" t="s">
        <v>226</v>
      </c>
    </row>
    <row r="6" spans="1:9" ht="21" customHeight="1" x14ac:dyDescent="0.25">
      <c r="A6" s="56">
        <v>4</v>
      </c>
      <c r="B6" s="57" t="s">
        <v>137</v>
      </c>
      <c r="C6" s="57"/>
      <c r="D6" s="57">
        <v>2</v>
      </c>
      <c r="E6" s="57" t="s">
        <v>238</v>
      </c>
      <c r="F6" s="57">
        <v>895</v>
      </c>
      <c r="G6" s="57">
        <v>725</v>
      </c>
      <c r="H6" s="58">
        <v>45817</v>
      </c>
      <c r="I6" s="59" t="s">
        <v>226</v>
      </c>
    </row>
    <row r="7" spans="1:9" ht="21" customHeight="1" x14ac:dyDescent="0.25">
      <c r="A7" s="56">
        <v>5</v>
      </c>
      <c r="B7" s="57" t="s">
        <v>239</v>
      </c>
      <c r="C7" s="57"/>
      <c r="D7" s="57">
        <v>2</v>
      </c>
      <c r="E7" s="57" t="s">
        <v>240</v>
      </c>
      <c r="F7" s="57">
        <v>4525</v>
      </c>
      <c r="G7" s="57">
        <v>4210</v>
      </c>
      <c r="H7" s="58">
        <v>45817</v>
      </c>
      <c r="I7" s="59" t="s">
        <v>226</v>
      </c>
    </row>
    <row r="8" spans="1:9" ht="21" customHeight="1" x14ac:dyDescent="0.25">
      <c r="A8" s="56">
        <v>6</v>
      </c>
      <c r="B8" s="57" t="s">
        <v>139</v>
      </c>
      <c r="C8" s="57"/>
      <c r="D8" s="57">
        <v>2</v>
      </c>
      <c r="E8" s="57" t="s">
        <v>241</v>
      </c>
      <c r="F8" s="57">
        <v>875</v>
      </c>
      <c r="G8" s="57">
        <v>775</v>
      </c>
      <c r="H8" s="58">
        <v>45817</v>
      </c>
      <c r="I8" s="59" t="s">
        <v>226</v>
      </c>
    </row>
    <row r="9" spans="1:9" ht="21" customHeight="1" x14ac:dyDescent="0.25">
      <c r="A9" s="56">
        <v>7</v>
      </c>
      <c r="B9" s="57" t="s">
        <v>140</v>
      </c>
      <c r="C9" s="57"/>
      <c r="D9" s="57">
        <v>2</v>
      </c>
      <c r="E9" s="57" t="s">
        <v>242</v>
      </c>
      <c r="F9" s="57">
        <v>3440</v>
      </c>
      <c r="G9" s="57">
        <v>3225</v>
      </c>
      <c r="H9" s="58">
        <v>45817</v>
      </c>
      <c r="I9" s="59" t="s">
        <v>226</v>
      </c>
    </row>
    <row r="10" spans="1:9" ht="18" customHeight="1" x14ac:dyDescent="0.25">
      <c r="A10" s="56">
        <v>8</v>
      </c>
      <c r="B10" s="60" t="s">
        <v>247</v>
      </c>
      <c r="C10" s="60" t="s">
        <v>250</v>
      </c>
      <c r="D10" s="60">
        <v>3</v>
      </c>
      <c r="E10" s="60" t="s">
        <v>225</v>
      </c>
      <c r="F10" s="61">
        <v>10</v>
      </c>
      <c r="G10" s="61">
        <v>8.5</v>
      </c>
      <c r="H10" s="62">
        <v>45854</v>
      </c>
      <c r="I10" s="63" t="s">
        <v>226</v>
      </c>
    </row>
    <row r="11" spans="1:9" ht="75" x14ac:dyDescent="0.25">
      <c r="A11" s="56">
        <v>9</v>
      </c>
      <c r="B11" s="64" t="s">
        <v>248</v>
      </c>
      <c r="C11" s="60" t="s">
        <v>251</v>
      </c>
      <c r="D11" s="60">
        <v>3</v>
      </c>
      <c r="E11" s="60" t="s">
        <v>225</v>
      </c>
      <c r="F11" s="61">
        <v>7</v>
      </c>
      <c r="G11" s="61">
        <v>6</v>
      </c>
      <c r="H11" s="62">
        <v>45854</v>
      </c>
      <c r="I11" s="63" t="s">
        <v>226</v>
      </c>
    </row>
    <row r="12" spans="1:9" ht="18" customHeight="1" x14ac:dyDescent="0.25">
      <c r="A12" s="56">
        <v>10</v>
      </c>
      <c r="B12" s="60" t="s">
        <v>249</v>
      </c>
      <c r="C12" s="60" t="s">
        <v>252</v>
      </c>
      <c r="D12" s="60">
        <v>3</v>
      </c>
      <c r="E12" s="60" t="s">
        <v>225</v>
      </c>
      <c r="F12" s="61">
        <v>12</v>
      </c>
      <c r="G12" s="61">
        <v>10</v>
      </c>
      <c r="H12" s="62">
        <v>45854</v>
      </c>
      <c r="I12" s="63" t="s">
        <v>226</v>
      </c>
    </row>
    <row r="13" spans="1:9" ht="18" customHeight="1" x14ac:dyDescent="0.25">
      <c r="A13" s="56">
        <v>11</v>
      </c>
      <c r="B13" s="60" t="s">
        <v>30</v>
      </c>
      <c r="C13" s="60"/>
      <c r="D13" s="60">
        <v>3</v>
      </c>
      <c r="E13" s="66" t="s">
        <v>244</v>
      </c>
      <c r="F13" s="65">
        <v>1390</v>
      </c>
      <c r="G13" s="65">
        <v>1370</v>
      </c>
      <c r="H13" s="62">
        <v>45854</v>
      </c>
      <c r="I13" s="63" t="s">
        <v>226</v>
      </c>
    </row>
    <row r="14" spans="1:9" ht="18" customHeight="1" x14ac:dyDescent="0.25">
      <c r="A14" s="56">
        <v>12</v>
      </c>
      <c r="B14" s="60" t="s">
        <v>38</v>
      </c>
      <c r="C14" s="60"/>
      <c r="D14" s="60">
        <v>3</v>
      </c>
      <c r="E14" s="66" t="s">
        <v>244</v>
      </c>
      <c r="F14" s="65">
        <v>1340</v>
      </c>
      <c r="G14" s="65">
        <v>1320</v>
      </c>
      <c r="H14" s="62">
        <v>45854</v>
      </c>
      <c r="I14" s="63" t="s">
        <v>226</v>
      </c>
    </row>
    <row r="15" spans="1:9" ht="18" customHeight="1" x14ac:dyDescent="0.25">
      <c r="A15" s="56">
        <v>13</v>
      </c>
      <c r="B15" s="60" t="s">
        <v>42</v>
      </c>
      <c r="C15" s="60"/>
      <c r="D15" s="60">
        <v>3</v>
      </c>
      <c r="E15" s="66" t="s">
        <v>244</v>
      </c>
      <c r="F15" s="65">
        <v>775</v>
      </c>
      <c r="G15" s="65">
        <v>755</v>
      </c>
      <c r="H15" s="62">
        <v>45854</v>
      </c>
      <c r="I15" s="63" t="s">
        <v>226</v>
      </c>
    </row>
    <row r="16" spans="1:9" ht="18" customHeight="1" x14ac:dyDescent="0.25">
      <c r="A16" s="56">
        <v>14</v>
      </c>
      <c r="B16" s="60" t="s">
        <v>49</v>
      </c>
      <c r="C16" s="60"/>
      <c r="D16" s="60">
        <v>3</v>
      </c>
      <c r="E16" s="66" t="s">
        <v>244</v>
      </c>
      <c r="F16" s="65">
        <v>1580</v>
      </c>
      <c r="G16" s="65">
        <v>1560</v>
      </c>
      <c r="H16" s="62">
        <v>45854</v>
      </c>
      <c r="I16" s="63" t="s">
        <v>226</v>
      </c>
    </row>
    <row r="17" spans="1:9" ht="18" customHeight="1" x14ac:dyDescent="0.25">
      <c r="A17" s="56">
        <v>15</v>
      </c>
      <c r="B17" s="38" t="s">
        <v>50</v>
      </c>
      <c r="C17" s="38"/>
      <c r="D17" s="60">
        <v>3</v>
      </c>
      <c r="E17" s="66" t="s">
        <v>244</v>
      </c>
      <c r="F17" s="66">
        <v>1640</v>
      </c>
      <c r="G17" s="66">
        <v>1620</v>
      </c>
      <c r="H17" s="62">
        <v>45854</v>
      </c>
      <c r="I17" s="63" t="s">
        <v>226</v>
      </c>
    </row>
    <row r="18" spans="1:9" ht="18" customHeight="1" x14ac:dyDescent="0.25">
      <c r="A18" s="56">
        <v>16</v>
      </c>
      <c r="B18" s="38" t="s">
        <v>51</v>
      </c>
      <c r="C18" s="38"/>
      <c r="D18" s="60">
        <v>3</v>
      </c>
      <c r="E18" s="66" t="s">
        <v>244</v>
      </c>
      <c r="F18" s="66">
        <v>1020</v>
      </c>
      <c r="G18" s="66">
        <v>1000</v>
      </c>
      <c r="H18" s="62">
        <v>45854</v>
      </c>
      <c r="I18" s="63" t="s">
        <v>226</v>
      </c>
    </row>
    <row r="19" spans="1:9" ht="18" customHeight="1" x14ac:dyDescent="0.25">
      <c r="A19" s="56">
        <v>17</v>
      </c>
      <c r="B19" s="38" t="s">
        <v>61</v>
      </c>
      <c r="C19" s="38"/>
      <c r="D19" s="60">
        <v>3</v>
      </c>
      <c r="E19" s="66" t="s">
        <v>244</v>
      </c>
      <c r="F19" s="66">
        <v>1675</v>
      </c>
      <c r="G19" s="66">
        <v>1655</v>
      </c>
      <c r="H19" s="62">
        <v>45854</v>
      </c>
      <c r="I19" s="63" t="s">
        <v>226</v>
      </c>
    </row>
    <row r="20" spans="1:9" ht="18" customHeight="1" x14ac:dyDescent="0.25">
      <c r="A20" s="56">
        <v>18</v>
      </c>
      <c r="B20" s="38" t="s">
        <v>62</v>
      </c>
      <c r="C20" s="38"/>
      <c r="D20" s="60">
        <v>3</v>
      </c>
      <c r="E20" s="66" t="s">
        <v>244</v>
      </c>
      <c r="F20" s="66">
        <v>1675</v>
      </c>
      <c r="G20" s="66">
        <v>1655</v>
      </c>
      <c r="H20" s="62">
        <v>45854</v>
      </c>
      <c r="I20" s="63" t="s">
        <v>226</v>
      </c>
    </row>
    <row r="21" spans="1:9" ht="18" customHeight="1" x14ac:dyDescent="0.25">
      <c r="A21" s="56">
        <v>19</v>
      </c>
      <c r="B21" s="38" t="s">
        <v>63</v>
      </c>
      <c r="C21" s="38"/>
      <c r="D21" s="60">
        <v>3</v>
      </c>
      <c r="E21" s="66" t="s">
        <v>244</v>
      </c>
      <c r="F21" s="66">
        <v>1675</v>
      </c>
      <c r="G21" s="66">
        <v>1655</v>
      </c>
      <c r="H21" s="62">
        <v>45854</v>
      </c>
      <c r="I21" s="63" t="s">
        <v>226</v>
      </c>
    </row>
    <row r="22" spans="1:9" ht="18" customHeight="1" x14ac:dyDescent="0.25">
      <c r="A22" s="56">
        <v>20</v>
      </c>
      <c r="B22" s="38" t="s">
        <v>64</v>
      </c>
      <c r="C22" s="38"/>
      <c r="D22" s="60">
        <v>3</v>
      </c>
      <c r="E22" s="66" t="s">
        <v>244</v>
      </c>
      <c r="F22" s="66">
        <v>1675</v>
      </c>
      <c r="G22" s="66">
        <v>1655</v>
      </c>
      <c r="H22" s="62">
        <v>45854</v>
      </c>
      <c r="I22" s="63" t="s">
        <v>226</v>
      </c>
    </row>
    <row r="23" spans="1:9" ht="18" customHeight="1" x14ac:dyDescent="0.25">
      <c r="A23" s="56">
        <v>21</v>
      </c>
      <c r="B23" s="38" t="s">
        <v>100</v>
      </c>
      <c r="C23" s="38"/>
      <c r="D23" s="60">
        <v>3</v>
      </c>
      <c r="E23" s="66" t="s">
        <v>244</v>
      </c>
      <c r="F23" s="66">
        <v>1675</v>
      </c>
      <c r="G23" s="66">
        <v>1655</v>
      </c>
      <c r="H23" s="62">
        <v>45854</v>
      </c>
      <c r="I23" s="63" t="s">
        <v>226</v>
      </c>
    </row>
    <row r="24" spans="1:9" ht="18" customHeight="1" x14ac:dyDescent="0.25">
      <c r="A24" s="56">
        <v>22</v>
      </c>
      <c r="B24" s="38" t="s">
        <v>105</v>
      </c>
      <c r="C24" s="38"/>
      <c r="D24" s="60">
        <v>3</v>
      </c>
      <c r="E24" s="66" t="s">
        <v>244</v>
      </c>
      <c r="F24" s="66">
        <v>1675</v>
      </c>
      <c r="G24" s="66">
        <v>1655</v>
      </c>
      <c r="H24" s="62">
        <v>45854</v>
      </c>
      <c r="I24" s="63" t="s">
        <v>226</v>
      </c>
    </row>
    <row r="25" spans="1:9" ht="18" customHeight="1" x14ac:dyDescent="0.25">
      <c r="A25" s="56">
        <v>23</v>
      </c>
      <c r="B25" s="38" t="s">
        <v>108</v>
      </c>
      <c r="C25" s="38"/>
      <c r="D25" s="60">
        <v>3</v>
      </c>
      <c r="E25" s="66" t="s">
        <v>245</v>
      </c>
      <c r="F25" s="66">
        <v>3010</v>
      </c>
      <c r="G25" s="66">
        <v>2985</v>
      </c>
      <c r="H25" s="62">
        <v>45854</v>
      </c>
      <c r="I25" s="63" t="s">
        <v>226</v>
      </c>
    </row>
    <row r="26" spans="1:9" ht="18" customHeight="1" x14ac:dyDescent="0.25">
      <c r="A26" s="56">
        <v>24</v>
      </c>
      <c r="B26" s="38" t="s">
        <v>109</v>
      </c>
      <c r="C26" s="38"/>
      <c r="D26" s="60">
        <v>3</v>
      </c>
      <c r="E26" s="66" t="s">
        <v>245</v>
      </c>
      <c r="F26" s="66">
        <v>1865</v>
      </c>
      <c r="G26" s="66">
        <v>1840</v>
      </c>
      <c r="H26" s="62">
        <v>45854</v>
      </c>
      <c r="I26" s="63" t="s">
        <v>226</v>
      </c>
    </row>
    <row r="27" spans="1:9" ht="18" customHeight="1" x14ac:dyDescent="0.25">
      <c r="A27" s="56">
        <v>25</v>
      </c>
      <c r="B27" s="38" t="s">
        <v>119</v>
      </c>
      <c r="C27" s="38"/>
      <c r="D27" s="60">
        <v>3</v>
      </c>
      <c r="E27" s="66" t="s">
        <v>244</v>
      </c>
      <c r="F27" s="66">
        <v>1855</v>
      </c>
      <c r="G27" s="66">
        <v>1835</v>
      </c>
      <c r="H27" s="62">
        <v>45854</v>
      </c>
      <c r="I27" s="63" t="s">
        <v>226</v>
      </c>
    </row>
    <row r="28" spans="1:9" ht="18" customHeight="1" x14ac:dyDescent="0.25">
      <c r="A28" s="56">
        <v>26</v>
      </c>
      <c r="B28" s="38" t="s">
        <v>120</v>
      </c>
      <c r="C28" s="38"/>
      <c r="D28" s="60">
        <v>3</v>
      </c>
      <c r="E28" s="66" t="s">
        <v>244</v>
      </c>
      <c r="F28" s="66">
        <v>1855</v>
      </c>
      <c r="G28" s="66">
        <v>1835</v>
      </c>
      <c r="H28" s="62">
        <v>45854</v>
      </c>
      <c r="I28" s="63" t="s">
        <v>226</v>
      </c>
    </row>
    <row r="29" spans="1:9" ht="18" customHeight="1" x14ac:dyDescent="0.25">
      <c r="A29" s="56">
        <v>27</v>
      </c>
      <c r="B29" s="38" t="s">
        <v>124</v>
      </c>
      <c r="C29" s="38"/>
      <c r="D29" s="60">
        <v>3</v>
      </c>
      <c r="E29" s="66" t="s">
        <v>246</v>
      </c>
      <c r="F29" s="66">
        <v>1090</v>
      </c>
      <c r="G29" s="66">
        <v>1060</v>
      </c>
      <c r="H29" s="62">
        <v>45854</v>
      </c>
      <c r="I29" s="63" t="s">
        <v>226</v>
      </c>
    </row>
    <row r="30" spans="1:9" ht="18" customHeight="1" x14ac:dyDescent="0.25">
      <c r="A30" s="56">
        <v>28</v>
      </c>
      <c r="B30" s="38" t="s">
        <v>134</v>
      </c>
      <c r="C30" s="38"/>
      <c r="D30" s="60">
        <v>3</v>
      </c>
      <c r="E30" s="66" t="s">
        <v>244</v>
      </c>
      <c r="F30" s="66">
        <v>2200</v>
      </c>
      <c r="G30" s="66">
        <v>2180</v>
      </c>
      <c r="H30" s="62">
        <v>45854</v>
      </c>
      <c r="I30" s="63" t="s">
        <v>226</v>
      </c>
    </row>
    <row r="31" spans="1:9" ht="18" customHeight="1" x14ac:dyDescent="0.25">
      <c r="A31" s="56">
        <v>29</v>
      </c>
      <c r="B31" s="38" t="s">
        <v>135</v>
      </c>
      <c r="C31" s="38"/>
      <c r="D31" s="60">
        <v>3</v>
      </c>
      <c r="E31" s="66" t="s">
        <v>244</v>
      </c>
      <c r="F31" s="66">
        <v>2150</v>
      </c>
      <c r="G31" s="66">
        <v>2130</v>
      </c>
      <c r="H31" s="62">
        <v>45854</v>
      </c>
      <c r="I31" s="63" t="s">
        <v>226</v>
      </c>
    </row>
    <row r="32" spans="1:9" ht="18" customHeight="1" x14ac:dyDescent="0.25">
      <c r="A32" s="56">
        <v>30</v>
      </c>
      <c r="B32" s="38" t="s">
        <v>138</v>
      </c>
      <c r="C32" s="38"/>
      <c r="D32" s="60">
        <v>3</v>
      </c>
      <c r="E32" s="66" t="s">
        <v>246</v>
      </c>
      <c r="F32" s="66">
        <v>4210</v>
      </c>
      <c r="G32" s="66">
        <v>4180</v>
      </c>
      <c r="H32" s="62">
        <v>45854</v>
      </c>
      <c r="I32" s="63" t="s">
        <v>226</v>
      </c>
    </row>
    <row r="33" spans="1:9" ht="18" customHeight="1" x14ac:dyDescent="0.25">
      <c r="A33" s="56">
        <v>31</v>
      </c>
      <c r="B33" s="38" t="s">
        <v>139</v>
      </c>
      <c r="C33" s="38"/>
      <c r="D33" s="60">
        <v>3</v>
      </c>
      <c r="E33" s="66" t="s">
        <v>244</v>
      </c>
      <c r="F33" s="66">
        <v>775</v>
      </c>
      <c r="G33" s="66">
        <v>755</v>
      </c>
      <c r="H33" s="62">
        <v>45854</v>
      </c>
      <c r="I33" s="63" t="s">
        <v>226</v>
      </c>
    </row>
    <row r="34" spans="1:9" ht="18" customHeight="1" x14ac:dyDescent="0.25">
      <c r="A34" s="56">
        <v>32</v>
      </c>
      <c r="B34" s="38" t="s">
        <v>140</v>
      </c>
      <c r="C34" s="38"/>
      <c r="D34" s="60">
        <v>3</v>
      </c>
      <c r="E34" s="66" t="s">
        <v>246</v>
      </c>
      <c r="F34" s="66">
        <v>3225</v>
      </c>
      <c r="G34" s="66">
        <v>3195</v>
      </c>
      <c r="H34" s="62">
        <v>45854</v>
      </c>
      <c r="I34" s="63" t="s">
        <v>226</v>
      </c>
    </row>
    <row r="35" spans="1:9" ht="18" customHeight="1" x14ac:dyDescent="0.25">
      <c r="A35" s="71">
        <v>33</v>
      </c>
      <c r="B35" s="84" t="s">
        <v>247</v>
      </c>
      <c r="C35" s="84" t="s">
        <v>250</v>
      </c>
      <c r="D35" s="84">
        <v>4</v>
      </c>
      <c r="E35" s="84" t="s">
        <v>225</v>
      </c>
      <c r="F35" s="85">
        <v>8.5</v>
      </c>
      <c r="G35" s="85">
        <v>10</v>
      </c>
      <c r="H35" s="86">
        <v>45862</v>
      </c>
      <c r="I35" s="87" t="s">
        <v>259</v>
      </c>
    </row>
    <row r="36" spans="1:9" ht="75" x14ac:dyDescent="0.25">
      <c r="A36" s="71">
        <v>34</v>
      </c>
      <c r="B36" s="88" t="s">
        <v>248</v>
      </c>
      <c r="C36" s="84" t="s">
        <v>251</v>
      </c>
      <c r="D36" s="84">
        <v>4</v>
      </c>
      <c r="E36" s="84" t="s">
        <v>225</v>
      </c>
      <c r="F36" s="85">
        <v>6</v>
      </c>
      <c r="G36" s="85">
        <v>7</v>
      </c>
      <c r="H36" s="86">
        <v>45862</v>
      </c>
      <c r="I36" s="87" t="s">
        <v>259</v>
      </c>
    </row>
    <row r="37" spans="1:9" ht="18" customHeight="1" x14ac:dyDescent="0.25">
      <c r="A37" s="71">
        <v>35</v>
      </c>
      <c r="B37" s="84" t="s">
        <v>249</v>
      </c>
      <c r="C37" s="84" t="s">
        <v>252</v>
      </c>
      <c r="D37" s="84">
        <v>4</v>
      </c>
      <c r="E37" s="84" t="s">
        <v>225</v>
      </c>
      <c r="F37" s="85">
        <v>10</v>
      </c>
      <c r="G37" s="85">
        <v>12</v>
      </c>
      <c r="H37" s="86">
        <v>45862</v>
      </c>
      <c r="I37" s="87" t="s">
        <v>259</v>
      </c>
    </row>
    <row r="38" spans="1:9" ht="18" customHeight="1" x14ac:dyDescent="0.25">
      <c r="A38" s="71">
        <v>36</v>
      </c>
      <c r="B38" s="72" t="s">
        <v>31</v>
      </c>
      <c r="C38" s="72"/>
      <c r="D38" s="72">
        <v>4</v>
      </c>
      <c r="E38" s="73" t="s">
        <v>244</v>
      </c>
      <c r="F38" s="73">
        <v>1020</v>
      </c>
      <c r="G38" s="73">
        <f>F38-20</f>
        <v>1000</v>
      </c>
      <c r="H38" s="74">
        <v>45867</v>
      </c>
      <c r="I38" s="75" t="s">
        <v>265</v>
      </c>
    </row>
    <row r="39" spans="1:9" ht="18" customHeight="1" x14ac:dyDescent="0.25">
      <c r="A39" s="71">
        <v>37</v>
      </c>
      <c r="B39" s="72" t="s">
        <v>89</v>
      </c>
      <c r="C39" s="72"/>
      <c r="D39" s="72">
        <v>4</v>
      </c>
      <c r="E39" s="73" t="s">
        <v>244</v>
      </c>
      <c r="F39" s="73">
        <v>1010</v>
      </c>
      <c r="G39" s="73">
        <f t="shared" ref="G39:G42" si="0">F39-20</f>
        <v>990</v>
      </c>
      <c r="H39" s="74">
        <v>45867</v>
      </c>
      <c r="I39" s="75" t="s">
        <v>265</v>
      </c>
    </row>
    <row r="40" spans="1:9" ht="18" customHeight="1" x14ac:dyDescent="0.25">
      <c r="A40" s="71">
        <v>38</v>
      </c>
      <c r="B40" s="72" t="s">
        <v>104</v>
      </c>
      <c r="C40" s="72"/>
      <c r="D40" s="72">
        <v>4</v>
      </c>
      <c r="E40" s="73" t="s">
        <v>244</v>
      </c>
      <c r="F40" s="73">
        <v>2480</v>
      </c>
      <c r="G40" s="73">
        <f>F40-30</f>
        <v>2450</v>
      </c>
      <c r="H40" s="74">
        <v>45867</v>
      </c>
      <c r="I40" s="75" t="s">
        <v>265</v>
      </c>
    </row>
    <row r="41" spans="1:9" ht="18" customHeight="1" x14ac:dyDescent="0.25">
      <c r="A41" s="71">
        <v>39</v>
      </c>
      <c r="B41" s="72" t="s">
        <v>257</v>
      </c>
      <c r="C41" s="72"/>
      <c r="D41" s="72">
        <v>4</v>
      </c>
      <c r="E41" s="73" t="s">
        <v>244</v>
      </c>
      <c r="F41" s="73">
        <v>1835</v>
      </c>
      <c r="G41" s="73">
        <f t="shared" si="0"/>
        <v>1815</v>
      </c>
      <c r="H41" s="74">
        <v>45867</v>
      </c>
      <c r="I41" s="75" t="s">
        <v>265</v>
      </c>
    </row>
    <row r="42" spans="1:9" ht="18" customHeight="1" x14ac:dyDescent="0.25">
      <c r="A42" s="71">
        <v>40</v>
      </c>
      <c r="B42" s="72" t="s">
        <v>135</v>
      </c>
      <c r="C42" s="72"/>
      <c r="D42" s="72">
        <v>4</v>
      </c>
      <c r="E42" s="73" t="s">
        <v>244</v>
      </c>
      <c r="F42" s="73">
        <v>2130</v>
      </c>
      <c r="G42" s="73">
        <f t="shared" si="0"/>
        <v>2110</v>
      </c>
      <c r="H42" s="74">
        <v>45867</v>
      </c>
      <c r="I42" s="75" t="s">
        <v>265</v>
      </c>
    </row>
    <row r="43" spans="1:9" ht="18" customHeight="1" x14ac:dyDescent="0.25">
      <c r="A43" s="71">
        <v>41</v>
      </c>
      <c r="B43" s="72" t="s">
        <v>36</v>
      </c>
      <c r="C43" s="72"/>
      <c r="D43" s="72">
        <v>4</v>
      </c>
      <c r="E43" s="73" t="s">
        <v>254</v>
      </c>
      <c r="F43" s="73">
        <v>1480</v>
      </c>
      <c r="G43" s="73">
        <f>F43-15</f>
        <v>1465</v>
      </c>
      <c r="H43" s="74">
        <v>45867</v>
      </c>
      <c r="I43" s="75" t="s">
        <v>265</v>
      </c>
    </row>
    <row r="44" spans="1:9" ht="18" customHeight="1" x14ac:dyDescent="0.25">
      <c r="A44" s="71">
        <v>42</v>
      </c>
      <c r="B44" s="72" t="s">
        <v>65</v>
      </c>
      <c r="C44" s="72"/>
      <c r="D44" s="72">
        <v>4</v>
      </c>
      <c r="E44" s="73" t="s">
        <v>254</v>
      </c>
      <c r="F44" s="73">
        <v>385</v>
      </c>
      <c r="G44" s="73">
        <f t="shared" ref="G44:G45" si="1">F44-15</f>
        <v>370</v>
      </c>
      <c r="H44" s="74">
        <v>45867</v>
      </c>
      <c r="I44" s="75" t="s">
        <v>265</v>
      </c>
    </row>
    <row r="45" spans="1:9" ht="18" customHeight="1" x14ac:dyDescent="0.25">
      <c r="A45" s="71">
        <v>43</v>
      </c>
      <c r="B45" s="72" t="s">
        <v>102</v>
      </c>
      <c r="C45" s="72"/>
      <c r="D45" s="72">
        <v>4</v>
      </c>
      <c r="E45" s="73" t="s">
        <v>254</v>
      </c>
      <c r="F45" s="73">
        <v>2465</v>
      </c>
      <c r="G45" s="73">
        <f t="shared" si="1"/>
        <v>2450</v>
      </c>
      <c r="H45" s="74">
        <v>45867</v>
      </c>
      <c r="I45" s="75" t="s">
        <v>265</v>
      </c>
    </row>
    <row r="46" spans="1:9" ht="18" customHeight="1" x14ac:dyDescent="0.25">
      <c r="A46" s="71">
        <v>44</v>
      </c>
      <c r="B46" s="72" t="s">
        <v>37</v>
      </c>
      <c r="C46" s="72"/>
      <c r="D46" s="72">
        <v>4</v>
      </c>
      <c r="E46" s="73" t="s">
        <v>245</v>
      </c>
      <c r="F46" s="73">
        <v>3170</v>
      </c>
      <c r="G46" s="73">
        <f>F46-25</f>
        <v>3145</v>
      </c>
      <c r="H46" s="74">
        <v>45867</v>
      </c>
      <c r="I46" s="75" t="s">
        <v>265</v>
      </c>
    </row>
    <row r="47" spans="1:9" ht="18" customHeight="1" x14ac:dyDescent="0.25">
      <c r="A47" s="71">
        <v>45</v>
      </c>
      <c r="B47" s="72" t="s">
        <v>97</v>
      </c>
      <c r="C47" s="72"/>
      <c r="D47" s="72">
        <v>4</v>
      </c>
      <c r="E47" s="73" t="s">
        <v>255</v>
      </c>
      <c r="F47" s="73">
        <v>920</v>
      </c>
      <c r="G47" s="73">
        <f>F47-10</f>
        <v>910</v>
      </c>
      <c r="H47" s="74">
        <v>45867</v>
      </c>
      <c r="I47" s="75" t="s">
        <v>265</v>
      </c>
    </row>
    <row r="48" spans="1:9" ht="18" customHeight="1" x14ac:dyDescent="0.25">
      <c r="A48" s="71">
        <v>46</v>
      </c>
      <c r="B48" s="72" t="s">
        <v>124</v>
      </c>
      <c r="C48" s="72"/>
      <c r="D48" s="72">
        <v>4</v>
      </c>
      <c r="E48" s="73" t="s">
        <v>246</v>
      </c>
      <c r="F48" s="73">
        <v>1060</v>
      </c>
      <c r="G48" s="73">
        <f>F48-30</f>
        <v>1030</v>
      </c>
      <c r="H48" s="74">
        <v>45867</v>
      </c>
      <c r="I48" s="75" t="s">
        <v>265</v>
      </c>
    </row>
    <row r="49" spans="1:9" ht="18" customHeight="1" x14ac:dyDescent="0.25">
      <c r="A49" s="71">
        <v>47</v>
      </c>
      <c r="B49" s="89" t="s">
        <v>134</v>
      </c>
      <c r="C49" s="89"/>
      <c r="D49" s="89">
        <v>4</v>
      </c>
      <c r="E49" s="90" t="s">
        <v>256</v>
      </c>
      <c r="F49" s="90">
        <v>2180</v>
      </c>
      <c r="G49" s="90">
        <f>F49-50</f>
        <v>2130</v>
      </c>
      <c r="H49" s="91">
        <v>45867</v>
      </c>
      <c r="I49" s="75" t="s">
        <v>265</v>
      </c>
    </row>
    <row r="50" spans="1:9" ht="15.75" x14ac:dyDescent="0.25">
      <c r="A50" s="71">
        <v>48</v>
      </c>
      <c r="B50" s="92" t="s">
        <v>231</v>
      </c>
      <c r="C50" s="92"/>
      <c r="D50" s="92">
        <v>4</v>
      </c>
      <c r="E50" s="92" t="s">
        <v>232</v>
      </c>
      <c r="F50" s="92" t="s">
        <v>262</v>
      </c>
      <c r="G50" s="92" t="s">
        <v>261</v>
      </c>
      <c r="H50" s="93">
        <v>45873</v>
      </c>
      <c r="I50" s="92" t="s">
        <v>226</v>
      </c>
    </row>
    <row r="51" spans="1:9" ht="15.75" x14ac:dyDescent="0.25">
      <c r="A51" s="92">
        <v>49</v>
      </c>
      <c r="B51" s="72" t="s">
        <v>20</v>
      </c>
      <c r="C51" s="94"/>
      <c r="D51" s="72">
        <v>4</v>
      </c>
      <c r="E51" s="73" t="s">
        <v>264</v>
      </c>
      <c r="F51" s="73">
        <v>410</v>
      </c>
      <c r="G51" s="72">
        <v>420</v>
      </c>
      <c r="H51" s="93">
        <v>45873</v>
      </c>
      <c r="I51" s="92" t="s">
        <v>226</v>
      </c>
    </row>
    <row r="52" spans="1:9" ht="15.75" x14ac:dyDescent="0.25">
      <c r="B52" s="72" t="s">
        <v>266</v>
      </c>
      <c r="C52" s="94"/>
      <c r="D52" s="72">
        <v>5</v>
      </c>
      <c r="E52" s="73" t="s">
        <v>267</v>
      </c>
      <c r="F52" s="73">
        <v>125</v>
      </c>
      <c r="G52" s="94">
        <v>140</v>
      </c>
      <c r="H52" s="104">
        <v>45920</v>
      </c>
      <c r="I52" s="92" t="s">
        <v>226</v>
      </c>
    </row>
    <row r="53" spans="1:9" ht="15.75" x14ac:dyDescent="0.25">
      <c r="B53" s="72" t="s">
        <v>269</v>
      </c>
      <c r="C53" s="107"/>
      <c r="D53" s="163">
        <v>6</v>
      </c>
      <c r="E53" s="73" t="s">
        <v>270</v>
      </c>
      <c r="F53" s="107" t="s">
        <v>271</v>
      </c>
      <c r="G53" s="107" t="s">
        <v>272</v>
      </c>
      <c r="H53" s="108">
        <v>45937</v>
      </c>
      <c r="I53" s="92" t="s">
        <v>226</v>
      </c>
    </row>
    <row r="54" spans="1:9" x14ac:dyDescent="0.25">
      <c r="B54" s="107" t="s">
        <v>273</v>
      </c>
      <c r="C54" s="107"/>
      <c r="D54" s="164"/>
      <c r="E54" s="107" t="s">
        <v>274</v>
      </c>
      <c r="F54" s="107" t="s">
        <v>276</v>
      </c>
      <c r="G54" s="107" t="s">
        <v>275</v>
      </c>
      <c r="H54" s="108">
        <v>45937</v>
      </c>
      <c r="I54" s="107" t="s">
        <v>265</v>
      </c>
    </row>
    <row r="55" spans="1:9" x14ac:dyDescent="0.25">
      <c r="B55" s="107"/>
      <c r="C55" s="107"/>
      <c r="D55" s="107"/>
      <c r="E55" s="107"/>
      <c r="F55" s="107"/>
      <c r="G55" s="107"/>
      <c r="H55" s="107"/>
      <c r="I55" s="107"/>
    </row>
    <row r="56" spans="1:9" x14ac:dyDescent="0.25">
      <c r="B56" s="109"/>
      <c r="C56" s="109"/>
      <c r="D56" s="109"/>
      <c r="E56" s="109"/>
      <c r="F56" s="109"/>
      <c r="G56" s="109"/>
      <c r="H56" s="109"/>
      <c r="I56" s="109"/>
    </row>
  </sheetData>
  <sheetProtection password="DE0D" sheet="1" objects="1" scenarios="1"/>
  <mergeCells count="2">
    <mergeCell ref="A1:I1"/>
    <mergeCell ref="D53:D5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15"/>
  <sheetViews>
    <sheetView view="pageBreakPreview" topLeftCell="A25" zoomScale="70" zoomScaleNormal="70" zoomScaleSheetLayoutView="70" workbookViewId="0">
      <selection activeCell="J32" sqref="J32"/>
    </sheetView>
  </sheetViews>
  <sheetFormatPr defaultRowHeight="15" x14ac:dyDescent="0.25"/>
  <cols>
    <col min="1" max="1" width="1" customWidth="1"/>
    <col min="2" max="2" width="6.42578125" customWidth="1"/>
    <col min="3" max="3" width="9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25">
      <c r="B1" s="117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1:14" ht="28.35" customHeight="1" x14ac:dyDescent="0.25">
      <c r="B2" s="120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2"/>
    </row>
    <row r="3" spans="1:14" ht="15.95" customHeight="1" x14ac:dyDescent="0.25">
      <c r="B3" s="123" t="s">
        <v>2</v>
      </c>
      <c r="C3" s="124"/>
      <c r="D3" s="124"/>
      <c r="E3" s="124"/>
      <c r="F3" s="124"/>
      <c r="G3" s="124"/>
      <c r="H3" s="10" t="s">
        <v>161</v>
      </c>
      <c r="I3" s="8" t="s">
        <v>194</v>
      </c>
      <c r="J3" s="99" t="s">
        <v>211</v>
      </c>
      <c r="K3" s="125" t="s">
        <v>195</v>
      </c>
      <c r="L3" s="126"/>
      <c r="M3" s="125" t="s">
        <v>196</v>
      </c>
      <c r="N3" s="127"/>
    </row>
    <row r="4" spans="1:14" ht="21" customHeight="1" x14ac:dyDescent="0.25">
      <c r="B4" s="123" t="s">
        <v>3</v>
      </c>
      <c r="C4" s="124"/>
      <c r="D4" s="124"/>
      <c r="E4" s="124"/>
      <c r="F4" s="124"/>
      <c r="G4" s="124"/>
      <c r="H4" s="99" t="s">
        <v>4</v>
      </c>
      <c r="I4" s="9" t="s">
        <v>197</v>
      </c>
      <c r="J4" s="10">
        <v>4</v>
      </c>
      <c r="K4" s="128" t="s">
        <v>198</v>
      </c>
      <c r="L4" s="129"/>
      <c r="M4" s="124" t="s">
        <v>200</v>
      </c>
      <c r="N4" s="130"/>
    </row>
    <row r="5" spans="1:14" ht="21" customHeight="1" x14ac:dyDescent="0.25">
      <c r="B5" s="123" t="s">
        <v>5</v>
      </c>
      <c r="C5" s="124"/>
      <c r="D5" s="124"/>
      <c r="E5" s="124"/>
      <c r="F5" s="124"/>
      <c r="G5" s="124"/>
      <c r="H5" s="99" t="s">
        <v>18</v>
      </c>
      <c r="I5" s="9" t="s">
        <v>199</v>
      </c>
      <c r="J5" s="21">
        <v>45873</v>
      </c>
      <c r="K5" s="136" t="s">
        <v>6</v>
      </c>
      <c r="L5" s="137"/>
      <c r="M5" s="138" t="s">
        <v>7</v>
      </c>
      <c r="N5" s="139"/>
    </row>
    <row r="6" spans="1:14" ht="56.25" customHeight="1" x14ac:dyDescent="0.25">
      <c r="B6" s="7" t="s">
        <v>160</v>
      </c>
      <c r="C6" s="5" t="s">
        <v>8</v>
      </c>
      <c r="D6" s="140" t="s">
        <v>9</v>
      </c>
      <c r="E6" s="140"/>
      <c r="F6" s="140"/>
      <c r="G6" s="140"/>
      <c r="H6" s="2" t="s">
        <v>10</v>
      </c>
      <c r="I6" s="100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13">
        <v>1</v>
      </c>
      <c r="C7" s="97" t="s">
        <v>25</v>
      </c>
      <c r="D7" s="135" t="s">
        <v>71</v>
      </c>
      <c r="E7" s="135"/>
      <c r="F7" s="135"/>
      <c r="G7" s="135"/>
      <c r="H7" s="97" t="s">
        <v>162</v>
      </c>
      <c r="I7" s="97" t="s">
        <v>19</v>
      </c>
      <c r="J7" s="97">
        <v>1220</v>
      </c>
      <c r="K7" s="42">
        <v>5</v>
      </c>
      <c r="L7" s="97" t="s">
        <v>72</v>
      </c>
      <c r="M7" s="50">
        <v>10</v>
      </c>
      <c r="N7" s="44" t="s">
        <v>164</v>
      </c>
    </row>
    <row r="8" spans="1:14" ht="35.1" customHeight="1" x14ac:dyDescent="0.25">
      <c r="B8" s="13">
        <v>2</v>
      </c>
      <c r="C8" s="97" t="s">
        <v>26</v>
      </c>
      <c r="D8" s="135" t="s">
        <v>71</v>
      </c>
      <c r="E8" s="135"/>
      <c r="F8" s="135"/>
      <c r="G8" s="135"/>
      <c r="H8" s="97" t="s">
        <v>162</v>
      </c>
      <c r="I8" s="97" t="s">
        <v>73</v>
      </c>
      <c r="J8" s="97">
        <v>830</v>
      </c>
      <c r="K8" s="77">
        <v>12</v>
      </c>
      <c r="L8" s="41" t="s">
        <v>165</v>
      </c>
      <c r="M8" s="42">
        <v>5</v>
      </c>
      <c r="N8" s="43" t="s">
        <v>72</v>
      </c>
    </row>
    <row r="9" spans="1:14" ht="35.1" customHeight="1" x14ac:dyDescent="0.25">
      <c r="B9" s="13">
        <v>3</v>
      </c>
      <c r="C9" s="97" t="s">
        <v>74</v>
      </c>
      <c r="D9" s="135" t="s">
        <v>91</v>
      </c>
      <c r="E9" s="135"/>
      <c r="F9" s="135"/>
      <c r="G9" s="135"/>
      <c r="H9" s="97" t="s">
        <v>163</v>
      </c>
      <c r="I9" s="97" t="s">
        <v>75</v>
      </c>
      <c r="J9" s="97">
        <v>1725</v>
      </c>
      <c r="K9" s="77">
        <v>12</v>
      </c>
      <c r="L9" s="41" t="s">
        <v>165</v>
      </c>
      <c r="M9" s="42">
        <v>3.5</v>
      </c>
      <c r="N9" s="43" t="s">
        <v>141</v>
      </c>
    </row>
    <row r="10" spans="1:14" ht="35.1" customHeight="1" x14ac:dyDescent="0.25">
      <c r="B10" s="13">
        <v>4</v>
      </c>
      <c r="C10" s="97" t="s">
        <v>27</v>
      </c>
      <c r="D10" s="135" t="s">
        <v>76</v>
      </c>
      <c r="E10" s="135"/>
      <c r="F10" s="135"/>
      <c r="G10" s="135"/>
      <c r="H10" s="97" t="s">
        <v>159</v>
      </c>
      <c r="I10" s="97" t="s">
        <v>73</v>
      </c>
      <c r="J10" s="97">
        <v>1950</v>
      </c>
      <c r="K10" s="42">
        <v>3</v>
      </c>
      <c r="L10" s="97">
        <v>39000040</v>
      </c>
      <c r="M10" s="78">
        <v>12</v>
      </c>
      <c r="N10" s="44" t="s">
        <v>170</v>
      </c>
    </row>
    <row r="11" spans="1:14" ht="35.1" customHeight="1" x14ac:dyDescent="0.25">
      <c r="B11" s="13">
        <v>5</v>
      </c>
      <c r="C11" s="97" t="s">
        <v>28</v>
      </c>
      <c r="D11" s="135" t="s">
        <v>71</v>
      </c>
      <c r="E11" s="135"/>
      <c r="F11" s="135"/>
      <c r="G11" s="135"/>
      <c r="H11" s="97" t="s">
        <v>162</v>
      </c>
      <c r="I11" s="97" t="s">
        <v>77</v>
      </c>
      <c r="J11" s="97">
        <v>490</v>
      </c>
      <c r="K11" s="42">
        <v>3</v>
      </c>
      <c r="L11" s="97" t="s">
        <v>142</v>
      </c>
      <c r="M11" s="51">
        <v>10</v>
      </c>
      <c r="N11" s="44" t="s">
        <v>189</v>
      </c>
    </row>
    <row r="12" spans="1:14" ht="35.1" customHeight="1" x14ac:dyDescent="0.25">
      <c r="B12" s="13">
        <v>6</v>
      </c>
      <c r="C12" s="97" t="s">
        <v>29</v>
      </c>
      <c r="D12" s="135" t="s">
        <v>91</v>
      </c>
      <c r="E12" s="135"/>
      <c r="F12" s="135"/>
      <c r="G12" s="135"/>
      <c r="H12" s="97" t="s">
        <v>163</v>
      </c>
      <c r="I12" s="97" t="s">
        <v>73</v>
      </c>
      <c r="J12" s="97">
        <v>1345</v>
      </c>
      <c r="K12" s="42">
        <v>3</v>
      </c>
      <c r="L12" s="97" t="s">
        <v>143</v>
      </c>
      <c r="M12" s="42">
        <v>3</v>
      </c>
      <c r="N12" s="44" t="s">
        <v>143</v>
      </c>
    </row>
    <row r="13" spans="1:14" ht="35.1" customHeight="1" x14ac:dyDescent="0.25">
      <c r="B13" s="13">
        <v>7</v>
      </c>
      <c r="C13" s="97" t="s">
        <v>30</v>
      </c>
      <c r="D13" s="135" t="s">
        <v>76</v>
      </c>
      <c r="E13" s="135"/>
      <c r="F13" s="135"/>
      <c r="G13" s="135"/>
      <c r="H13" s="97" t="s">
        <v>159</v>
      </c>
      <c r="I13" s="97" t="s">
        <v>78</v>
      </c>
      <c r="J13" s="97">
        <f>1390-20</f>
        <v>1370</v>
      </c>
      <c r="K13" s="42">
        <v>3.2</v>
      </c>
      <c r="L13" s="97" t="s">
        <v>144</v>
      </c>
      <c r="M13" s="81">
        <v>7</v>
      </c>
      <c r="N13" s="44" t="s">
        <v>167</v>
      </c>
    </row>
    <row r="14" spans="1:14" ht="35.1" customHeight="1" x14ac:dyDescent="0.25">
      <c r="B14" s="13">
        <v>8</v>
      </c>
      <c r="C14" s="97" t="s">
        <v>31</v>
      </c>
      <c r="D14" s="135" t="s">
        <v>91</v>
      </c>
      <c r="E14" s="135"/>
      <c r="F14" s="135"/>
      <c r="G14" s="135"/>
      <c r="H14" s="97" t="s">
        <v>163</v>
      </c>
      <c r="I14" s="97" t="s">
        <v>79</v>
      </c>
      <c r="J14" s="98">
        <v>1000</v>
      </c>
      <c r="K14" s="42">
        <v>3</v>
      </c>
      <c r="L14" s="97" t="s">
        <v>145</v>
      </c>
      <c r="M14" s="81">
        <v>7</v>
      </c>
      <c r="N14" s="44" t="s">
        <v>168</v>
      </c>
    </row>
    <row r="15" spans="1:14" ht="35.1" customHeight="1" x14ac:dyDescent="0.25">
      <c r="B15" s="13">
        <v>9</v>
      </c>
      <c r="C15" s="97" t="s">
        <v>32</v>
      </c>
      <c r="D15" s="135" t="s">
        <v>91</v>
      </c>
      <c r="E15" s="135"/>
      <c r="F15" s="135"/>
      <c r="G15" s="135"/>
      <c r="H15" s="97" t="s">
        <v>163</v>
      </c>
      <c r="I15" s="97" t="s">
        <v>79</v>
      </c>
      <c r="J15" s="97">
        <v>1400</v>
      </c>
      <c r="K15" s="42">
        <v>3</v>
      </c>
      <c r="L15" s="97" t="s">
        <v>143</v>
      </c>
      <c r="M15" s="42">
        <v>2</v>
      </c>
      <c r="N15" s="44" t="s">
        <v>145</v>
      </c>
    </row>
    <row r="16" spans="1:14" ht="35.1" customHeight="1" x14ac:dyDescent="0.25">
      <c r="A16" s="4"/>
      <c r="B16" s="13">
        <v>10</v>
      </c>
      <c r="C16" s="97" t="s">
        <v>33</v>
      </c>
      <c r="D16" s="135" t="s">
        <v>91</v>
      </c>
      <c r="E16" s="135"/>
      <c r="F16" s="135"/>
      <c r="G16" s="135"/>
      <c r="H16" s="97" t="s">
        <v>163</v>
      </c>
      <c r="I16" s="97" t="s">
        <v>80</v>
      </c>
      <c r="J16" s="97">
        <v>1155</v>
      </c>
      <c r="K16" s="42">
        <v>3</v>
      </c>
      <c r="L16" s="97" t="s">
        <v>145</v>
      </c>
      <c r="M16" s="42">
        <v>3</v>
      </c>
      <c r="N16" s="43" t="s">
        <v>143</v>
      </c>
    </row>
    <row r="17" spans="1:15" ht="35.1" customHeight="1" x14ac:dyDescent="0.25">
      <c r="B17" s="13">
        <v>11</v>
      </c>
      <c r="C17" s="97" t="s">
        <v>34</v>
      </c>
      <c r="D17" s="135" t="s">
        <v>71</v>
      </c>
      <c r="E17" s="135"/>
      <c r="F17" s="135"/>
      <c r="G17" s="135"/>
      <c r="H17" s="97" t="s">
        <v>162</v>
      </c>
      <c r="I17" s="97" t="s">
        <v>77</v>
      </c>
      <c r="J17" s="97">
        <v>1205</v>
      </c>
      <c r="K17" s="42">
        <v>3</v>
      </c>
      <c r="L17" s="97" t="s">
        <v>146</v>
      </c>
      <c r="M17" s="42">
        <v>5</v>
      </c>
      <c r="N17" s="43" t="s">
        <v>147</v>
      </c>
    </row>
    <row r="18" spans="1:15" ht="35.1" customHeight="1" x14ac:dyDescent="0.25">
      <c r="B18" s="13">
        <v>12</v>
      </c>
      <c r="C18" s="97" t="s">
        <v>35</v>
      </c>
      <c r="D18" s="135" t="s">
        <v>91</v>
      </c>
      <c r="E18" s="135"/>
      <c r="F18" s="135"/>
      <c r="G18" s="135"/>
      <c r="H18" s="97" t="s">
        <v>163</v>
      </c>
      <c r="I18" s="97" t="s">
        <v>75</v>
      </c>
      <c r="J18" s="97">
        <v>1400</v>
      </c>
      <c r="K18" s="42">
        <v>3</v>
      </c>
      <c r="L18" s="97" t="s">
        <v>145</v>
      </c>
      <c r="M18" s="42">
        <v>3</v>
      </c>
      <c r="N18" s="44" t="s">
        <v>143</v>
      </c>
    </row>
    <row r="19" spans="1:15" ht="35.1" customHeight="1" x14ac:dyDescent="0.25">
      <c r="B19" s="13">
        <v>13</v>
      </c>
      <c r="C19" s="97" t="s">
        <v>36</v>
      </c>
      <c r="D19" s="135" t="s">
        <v>91</v>
      </c>
      <c r="E19" s="135"/>
      <c r="F19" s="135"/>
      <c r="G19" s="135"/>
      <c r="H19" s="97" t="s">
        <v>163</v>
      </c>
      <c r="I19" s="97" t="s">
        <v>81</v>
      </c>
      <c r="J19" s="98">
        <f>1480-15</f>
        <v>1465</v>
      </c>
      <c r="K19" s="42">
        <v>3</v>
      </c>
      <c r="L19" s="97" t="s">
        <v>148</v>
      </c>
      <c r="M19" s="42">
        <v>2</v>
      </c>
      <c r="N19" s="43" t="s">
        <v>145</v>
      </c>
    </row>
    <row r="20" spans="1:15" ht="49.5" customHeight="1" x14ac:dyDescent="0.25">
      <c r="B20" s="13">
        <v>14</v>
      </c>
      <c r="C20" s="97" t="s">
        <v>37</v>
      </c>
      <c r="D20" s="135" t="s">
        <v>91</v>
      </c>
      <c r="E20" s="135"/>
      <c r="F20" s="135"/>
      <c r="G20" s="135"/>
      <c r="H20" s="97" t="s">
        <v>163</v>
      </c>
      <c r="I20" s="97" t="s">
        <v>75</v>
      </c>
      <c r="J20" s="98">
        <f>3170-25</f>
        <v>3145</v>
      </c>
      <c r="K20" s="42">
        <v>3</v>
      </c>
      <c r="L20" s="97" t="s">
        <v>148</v>
      </c>
      <c r="M20" s="42">
        <v>3</v>
      </c>
      <c r="N20" s="43" t="s">
        <v>148</v>
      </c>
      <c r="O20" s="4"/>
    </row>
    <row r="21" spans="1:15" ht="35.1" customHeight="1" x14ac:dyDescent="0.25">
      <c r="B21" s="13">
        <v>15</v>
      </c>
      <c r="C21" s="97" t="s">
        <v>38</v>
      </c>
      <c r="D21" s="135" t="s">
        <v>76</v>
      </c>
      <c r="E21" s="135"/>
      <c r="F21" s="135"/>
      <c r="G21" s="135"/>
      <c r="H21" s="97" t="s">
        <v>159</v>
      </c>
      <c r="I21" s="97" t="s">
        <v>82</v>
      </c>
      <c r="J21" s="97">
        <f>1340-20</f>
        <v>1320</v>
      </c>
      <c r="K21" s="42">
        <v>3.2</v>
      </c>
      <c r="L21" s="97" t="s">
        <v>144</v>
      </c>
      <c r="M21" s="81">
        <v>7</v>
      </c>
      <c r="N21" s="44" t="s">
        <v>169</v>
      </c>
    </row>
    <row r="22" spans="1:15" s="3" customFormat="1" ht="35.1" customHeight="1" x14ac:dyDescent="0.25">
      <c r="B22" s="13">
        <v>16</v>
      </c>
      <c r="C22" s="97" t="s">
        <v>39</v>
      </c>
      <c r="D22" s="135" t="s">
        <v>71</v>
      </c>
      <c r="E22" s="135"/>
      <c r="F22" s="135"/>
      <c r="G22" s="135"/>
      <c r="H22" s="97" t="s">
        <v>162</v>
      </c>
      <c r="I22" s="97" t="s">
        <v>73</v>
      </c>
      <c r="J22" s="97">
        <v>1145</v>
      </c>
      <c r="K22" s="42">
        <v>3</v>
      </c>
      <c r="L22" s="97" t="s">
        <v>142</v>
      </c>
      <c r="M22" s="79">
        <v>12</v>
      </c>
      <c r="N22" s="44" t="s">
        <v>170</v>
      </c>
    </row>
    <row r="23" spans="1:15" ht="35.1" customHeight="1" x14ac:dyDescent="0.25">
      <c r="A23" s="4"/>
      <c r="B23" s="13">
        <v>17</v>
      </c>
      <c r="C23" s="97" t="s">
        <v>40</v>
      </c>
      <c r="D23" s="135" t="s">
        <v>91</v>
      </c>
      <c r="E23" s="135"/>
      <c r="F23" s="135"/>
      <c r="G23" s="135"/>
      <c r="H23" s="97" t="s">
        <v>163</v>
      </c>
      <c r="I23" s="97" t="s">
        <v>83</v>
      </c>
      <c r="J23" s="97">
        <v>815</v>
      </c>
      <c r="K23" s="42">
        <v>5</v>
      </c>
      <c r="L23" s="97" t="s">
        <v>149</v>
      </c>
      <c r="M23" s="42">
        <v>2</v>
      </c>
      <c r="N23" s="44" t="s">
        <v>145</v>
      </c>
    </row>
    <row r="24" spans="1:15" ht="35.1" customHeight="1" x14ac:dyDescent="0.25">
      <c r="B24" s="13">
        <v>18</v>
      </c>
      <c r="C24" s="97" t="s">
        <v>41</v>
      </c>
      <c r="D24" s="135" t="s">
        <v>71</v>
      </c>
      <c r="E24" s="135"/>
      <c r="F24" s="135"/>
      <c r="G24" s="135"/>
      <c r="H24" s="97" t="s">
        <v>162</v>
      </c>
      <c r="I24" s="97" t="s">
        <v>19</v>
      </c>
      <c r="J24" s="97">
        <v>490</v>
      </c>
      <c r="K24" s="42">
        <v>3</v>
      </c>
      <c r="L24" s="41" t="s">
        <v>142</v>
      </c>
      <c r="M24" s="76">
        <v>10</v>
      </c>
      <c r="N24" s="44" t="s">
        <v>166</v>
      </c>
    </row>
    <row r="25" spans="1:15" ht="35.1" customHeight="1" x14ac:dyDescent="0.25">
      <c r="B25" s="13">
        <v>19</v>
      </c>
      <c r="C25" s="97" t="s">
        <v>42</v>
      </c>
      <c r="D25" s="135" t="s">
        <v>76</v>
      </c>
      <c r="E25" s="135"/>
      <c r="F25" s="135"/>
      <c r="G25" s="135"/>
      <c r="H25" s="97" t="s">
        <v>159</v>
      </c>
      <c r="I25" s="97" t="s">
        <v>19</v>
      </c>
      <c r="J25" s="97">
        <f>775-20</f>
        <v>755</v>
      </c>
      <c r="K25" s="42">
        <v>3.2</v>
      </c>
      <c r="L25" s="97" t="s">
        <v>144</v>
      </c>
      <c r="M25" s="82">
        <v>7</v>
      </c>
      <c r="N25" s="44" t="s">
        <v>171</v>
      </c>
    </row>
    <row r="26" spans="1:15" ht="35.1" customHeight="1" x14ac:dyDescent="0.25">
      <c r="B26" s="13">
        <v>20</v>
      </c>
      <c r="C26" s="97" t="s">
        <v>43</v>
      </c>
      <c r="D26" s="135" t="s">
        <v>71</v>
      </c>
      <c r="E26" s="135"/>
      <c r="F26" s="135"/>
      <c r="G26" s="135"/>
      <c r="H26" s="97" t="s">
        <v>162</v>
      </c>
      <c r="I26" s="97" t="s">
        <v>84</v>
      </c>
      <c r="J26" s="97">
        <v>2195</v>
      </c>
      <c r="K26" s="50">
        <v>10</v>
      </c>
      <c r="L26" s="41" t="s">
        <v>190</v>
      </c>
      <c r="M26" s="42">
        <v>3</v>
      </c>
      <c r="N26" s="43" t="s">
        <v>142</v>
      </c>
    </row>
    <row r="27" spans="1:15" ht="35.1" customHeight="1" x14ac:dyDescent="0.25">
      <c r="A27" s="4"/>
      <c r="B27" s="13">
        <v>21</v>
      </c>
      <c r="C27" s="97" t="s">
        <v>44</v>
      </c>
      <c r="D27" s="135" t="s">
        <v>71</v>
      </c>
      <c r="E27" s="135"/>
      <c r="F27" s="135"/>
      <c r="G27" s="135"/>
      <c r="H27" s="97" t="s">
        <v>162</v>
      </c>
      <c r="I27" s="97" t="s">
        <v>84</v>
      </c>
      <c r="J27" s="97">
        <v>875</v>
      </c>
      <c r="K27" s="42">
        <v>3</v>
      </c>
      <c r="L27" s="97" t="s">
        <v>142</v>
      </c>
      <c r="M27" s="51">
        <v>10</v>
      </c>
      <c r="N27" s="44" t="s">
        <v>172</v>
      </c>
    </row>
    <row r="28" spans="1:15" ht="35.1" customHeight="1" x14ac:dyDescent="0.25">
      <c r="B28" s="13">
        <v>22</v>
      </c>
      <c r="C28" s="97" t="s">
        <v>45</v>
      </c>
      <c r="D28" s="135" t="s">
        <v>91</v>
      </c>
      <c r="E28" s="135"/>
      <c r="F28" s="135"/>
      <c r="G28" s="135"/>
      <c r="H28" s="97" t="s">
        <v>163</v>
      </c>
      <c r="I28" s="41" t="s">
        <v>173</v>
      </c>
      <c r="J28" s="97">
        <v>125</v>
      </c>
      <c r="K28" s="42">
        <v>3</v>
      </c>
      <c r="L28" s="97" t="s">
        <v>143</v>
      </c>
      <c r="M28" s="81">
        <v>7</v>
      </c>
      <c r="N28" s="44" t="s">
        <v>174</v>
      </c>
    </row>
    <row r="29" spans="1:15" ht="35.1" customHeight="1" x14ac:dyDescent="0.25">
      <c r="B29" s="13">
        <v>23</v>
      </c>
      <c r="C29" s="97" t="s">
        <v>46</v>
      </c>
      <c r="D29" s="135" t="s">
        <v>91</v>
      </c>
      <c r="E29" s="135"/>
      <c r="F29" s="135"/>
      <c r="G29" s="135"/>
      <c r="H29" s="97" t="s">
        <v>163</v>
      </c>
      <c r="I29" s="97" t="s">
        <v>73</v>
      </c>
      <c r="J29" s="97">
        <v>1150</v>
      </c>
      <c r="K29" s="42">
        <v>2</v>
      </c>
      <c r="L29" s="97" t="s">
        <v>145</v>
      </c>
      <c r="M29" s="42">
        <v>3</v>
      </c>
      <c r="N29" s="44" t="s">
        <v>143</v>
      </c>
    </row>
    <row r="30" spans="1:15" ht="35.1" customHeight="1" x14ac:dyDescent="0.25">
      <c r="B30" s="13">
        <v>24</v>
      </c>
      <c r="C30" s="97" t="s">
        <v>47</v>
      </c>
      <c r="D30" s="135" t="s">
        <v>71</v>
      </c>
      <c r="E30" s="135"/>
      <c r="F30" s="135"/>
      <c r="G30" s="135"/>
      <c r="H30" s="97" t="s">
        <v>162</v>
      </c>
      <c r="I30" s="97" t="s">
        <v>85</v>
      </c>
      <c r="J30" s="97">
        <v>895</v>
      </c>
      <c r="K30" s="42">
        <v>3</v>
      </c>
      <c r="L30" s="97" t="s">
        <v>142</v>
      </c>
      <c r="M30" s="79">
        <v>12</v>
      </c>
      <c r="N30" s="44" t="s">
        <v>170</v>
      </c>
    </row>
    <row r="31" spans="1:15" ht="35.1" customHeight="1" x14ac:dyDescent="0.25">
      <c r="B31" s="13">
        <v>25</v>
      </c>
      <c r="C31" s="97" t="s">
        <v>48</v>
      </c>
      <c r="D31" s="135" t="s">
        <v>71</v>
      </c>
      <c r="E31" s="135"/>
      <c r="F31" s="135"/>
      <c r="G31" s="135"/>
      <c r="H31" s="97" t="s">
        <v>162</v>
      </c>
      <c r="I31" s="97" t="s">
        <v>73</v>
      </c>
      <c r="J31" s="97">
        <v>895</v>
      </c>
      <c r="K31" s="80">
        <v>12</v>
      </c>
      <c r="L31" s="41" t="s">
        <v>170</v>
      </c>
      <c r="M31" s="42">
        <v>3</v>
      </c>
      <c r="N31" s="44" t="s">
        <v>142</v>
      </c>
    </row>
    <row r="32" spans="1:15" ht="35.1" customHeight="1" x14ac:dyDescent="0.25">
      <c r="B32" s="13">
        <v>26</v>
      </c>
      <c r="C32" s="97" t="s">
        <v>86</v>
      </c>
      <c r="D32" s="135" t="s">
        <v>91</v>
      </c>
      <c r="E32" s="135"/>
      <c r="F32" s="135"/>
      <c r="G32" s="135"/>
      <c r="H32" s="97" t="s">
        <v>163</v>
      </c>
      <c r="I32" s="97" t="s">
        <v>85</v>
      </c>
      <c r="J32" s="97">
        <v>1735</v>
      </c>
      <c r="K32" s="80">
        <v>12</v>
      </c>
      <c r="L32" s="41" t="s">
        <v>165</v>
      </c>
      <c r="M32" s="42">
        <v>3</v>
      </c>
      <c r="N32" s="44" t="s">
        <v>141</v>
      </c>
    </row>
    <row r="33" spans="2:14" ht="35.1" customHeight="1" x14ac:dyDescent="0.25">
      <c r="B33" s="13">
        <v>27</v>
      </c>
      <c r="C33" s="97" t="s">
        <v>87</v>
      </c>
      <c r="D33" s="135" t="s">
        <v>71</v>
      </c>
      <c r="E33" s="135"/>
      <c r="F33" s="135"/>
      <c r="G33" s="135"/>
      <c r="H33" s="97" t="s">
        <v>162</v>
      </c>
      <c r="I33" s="97" t="s">
        <v>88</v>
      </c>
      <c r="J33" s="97">
        <v>280</v>
      </c>
      <c r="K33" s="42">
        <v>3.2</v>
      </c>
      <c r="L33" s="97" t="s">
        <v>146</v>
      </c>
      <c r="M33" s="81">
        <v>7</v>
      </c>
      <c r="N33" s="44" t="s">
        <v>175</v>
      </c>
    </row>
    <row r="34" spans="2:14" ht="35.1" customHeight="1" x14ac:dyDescent="0.25">
      <c r="B34" s="13">
        <v>28</v>
      </c>
      <c r="C34" s="97" t="s">
        <v>89</v>
      </c>
      <c r="D34" s="135" t="s">
        <v>91</v>
      </c>
      <c r="E34" s="135"/>
      <c r="F34" s="135"/>
      <c r="G34" s="135"/>
      <c r="H34" s="97" t="s">
        <v>163</v>
      </c>
      <c r="I34" s="97" t="s">
        <v>82</v>
      </c>
      <c r="J34" s="98">
        <f>1010-20</f>
        <v>990</v>
      </c>
      <c r="K34" s="42">
        <v>2</v>
      </c>
      <c r="L34" s="97" t="s">
        <v>145</v>
      </c>
      <c r="M34" s="81">
        <v>7</v>
      </c>
      <c r="N34" s="44" t="s">
        <v>176</v>
      </c>
    </row>
    <row r="35" spans="2:14" ht="35.1" customHeight="1" x14ac:dyDescent="0.25">
      <c r="B35" s="13">
        <v>29</v>
      </c>
      <c r="C35" s="97" t="s">
        <v>49</v>
      </c>
      <c r="D35" s="135" t="s">
        <v>91</v>
      </c>
      <c r="E35" s="135"/>
      <c r="F35" s="135"/>
      <c r="G35" s="135"/>
      <c r="H35" s="97" t="s">
        <v>163</v>
      </c>
      <c r="I35" s="97" t="s">
        <v>82</v>
      </c>
      <c r="J35" s="97">
        <f>1580-20</f>
        <v>1560</v>
      </c>
      <c r="K35" s="42">
        <v>3.5</v>
      </c>
      <c r="L35" s="97" t="s">
        <v>150</v>
      </c>
      <c r="M35" s="81">
        <v>7</v>
      </c>
      <c r="N35" s="44" t="s">
        <v>169</v>
      </c>
    </row>
    <row r="36" spans="2:14" ht="35.1" customHeight="1" x14ac:dyDescent="0.25">
      <c r="B36" s="13">
        <v>30</v>
      </c>
      <c r="C36" s="97" t="s">
        <v>50</v>
      </c>
      <c r="D36" s="135" t="s">
        <v>91</v>
      </c>
      <c r="E36" s="135"/>
      <c r="F36" s="135"/>
      <c r="G36" s="135"/>
      <c r="H36" s="97" t="s">
        <v>163</v>
      </c>
      <c r="I36" s="97" t="s">
        <v>78</v>
      </c>
      <c r="J36" s="97">
        <f>1640-20</f>
        <v>1620</v>
      </c>
      <c r="K36" s="42">
        <v>3.5</v>
      </c>
      <c r="L36" s="97" t="s">
        <v>150</v>
      </c>
      <c r="M36" s="81">
        <v>7</v>
      </c>
      <c r="N36" s="44" t="s">
        <v>167</v>
      </c>
    </row>
    <row r="37" spans="2:14" ht="35.1" customHeight="1" x14ac:dyDescent="0.25">
      <c r="B37" s="13">
        <v>31</v>
      </c>
      <c r="C37" s="97" t="s">
        <v>51</v>
      </c>
      <c r="D37" s="135" t="s">
        <v>91</v>
      </c>
      <c r="E37" s="135"/>
      <c r="F37" s="135"/>
      <c r="G37" s="135"/>
      <c r="H37" s="97" t="s">
        <v>163</v>
      </c>
      <c r="I37" s="97" t="s">
        <v>19</v>
      </c>
      <c r="J37" s="97">
        <f>1020-20</f>
        <v>1000</v>
      </c>
      <c r="K37" s="42">
        <v>3.5</v>
      </c>
      <c r="L37" s="97" t="s">
        <v>150</v>
      </c>
      <c r="M37" s="81">
        <v>7</v>
      </c>
      <c r="N37" s="44" t="s">
        <v>171</v>
      </c>
    </row>
    <row r="38" spans="2:14" ht="35.1" customHeight="1" x14ac:dyDescent="0.25">
      <c r="B38" s="13">
        <v>32</v>
      </c>
      <c r="C38" s="97" t="s">
        <v>52</v>
      </c>
      <c r="D38" s="135" t="s">
        <v>91</v>
      </c>
      <c r="E38" s="135"/>
      <c r="F38" s="135"/>
      <c r="G38" s="135"/>
      <c r="H38" s="97" t="s">
        <v>163</v>
      </c>
      <c r="I38" s="97" t="s">
        <v>19</v>
      </c>
      <c r="J38" s="97">
        <v>1450</v>
      </c>
      <c r="K38" s="83">
        <v>7</v>
      </c>
      <c r="L38" s="44" t="s">
        <v>177</v>
      </c>
      <c r="M38" s="42">
        <v>3</v>
      </c>
      <c r="N38" s="44" t="s">
        <v>143</v>
      </c>
    </row>
    <row r="39" spans="2:14" ht="35.1" customHeight="1" x14ac:dyDescent="0.25">
      <c r="B39" s="13">
        <v>33</v>
      </c>
      <c r="C39" s="97" t="s">
        <v>53</v>
      </c>
      <c r="D39" s="135" t="s">
        <v>91</v>
      </c>
      <c r="E39" s="135"/>
      <c r="F39" s="135"/>
      <c r="G39" s="135"/>
      <c r="H39" s="97" t="s">
        <v>163</v>
      </c>
      <c r="I39" s="97" t="s">
        <v>78</v>
      </c>
      <c r="J39" s="97">
        <v>1210</v>
      </c>
      <c r="K39" s="83">
        <v>7</v>
      </c>
      <c r="L39" s="44" t="s">
        <v>178</v>
      </c>
      <c r="M39" s="42">
        <v>3</v>
      </c>
      <c r="N39" s="43" t="s">
        <v>143</v>
      </c>
    </row>
    <row r="40" spans="2:14" ht="35.1" customHeight="1" x14ac:dyDescent="0.25">
      <c r="B40" s="13">
        <v>34</v>
      </c>
      <c r="C40" s="97" t="s">
        <v>54</v>
      </c>
      <c r="D40" s="135" t="s">
        <v>91</v>
      </c>
      <c r="E40" s="135"/>
      <c r="F40" s="135"/>
      <c r="G40" s="135"/>
      <c r="H40" s="97" t="s">
        <v>163</v>
      </c>
      <c r="I40" s="97" t="s">
        <v>82</v>
      </c>
      <c r="J40" s="97">
        <v>1140</v>
      </c>
      <c r="K40" s="83">
        <v>7</v>
      </c>
      <c r="L40" s="44" t="s">
        <v>179</v>
      </c>
      <c r="M40" s="42">
        <v>3</v>
      </c>
      <c r="N40" s="44" t="s">
        <v>143</v>
      </c>
    </row>
    <row r="41" spans="2:14" ht="35.1" customHeight="1" x14ac:dyDescent="0.25">
      <c r="B41" s="13">
        <v>35</v>
      </c>
      <c r="C41" s="97" t="s">
        <v>55</v>
      </c>
      <c r="D41" s="135" t="s">
        <v>91</v>
      </c>
      <c r="E41" s="135"/>
      <c r="F41" s="135"/>
      <c r="G41" s="135"/>
      <c r="H41" s="97" t="s">
        <v>163</v>
      </c>
      <c r="I41" s="97" t="s">
        <v>80</v>
      </c>
      <c r="J41" s="97">
        <v>1000</v>
      </c>
      <c r="K41" s="42">
        <v>5</v>
      </c>
      <c r="L41" s="97" t="s">
        <v>149</v>
      </c>
      <c r="M41" s="42">
        <v>2</v>
      </c>
      <c r="N41" s="44" t="s">
        <v>145</v>
      </c>
    </row>
    <row r="42" spans="2:14" ht="35.1" customHeight="1" x14ac:dyDescent="0.25">
      <c r="B42" s="13">
        <v>36</v>
      </c>
      <c r="C42" s="97" t="s">
        <v>56</v>
      </c>
      <c r="D42" s="135" t="s">
        <v>91</v>
      </c>
      <c r="E42" s="135"/>
      <c r="F42" s="135"/>
      <c r="G42" s="135"/>
      <c r="H42" s="97" t="s">
        <v>163</v>
      </c>
      <c r="I42" s="41" t="s">
        <v>173</v>
      </c>
      <c r="J42" s="97">
        <v>1000</v>
      </c>
      <c r="K42" s="42">
        <v>2</v>
      </c>
      <c r="L42" s="97" t="s">
        <v>145</v>
      </c>
      <c r="M42" s="42">
        <v>5</v>
      </c>
      <c r="N42" s="44" t="s">
        <v>149</v>
      </c>
    </row>
    <row r="43" spans="2:14" ht="35.1" customHeight="1" x14ac:dyDescent="0.25">
      <c r="B43" s="13">
        <v>37</v>
      </c>
      <c r="C43" s="97" t="s">
        <v>57</v>
      </c>
      <c r="D43" s="135" t="s">
        <v>91</v>
      </c>
      <c r="E43" s="135"/>
      <c r="F43" s="135"/>
      <c r="G43" s="135"/>
      <c r="H43" s="97" t="s">
        <v>163</v>
      </c>
      <c r="I43" s="97" t="s">
        <v>82</v>
      </c>
      <c r="J43" s="97">
        <v>1270</v>
      </c>
      <c r="K43" s="42">
        <v>3</v>
      </c>
      <c r="L43" s="97" t="s">
        <v>143</v>
      </c>
      <c r="M43" s="42">
        <v>2</v>
      </c>
      <c r="N43" s="44" t="s">
        <v>145</v>
      </c>
    </row>
    <row r="44" spans="2:14" ht="35.1" customHeight="1" x14ac:dyDescent="0.25">
      <c r="B44" s="13">
        <v>38</v>
      </c>
      <c r="C44" s="97" t="s">
        <v>58</v>
      </c>
      <c r="D44" s="135" t="s">
        <v>91</v>
      </c>
      <c r="E44" s="135"/>
      <c r="F44" s="135"/>
      <c r="G44" s="135"/>
      <c r="H44" s="97" t="s">
        <v>163</v>
      </c>
      <c r="I44" s="97" t="s">
        <v>90</v>
      </c>
      <c r="J44" s="97">
        <v>1270</v>
      </c>
      <c r="K44" s="42">
        <v>2</v>
      </c>
      <c r="L44" s="97" t="s">
        <v>145</v>
      </c>
      <c r="M44" s="42">
        <v>3</v>
      </c>
      <c r="N44" s="44" t="s">
        <v>143</v>
      </c>
    </row>
    <row r="45" spans="2:14" ht="35.1" customHeight="1" x14ac:dyDescent="0.25">
      <c r="B45" s="13">
        <v>39</v>
      </c>
      <c r="C45" s="97" t="s">
        <v>70</v>
      </c>
      <c r="D45" s="135" t="s">
        <v>91</v>
      </c>
      <c r="E45" s="135"/>
      <c r="F45" s="135"/>
      <c r="G45" s="135"/>
      <c r="H45" s="97" t="s">
        <v>163</v>
      </c>
      <c r="I45" s="97" t="s">
        <v>81</v>
      </c>
      <c r="J45" s="97">
        <v>1400</v>
      </c>
      <c r="K45" s="42">
        <v>3</v>
      </c>
      <c r="L45" s="97" t="s">
        <v>143</v>
      </c>
      <c r="M45" s="42">
        <v>2</v>
      </c>
      <c r="N45" s="44" t="s">
        <v>145</v>
      </c>
    </row>
    <row r="46" spans="2:14" ht="35.1" customHeight="1" x14ac:dyDescent="0.25">
      <c r="B46" s="13">
        <v>40</v>
      </c>
      <c r="C46" s="97" t="s">
        <v>59</v>
      </c>
      <c r="D46" s="135" t="s">
        <v>91</v>
      </c>
      <c r="E46" s="135"/>
      <c r="F46" s="135"/>
      <c r="G46" s="135"/>
      <c r="H46" s="97" t="s">
        <v>163</v>
      </c>
      <c r="I46" s="97" t="s">
        <v>92</v>
      </c>
      <c r="J46" s="97">
        <v>820</v>
      </c>
      <c r="K46" s="42">
        <v>5</v>
      </c>
      <c r="L46" s="97" t="s">
        <v>151</v>
      </c>
      <c r="M46" s="42">
        <v>2</v>
      </c>
      <c r="N46" s="44" t="s">
        <v>145</v>
      </c>
    </row>
    <row r="47" spans="2:14" ht="35.1" customHeight="1" x14ac:dyDescent="0.25">
      <c r="B47" s="13">
        <v>41</v>
      </c>
      <c r="C47" s="97" t="s">
        <v>60</v>
      </c>
      <c r="D47" s="135" t="s">
        <v>91</v>
      </c>
      <c r="E47" s="135"/>
      <c r="F47" s="135"/>
      <c r="G47" s="135"/>
      <c r="H47" s="97" t="s">
        <v>163</v>
      </c>
      <c r="I47" s="97" t="s">
        <v>93</v>
      </c>
      <c r="J47" s="97">
        <v>820</v>
      </c>
      <c r="K47" s="42">
        <v>2</v>
      </c>
      <c r="L47" s="97" t="s">
        <v>145</v>
      </c>
      <c r="M47" s="42">
        <v>5</v>
      </c>
      <c r="N47" s="44" t="s">
        <v>149</v>
      </c>
    </row>
    <row r="48" spans="2:14" ht="35.1" customHeight="1" x14ac:dyDescent="0.25">
      <c r="B48" s="13">
        <v>42</v>
      </c>
      <c r="C48" s="97" t="s">
        <v>61</v>
      </c>
      <c r="D48" s="135" t="s">
        <v>91</v>
      </c>
      <c r="E48" s="135"/>
      <c r="F48" s="135"/>
      <c r="G48" s="135"/>
      <c r="H48" s="97" t="s">
        <v>163</v>
      </c>
      <c r="I48" s="97" t="s">
        <v>90</v>
      </c>
      <c r="J48" s="97">
        <f>1675-20</f>
        <v>1655</v>
      </c>
      <c r="K48" s="42">
        <v>4</v>
      </c>
      <c r="L48" s="97" t="s">
        <v>152</v>
      </c>
      <c r="M48" s="42">
        <v>2</v>
      </c>
      <c r="N48" s="44" t="s">
        <v>153</v>
      </c>
    </row>
    <row r="49" spans="2:15" ht="35.1" customHeight="1" x14ac:dyDescent="0.25">
      <c r="B49" s="13">
        <v>43</v>
      </c>
      <c r="C49" s="97" t="s">
        <v>62</v>
      </c>
      <c r="D49" s="135" t="s">
        <v>91</v>
      </c>
      <c r="E49" s="135"/>
      <c r="F49" s="135"/>
      <c r="G49" s="135"/>
      <c r="H49" s="97" t="s">
        <v>163</v>
      </c>
      <c r="I49" s="97" t="s">
        <v>94</v>
      </c>
      <c r="J49" s="97">
        <f>1675-20</f>
        <v>1655</v>
      </c>
      <c r="K49" s="42">
        <v>2</v>
      </c>
      <c r="L49" s="97" t="s">
        <v>153</v>
      </c>
      <c r="M49" s="42">
        <v>4</v>
      </c>
      <c r="N49" s="44" t="s">
        <v>152</v>
      </c>
    </row>
    <row r="50" spans="2:15" ht="35.1" customHeight="1" x14ac:dyDescent="0.25">
      <c r="B50" s="13">
        <v>44</v>
      </c>
      <c r="C50" s="97" t="s">
        <v>63</v>
      </c>
      <c r="D50" s="135" t="s">
        <v>91</v>
      </c>
      <c r="E50" s="135"/>
      <c r="F50" s="135"/>
      <c r="G50" s="135"/>
      <c r="H50" s="97" t="s">
        <v>163</v>
      </c>
      <c r="I50" s="97" t="s">
        <v>95</v>
      </c>
      <c r="J50" s="97">
        <f>1675-20</f>
        <v>1655</v>
      </c>
      <c r="K50" s="42">
        <v>2</v>
      </c>
      <c r="L50" s="97" t="s">
        <v>153</v>
      </c>
      <c r="M50" s="42">
        <v>4</v>
      </c>
      <c r="N50" s="44" t="s">
        <v>152</v>
      </c>
    </row>
    <row r="51" spans="2:15" ht="35.1" customHeight="1" x14ac:dyDescent="0.25">
      <c r="B51" s="13">
        <v>45</v>
      </c>
      <c r="C51" s="97" t="s">
        <v>64</v>
      </c>
      <c r="D51" s="135" t="s">
        <v>91</v>
      </c>
      <c r="E51" s="135"/>
      <c r="F51" s="135"/>
      <c r="G51" s="135"/>
      <c r="H51" s="97" t="s">
        <v>163</v>
      </c>
      <c r="I51" s="97" t="s">
        <v>83</v>
      </c>
      <c r="J51" s="97">
        <f>1675-20</f>
        <v>1655</v>
      </c>
      <c r="K51" s="42">
        <v>4</v>
      </c>
      <c r="L51" s="97" t="s">
        <v>152</v>
      </c>
      <c r="M51" s="42">
        <v>2</v>
      </c>
      <c r="N51" s="44" t="s">
        <v>153</v>
      </c>
    </row>
    <row r="52" spans="2:15" ht="35.1" customHeight="1" x14ac:dyDescent="0.25">
      <c r="B52" s="13">
        <v>46</v>
      </c>
      <c r="C52" s="97" t="s">
        <v>65</v>
      </c>
      <c r="D52" s="135" t="s">
        <v>91</v>
      </c>
      <c r="E52" s="135"/>
      <c r="F52" s="135"/>
      <c r="G52" s="135"/>
      <c r="H52" s="97" t="s">
        <v>163</v>
      </c>
      <c r="I52" s="97" t="s">
        <v>96</v>
      </c>
      <c r="J52" s="98">
        <f>385-15</f>
        <v>370</v>
      </c>
      <c r="K52" s="83">
        <v>7</v>
      </c>
      <c r="L52" s="41" t="s">
        <v>191</v>
      </c>
      <c r="M52" s="42">
        <v>3</v>
      </c>
      <c r="N52" s="44" t="s">
        <v>154</v>
      </c>
    </row>
    <row r="53" spans="2:15" ht="35.1" customHeight="1" x14ac:dyDescent="0.25">
      <c r="B53" s="13">
        <v>47</v>
      </c>
      <c r="C53" s="97" t="s">
        <v>97</v>
      </c>
      <c r="D53" s="135" t="s">
        <v>91</v>
      </c>
      <c r="E53" s="135"/>
      <c r="F53" s="135"/>
      <c r="G53" s="135"/>
      <c r="H53" s="97" t="s">
        <v>163</v>
      </c>
      <c r="I53" s="97" t="s">
        <v>78</v>
      </c>
      <c r="J53" s="98">
        <f>920-10</f>
        <v>910</v>
      </c>
      <c r="K53" s="42">
        <v>3</v>
      </c>
      <c r="L53" s="97" t="s">
        <v>154</v>
      </c>
      <c r="M53" s="42">
        <v>2</v>
      </c>
      <c r="N53" s="43" t="s">
        <v>145</v>
      </c>
    </row>
    <row r="54" spans="2:15" ht="35.1" customHeight="1" x14ac:dyDescent="0.25">
      <c r="B54" s="13">
        <v>48</v>
      </c>
      <c r="C54" s="97" t="s">
        <v>98</v>
      </c>
      <c r="D54" s="135" t="s">
        <v>71</v>
      </c>
      <c r="E54" s="135"/>
      <c r="F54" s="135"/>
      <c r="G54" s="135"/>
      <c r="H54" s="97" t="s">
        <v>162</v>
      </c>
      <c r="I54" s="97" t="s">
        <v>19</v>
      </c>
      <c r="J54" s="97">
        <v>280</v>
      </c>
      <c r="K54" s="42">
        <v>3</v>
      </c>
      <c r="L54" s="97" t="s">
        <v>146</v>
      </c>
      <c r="M54" s="82">
        <v>7</v>
      </c>
      <c r="N54" s="44" t="s">
        <v>180</v>
      </c>
    </row>
    <row r="55" spans="2:15" ht="35.1" customHeight="1" x14ac:dyDescent="0.25">
      <c r="B55" s="13">
        <v>49</v>
      </c>
      <c r="C55" s="97" t="s">
        <v>66</v>
      </c>
      <c r="D55" s="135" t="s">
        <v>91</v>
      </c>
      <c r="E55" s="135"/>
      <c r="F55" s="135"/>
      <c r="G55" s="135"/>
      <c r="H55" s="97" t="s">
        <v>163</v>
      </c>
      <c r="I55" s="97" t="s">
        <v>19</v>
      </c>
      <c r="J55" s="97">
        <v>820</v>
      </c>
      <c r="K55" s="83">
        <v>7</v>
      </c>
      <c r="L55" s="44" t="s">
        <v>177</v>
      </c>
      <c r="M55" s="42">
        <v>3</v>
      </c>
      <c r="N55" s="43" t="s">
        <v>143</v>
      </c>
    </row>
    <row r="56" spans="2:15" ht="35.1" customHeight="1" x14ac:dyDescent="0.25">
      <c r="B56" s="13">
        <v>50</v>
      </c>
      <c r="C56" s="97" t="s">
        <v>67</v>
      </c>
      <c r="D56" s="135" t="s">
        <v>91</v>
      </c>
      <c r="E56" s="135"/>
      <c r="F56" s="135"/>
      <c r="G56" s="135"/>
      <c r="H56" s="97" t="s">
        <v>163</v>
      </c>
      <c r="I56" s="97" t="s">
        <v>78</v>
      </c>
      <c r="J56" s="97">
        <v>205</v>
      </c>
      <c r="K56" s="83">
        <v>7</v>
      </c>
      <c r="L56" s="44" t="s">
        <v>178</v>
      </c>
      <c r="M56" s="42">
        <v>3</v>
      </c>
      <c r="N56" s="43" t="s">
        <v>143</v>
      </c>
    </row>
    <row r="57" spans="2:15" ht="35.1" customHeight="1" x14ac:dyDescent="0.25">
      <c r="B57" s="13">
        <v>51</v>
      </c>
      <c r="C57" s="97" t="s">
        <v>68</v>
      </c>
      <c r="D57" s="135" t="s">
        <v>91</v>
      </c>
      <c r="E57" s="135"/>
      <c r="F57" s="135"/>
      <c r="G57" s="135"/>
      <c r="H57" s="97" t="s">
        <v>163</v>
      </c>
      <c r="I57" s="97" t="s">
        <v>82</v>
      </c>
      <c r="J57" s="97">
        <v>260</v>
      </c>
      <c r="K57" s="42">
        <v>3</v>
      </c>
      <c r="L57" s="97" t="s">
        <v>143</v>
      </c>
      <c r="M57" s="81">
        <v>7</v>
      </c>
      <c r="N57" s="44" t="s">
        <v>179</v>
      </c>
    </row>
    <row r="58" spans="2:15" ht="35.1" customHeight="1" x14ac:dyDescent="0.25">
      <c r="B58" s="13">
        <v>52</v>
      </c>
      <c r="C58" s="97" t="s">
        <v>69</v>
      </c>
      <c r="D58" s="135" t="s">
        <v>91</v>
      </c>
      <c r="E58" s="135"/>
      <c r="F58" s="135"/>
      <c r="G58" s="135"/>
      <c r="H58" s="97" t="s">
        <v>163</v>
      </c>
      <c r="I58" s="97" t="s">
        <v>82</v>
      </c>
      <c r="J58" s="97">
        <v>1380</v>
      </c>
      <c r="K58" s="42">
        <v>3</v>
      </c>
      <c r="L58" s="97" t="s">
        <v>155</v>
      </c>
      <c r="M58" s="81">
        <v>7</v>
      </c>
      <c r="N58" s="44" t="s">
        <v>181</v>
      </c>
    </row>
    <row r="59" spans="2:15" ht="35.1" customHeight="1" x14ac:dyDescent="0.25">
      <c r="B59" s="13">
        <v>53</v>
      </c>
      <c r="C59" s="97" t="s">
        <v>99</v>
      </c>
      <c r="D59" s="135" t="s">
        <v>91</v>
      </c>
      <c r="E59" s="135"/>
      <c r="F59" s="135"/>
      <c r="G59" s="135"/>
      <c r="H59" s="97" t="s">
        <v>163</v>
      </c>
      <c r="I59" s="97" t="s">
        <v>79</v>
      </c>
      <c r="J59" s="97">
        <v>1375</v>
      </c>
      <c r="K59" s="42">
        <v>3</v>
      </c>
      <c r="L59" s="97" t="s">
        <v>155</v>
      </c>
      <c r="M59" s="81">
        <v>7</v>
      </c>
      <c r="N59" s="44" t="s">
        <v>182</v>
      </c>
      <c r="O59" s="4"/>
    </row>
    <row r="60" spans="2:15" ht="35.1" customHeight="1" x14ac:dyDescent="0.25">
      <c r="B60" s="13">
        <v>54</v>
      </c>
      <c r="C60" s="97" t="s">
        <v>20</v>
      </c>
      <c r="D60" s="135" t="s">
        <v>71</v>
      </c>
      <c r="E60" s="135"/>
      <c r="F60" s="135"/>
      <c r="G60" s="135"/>
      <c r="H60" s="97" t="s">
        <v>162</v>
      </c>
      <c r="I60" s="97" t="s">
        <v>84</v>
      </c>
      <c r="J60" s="98">
        <f>410+10</f>
        <v>420</v>
      </c>
      <c r="K60" s="70">
        <v>4.8</v>
      </c>
      <c r="L60" s="97" t="s">
        <v>147</v>
      </c>
      <c r="M60" s="50">
        <v>10</v>
      </c>
      <c r="N60" s="44" t="s">
        <v>172</v>
      </c>
    </row>
    <row r="61" spans="2:15" ht="35.1" customHeight="1" x14ac:dyDescent="0.25">
      <c r="B61" s="13">
        <v>55</v>
      </c>
      <c r="C61" s="97" t="s">
        <v>100</v>
      </c>
      <c r="D61" s="135" t="s">
        <v>91</v>
      </c>
      <c r="E61" s="135"/>
      <c r="F61" s="135"/>
      <c r="G61" s="135"/>
      <c r="H61" s="97" t="s">
        <v>163</v>
      </c>
      <c r="I61" s="97" t="s">
        <v>96</v>
      </c>
      <c r="J61" s="97">
        <f>1675-20</f>
        <v>1655</v>
      </c>
      <c r="K61" s="42">
        <v>4</v>
      </c>
      <c r="L61" s="97" t="s">
        <v>152</v>
      </c>
      <c r="M61" s="42">
        <v>2</v>
      </c>
      <c r="N61" s="44" t="s">
        <v>153</v>
      </c>
    </row>
    <row r="62" spans="2:15" ht="35.1" customHeight="1" x14ac:dyDescent="0.25">
      <c r="B62" s="13">
        <v>56</v>
      </c>
      <c r="C62" s="97" t="s">
        <v>101</v>
      </c>
      <c r="D62" s="135" t="s">
        <v>76</v>
      </c>
      <c r="E62" s="135"/>
      <c r="F62" s="135"/>
      <c r="G62" s="135"/>
      <c r="H62" s="97" t="s">
        <v>159</v>
      </c>
      <c r="I62" s="97" t="s">
        <v>19</v>
      </c>
      <c r="J62" s="97">
        <v>1940</v>
      </c>
      <c r="K62" s="42">
        <v>3.5</v>
      </c>
      <c r="L62" s="97" t="s">
        <v>156</v>
      </c>
      <c r="M62" s="81">
        <v>7</v>
      </c>
      <c r="N62" s="44" t="s">
        <v>183</v>
      </c>
    </row>
    <row r="63" spans="2:15" ht="35.1" customHeight="1" x14ac:dyDescent="0.25">
      <c r="B63" s="13">
        <v>57</v>
      </c>
      <c r="C63" s="97" t="s">
        <v>102</v>
      </c>
      <c r="D63" s="135" t="s">
        <v>76</v>
      </c>
      <c r="E63" s="135"/>
      <c r="F63" s="135"/>
      <c r="G63" s="135"/>
      <c r="H63" s="97" t="s">
        <v>159</v>
      </c>
      <c r="I63" s="97" t="s">
        <v>19</v>
      </c>
      <c r="J63" s="98">
        <f>2465-15</f>
        <v>2450</v>
      </c>
      <c r="K63" s="42">
        <v>3</v>
      </c>
      <c r="L63" s="97">
        <v>39000040</v>
      </c>
      <c r="M63" s="81">
        <v>7</v>
      </c>
      <c r="N63" s="44" t="s">
        <v>183</v>
      </c>
    </row>
    <row r="64" spans="2:15" ht="35.1" customHeight="1" x14ac:dyDescent="0.25">
      <c r="B64" s="13">
        <v>58</v>
      </c>
      <c r="C64" s="97" t="s">
        <v>103</v>
      </c>
      <c r="D64" s="135" t="s">
        <v>76</v>
      </c>
      <c r="E64" s="135"/>
      <c r="F64" s="135"/>
      <c r="G64" s="135"/>
      <c r="H64" s="97" t="s">
        <v>159</v>
      </c>
      <c r="I64" s="97" t="s">
        <v>88</v>
      </c>
      <c r="J64" s="97">
        <v>1945</v>
      </c>
      <c r="K64" s="42">
        <v>3.5</v>
      </c>
      <c r="L64" s="97" t="s">
        <v>156</v>
      </c>
      <c r="M64" s="81">
        <v>7</v>
      </c>
      <c r="N64" s="44" t="s">
        <v>184</v>
      </c>
    </row>
    <row r="65" spans="2:14" ht="35.1" customHeight="1" x14ac:dyDescent="0.25">
      <c r="B65" s="13">
        <v>59</v>
      </c>
      <c r="C65" s="97" t="s">
        <v>104</v>
      </c>
      <c r="D65" s="135" t="s">
        <v>76</v>
      </c>
      <c r="E65" s="135"/>
      <c r="F65" s="135"/>
      <c r="G65" s="135"/>
      <c r="H65" s="97" t="s">
        <v>159</v>
      </c>
      <c r="I65" s="97" t="s">
        <v>88</v>
      </c>
      <c r="J65" s="98">
        <f>2480-30</f>
        <v>2450</v>
      </c>
      <c r="K65" s="83">
        <v>7</v>
      </c>
      <c r="L65" s="44" t="s">
        <v>184</v>
      </c>
      <c r="M65" s="42">
        <v>3</v>
      </c>
      <c r="N65" s="44">
        <v>39000040</v>
      </c>
    </row>
    <row r="66" spans="2:14" ht="35.1" customHeight="1" x14ac:dyDescent="0.25">
      <c r="B66" s="13">
        <v>60</v>
      </c>
      <c r="C66" s="97" t="s">
        <v>105</v>
      </c>
      <c r="D66" s="135" t="s">
        <v>91</v>
      </c>
      <c r="E66" s="135"/>
      <c r="F66" s="135"/>
      <c r="G66" s="135"/>
      <c r="H66" s="97" t="s">
        <v>163</v>
      </c>
      <c r="I66" s="97" t="s">
        <v>19</v>
      </c>
      <c r="J66" s="97">
        <f>1675-20</f>
        <v>1655</v>
      </c>
      <c r="K66" s="42">
        <v>4</v>
      </c>
      <c r="L66" s="97" t="s">
        <v>152</v>
      </c>
      <c r="M66" s="42">
        <v>2</v>
      </c>
      <c r="N66" s="44" t="s">
        <v>153</v>
      </c>
    </row>
    <row r="67" spans="2:14" ht="35.1" customHeight="1" x14ac:dyDescent="0.25">
      <c r="B67" s="13">
        <v>61</v>
      </c>
      <c r="C67" s="96" t="s">
        <v>106</v>
      </c>
      <c r="D67" s="141" t="s">
        <v>91</v>
      </c>
      <c r="E67" s="141"/>
      <c r="F67" s="141"/>
      <c r="G67" s="141"/>
      <c r="H67" s="96" t="s">
        <v>163</v>
      </c>
      <c r="I67" s="96" t="s">
        <v>96</v>
      </c>
      <c r="J67" s="97">
        <v>1825</v>
      </c>
      <c r="K67" s="42">
        <v>2</v>
      </c>
      <c r="L67" s="97" t="s">
        <v>145</v>
      </c>
      <c r="M67" s="81">
        <v>7</v>
      </c>
      <c r="N67" s="44" t="s">
        <v>201</v>
      </c>
    </row>
    <row r="68" spans="2:14" ht="35.1" customHeight="1" x14ac:dyDescent="0.25">
      <c r="B68" s="13">
        <v>62</v>
      </c>
      <c r="C68" s="96" t="s">
        <v>107</v>
      </c>
      <c r="D68" s="141" t="s">
        <v>91</v>
      </c>
      <c r="E68" s="141"/>
      <c r="F68" s="141"/>
      <c r="G68" s="141"/>
      <c r="H68" s="96" t="s">
        <v>163</v>
      </c>
      <c r="I68" s="96" t="s">
        <v>88</v>
      </c>
      <c r="J68" s="97">
        <v>1345</v>
      </c>
      <c r="K68" s="42">
        <v>3</v>
      </c>
      <c r="L68" s="97" t="s">
        <v>143</v>
      </c>
      <c r="M68" s="42">
        <v>3</v>
      </c>
      <c r="N68" s="43" t="s">
        <v>143</v>
      </c>
    </row>
    <row r="69" spans="2:14" ht="35.1" customHeight="1" x14ac:dyDescent="0.25">
      <c r="B69" s="13">
        <v>63</v>
      </c>
      <c r="C69" s="96" t="s">
        <v>108</v>
      </c>
      <c r="D69" s="141" t="s">
        <v>91</v>
      </c>
      <c r="E69" s="141"/>
      <c r="F69" s="141"/>
      <c r="G69" s="141"/>
      <c r="H69" s="96" t="s">
        <v>163</v>
      </c>
      <c r="I69" s="96" t="s">
        <v>96</v>
      </c>
      <c r="J69" s="97">
        <f>3010-25</f>
        <v>2985</v>
      </c>
      <c r="K69" s="42">
        <v>3</v>
      </c>
      <c r="L69" s="97" t="s">
        <v>143</v>
      </c>
      <c r="M69" s="42">
        <v>3</v>
      </c>
      <c r="N69" s="43" t="s">
        <v>154</v>
      </c>
    </row>
    <row r="70" spans="2:14" ht="35.1" customHeight="1" x14ac:dyDescent="0.25">
      <c r="B70" s="13">
        <v>64</v>
      </c>
      <c r="C70" s="96" t="s">
        <v>109</v>
      </c>
      <c r="D70" s="141" t="s">
        <v>91</v>
      </c>
      <c r="E70" s="141"/>
      <c r="F70" s="141"/>
      <c r="G70" s="141"/>
      <c r="H70" s="96" t="s">
        <v>163</v>
      </c>
      <c r="I70" s="96" t="s">
        <v>81</v>
      </c>
      <c r="J70" s="97">
        <f>1865-25</f>
        <v>1840</v>
      </c>
      <c r="K70" s="42">
        <v>3</v>
      </c>
      <c r="L70" s="97" t="s">
        <v>154</v>
      </c>
      <c r="M70" s="42">
        <v>2</v>
      </c>
      <c r="N70" s="43" t="s">
        <v>145</v>
      </c>
    </row>
    <row r="71" spans="2:14" ht="35.1" customHeight="1" x14ac:dyDescent="0.25">
      <c r="B71" s="13">
        <v>65</v>
      </c>
      <c r="C71" s="96" t="s">
        <v>110</v>
      </c>
      <c r="D71" s="165" t="s">
        <v>91</v>
      </c>
      <c r="E71" s="165"/>
      <c r="F71" s="165"/>
      <c r="G71" s="165"/>
      <c r="H71" s="97" t="s">
        <v>208</v>
      </c>
      <c r="I71" s="97" t="s">
        <v>192</v>
      </c>
      <c r="J71" s="45">
        <v>2550</v>
      </c>
      <c r="K71" s="42">
        <v>3.8</v>
      </c>
      <c r="L71" s="97" t="s">
        <v>209</v>
      </c>
      <c r="M71" s="42">
        <v>2</v>
      </c>
      <c r="N71" s="44" t="s">
        <v>145</v>
      </c>
    </row>
    <row r="72" spans="2:14" ht="35.1" customHeight="1" x14ac:dyDescent="0.25">
      <c r="B72" s="13">
        <v>66</v>
      </c>
      <c r="C72" s="96" t="s">
        <v>111</v>
      </c>
      <c r="D72" s="135" t="s">
        <v>91</v>
      </c>
      <c r="E72" s="135"/>
      <c r="F72" s="135"/>
      <c r="G72" s="135"/>
      <c r="H72" s="97" t="s">
        <v>163</v>
      </c>
      <c r="I72" s="96" t="s">
        <v>113</v>
      </c>
      <c r="J72" s="97">
        <v>455</v>
      </c>
      <c r="K72" s="42">
        <v>3</v>
      </c>
      <c r="L72" s="97" t="s">
        <v>143</v>
      </c>
      <c r="M72" s="81">
        <v>7</v>
      </c>
      <c r="N72" s="44" t="s">
        <v>202</v>
      </c>
    </row>
    <row r="73" spans="2:14" ht="35.1" customHeight="1" x14ac:dyDescent="0.25">
      <c r="B73" s="13">
        <v>67</v>
      </c>
      <c r="C73" s="96" t="s">
        <v>112</v>
      </c>
      <c r="D73" s="165" t="s">
        <v>91</v>
      </c>
      <c r="E73" s="165"/>
      <c r="F73" s="165"/>
      <c r="G73" s="165"/>
      <c r="H73" s="97" t="s">
        <v>208</v>
      </c>
      <c r="I73" s="96" t="s">
        <v>96</v>
      </c>
      <c r="J73" s="45">
        <v>3890</v>
      </c>
      <c r="K73" s="83">
        <v>7</v>
      </c>
      <c r="L73" s="44" t="s">
        <v>201</v>
      </c>
      <c r="M73" s="42">
        <v>3.8</v>
      </c>
      <c r="N73" s="44" t="s">
        <v>209</v>
      </c>
    </row>
    <row r="74" spans="2:14" ht="35.1" customHeight="1" x14ac:dyDescent="0.25">
      <c r="B74" s="13">
        <v>68</v>
      </c>
      <c r="C74" s="96" t="s">
        <v>114</v>
      </c>
      <c r="D74" s="141" t="s">
        <v>91</v>
      </c>
      <c r="E74" s="141"/>
      <c r="F74" s="141"/>
      <c r="G74" s="141"/>
      <c r="H74" s="96" t="s">
        <v>163</v>
      </c>
      <c r="I74" s="96" t="s">
        <v>115</v>
      </c>
      <c r="J74" s="97">
        <v>770</v>
      </c>
      <c r="K74" s="42">
        <v>3</v>
      </c>
      <c r="L74" s="97" t="s">
        <v>143</v>
      </c>
      <c r="M74" s="42">
        <v>2</v>
      </c>
      <c r="N74" s="44" t="s">
        <v>145</v>
      </c>
    </row>
    <row r="75" spans="2:14" ht="35.1" customHeight="1" x14ac:dyDescent="0.25">
      <c r="B75" s="13">
        <v>69</v>
      </c>
      <c r="C75" s="96" t="s">
        <v>116</v>
      </c>
      <c r="D75" s="141" t="s">
        <v>91</v>
      </c>
      <c r="E75" s="141"/>
      <c r="F75" s="141"/>
      <c r="G75" s="141"/>
      <c r="H75" s="96" t="s">
        <v>163</v>
      </c>
      <c r="I75" s="96" t="s">
        <v>85</v>
      </c>
      <c r="J75" s="97">
        <v>770</v>
      </c>
      <c r="K75" s="42">
        <v>2</v>
      </c>
      <c r="L75" s="97" t="s">
        <v>145</v>
      </c>
      <c r="M75" s="42">
        <v>3</v>
      </c>
      <c r="N75" s="44" t="s">
        <v>143</v>
      </c>
    </row>
    <row r="76" spans="2:14" ht="35.1" customHeight="1" x14ac:dyDescent="0.25">
      <c r="B76" s="13">
        <v>70</v>
      </c>
      <c r="C76" s="96" t="s">
        <v>117</v>
      </c>
      <c r="D76" s="141" t="s">
        <v>91</v>
      </c>
      <c r="E76" s="141"/>
      <c r="F76" s="141"/>
      <c r="G76" s="141"/>
      <c r="H76" s="96" t="s">
        <v>163</v>
      </c>
      <c r="I76" s="96" t="s">
        <v>122</v>
      </c>
      <c r="J76" s="97">
        <v>1535</v>
      </c>
      <c r="K76" s="42">
        <v>3</v>
      </c>
      <c r="L76" s="97" t="s">
        <v>143</v>
      </c>
      <c r="M76" s="42">
        <v>2</v>
      </c>
      <c r="N76" s="44" t="s">
        <v>145</v>
      </c>
    </row>
    <row r="77" spans="2:14" ht="35.1" customHeight="1" x14ac:dyDescent="0.25">
      <c r="B77" s="13">
        <v>71</v>
      </c>
      <c r="C77" s="96" t="s">
        <v>118</v>
      </c>
      <c r="D77" s="141" t="s">
        <v>91</v>
      </c>
      <c r="E77" s="141"/>
      <c r="F77" s="141"/>
      <c r="G77" s="141"/>
      <c r="H77" s="96" t="s">
        <v>163</v>
      </c>
      <c r="I77" s="96" t="s">
        <v>75</v>
      </c>
      <c r="J77" s="97">
        <v>1535</v>
      </c>
      <c r="K77" s="42">
        <v>2</v>
      </c>
      <c r="L77" s="97" t="s">
        <v>145</v>
      </c>
      <c r="M77" s="42">
        <v>3</v>
      </c>
      <c r="N77" s="44" t="s">
        <v>143</v>
      </c>
    </row>
    <row r="78" spans="2:14" ht="35.1" customHeight="1" x14ac:dyDescent="0.25">
      <c r="B78" s="13">
        <v>72</v>
      </c>
      <c r="C78" s="96" t="s">
        <v>119</v>
      </c>
      <c r="D78" s="141" t="s">
        <v>91</v>
      </c>
      <c r="E78" s="141"/>
      <c r="F78" s="141"/>
      <c r="G78" s="141"/>
      <c r="H78" s="96" t="s">
        <v>163</v>
      </c>
      <c r="I78" s="96" t="s">
        <v>88</v>
      </c>
      <c r="J78" s="98">
        <f>1835-20</f>
        <v>1815</v>
      </c>
      <c r="K78" s="42">
        <v>3</v>
      </c>
      <c r="L78" s="97" t="s">
        <v>143</v>
      </c>
      <c r="M78" s="42">
        <v>2</v>
      </c>
      <c r="N78" s="44" t="s">
        <v>145</v>
      </c>
    </row>
    <row r="79" spans="2:14" ht="35.1" customHeight="1" x14ac:dyDescent="0.25">
      <c r="B79" s="13">
        <v>73</v>
      </c>
      <c r="C79" s="96" t="s">
        <v>120</v>
      </c>
      <c r="D79" s="141" t="s">
        <v>91</v>
      </c>
      <c r="E79" s="141"/>
      <c r="F79" s="141"/>
      <c r="G79" s="141"/>
      <c r="H79" s="96" t="s">
        <v>163</v>
      </c>
      <c r="I79" s="96" t="s">
        <v>96</v>
      </c>
      <c r="J79" s="98">
        <f>1835-20</f>
        <v>1815</v>
      </c>
      <c r="K79" s="42">
        <v>2</v>
      </c>
      <c r="L79" s="97" t="s">
        <v>145</v>
      </c>
      <c r="M79" s="42">
        <v>3</v>
      </c>
      <c r="N79" s="44" t="s">
        <v>143</v>
      </c>
    </row>
    <row r="80" spans="2:14" ht="35.1" customHeight="1" x14ac:dyDescent="0.25">
      <c r="B80" s="13">
        <v>74</v>
      </c>
      <c r="C80" s="96" t="s">
        <v>121</v>
      </c>
      <c r="D80" s="141" t="s">
        <v>91</v>
      </c>
      <c r="E80" s="141"/>
      <c r="F80" s="141"/>
      <c r="G80" s="141"/>
      <c r="H80" s="96" t="s">
        <v>163</v>
      </c>
      <c r="I80" s="96" t="s">
        <v>78</v>
      </c>
      <c r="J80" s="97">
        <v>1175</v>
      </c>
      <c r="K80" s="42">
        <v>2</v>
      </c>
      <c r="L80" s="41" t="s">
        <v>145</v>
      </c>
      <c r="M80" s="42">
        <v>3</v>
      </c>
      <c r="N80" s="44" t="s">
        <v>143</v>
      </c>
    </row>
    <row r="81" spans="1:15" ht="35.1" customHeight="1" x14ac:dyDescent="0.25">
      <c r="B81" s="13">
        <v>75</v>
      </c>
      <c r="C81" s="96" t="s">
        <v>123</v>
      </c>
      <c r="D81" s="141" t="s">
        <v>91</v>
      </c>
      <c r="E81" s="141"/>
      <c r="F81" s="141"/>
      <c r="G81" s="141"/>
      <c r="H81" s="96" t="s">
        <v>163</v>
      </c>
      <c r="I81" s="95" t="s">
        <v>173</v>
      </c>
      <c r="J81" s="97">
        <v>125</v>
      </c>
      <c r="K81" s="83">
        <v>7</v>
      </c>
      <c r="L81" s="41" t="s">
        <v>186</v>
      </c>
      <c r="M81" s="42">
        <v>3</v>
      </c>
      <c r="N81" s="44" t="s">
        <v>143</v>
      </c>
    </row>
    <row r="82" spans="1:15" ht="35.1" customHeight="1" x14ac:dyDescent="0.25">
      <c r="B82" s="13">
        <v>76</v>
      </c>
      <c r="C82" s="96" t="s">
        <v>124</v>
      </c>
      <c r="D82" s="141" t="s">
        <v>91</v>
      </c>
      <c r="E82" s="141"/>
      <c r="F82" s="141"/>
      <c r="G82" s="141"/>
      <c r="H82" s="96" t="s">
        <v>163</v>
      </c>
      <c r="I82" s="95" t="s">
        <v>173</v>
      </c>
      <c r="J82" s="97">
        <f>1060-15</f>
        <v>1045</v>
      </c>
      <c r="K82" s="42">
        <v>2</v>
      </c>
      <c r="L82" s="41" t="s">
        <v>145</v>
      </c>
      <c r="M82" s="81">
        <v>7</v>
      </c>
      <c r="N82" s="44" t="s">
        <v>185</v>
      </c>
    </row>
    <row r="83" spans="1:15" ht="35.1" customHeight="1" x14ac:dyDescent="0.25">
      <c r="B83" s="13">
        <v>77</v>
      </c>
      <c r="C83" s="96" t="s">
        <v>125</v>
      </c>
      <c r="D83" s="141" t="s">
        <v>91</v>
      </c>
      <c r="E83" s="141"/>
      <c r="F83" s="141"/>
      <c r="G83" s="141"/>
      <c r="H83" s="96" t="s">
        <v>163</v>
      </c>
      <c r="I83" s="96" t="s">
        <v>81</v>
      </c>
      <c r="J83" s="97">
        <v>1175</v>
      </c>
      <c r="K83" s="42">
        <v>2</v>
      </c>
      <c r="L83" s="41" t="s">
        <v>145</v>
      </c>
      <c r="M83" s="42">
        <v>3.5</v>
      </c>
      <c r="N83" s="44" t="s">
        <v>143</v>
      </c>
    </row>
    <row r="84" spans="1:15" ht="35.1" customHeight="1" x14ac:dyDescent="0.25">
      <c r="A84" s="54"/>
      <c r="B84" s="40">
        <v>78</v>
      </c>
      <c r="C84" s="97" t="s">
        <v>126</v>
      </c>
      <c r="D84" s="135" t="s">
        <v>91</v>
      </c>
      <c r="E84" s="135"/>
      <c r="F84" s="135"/>
      <c r="G84" s="135"/>
      <c r="H84" s="97" t="s">
        <v>163</v>
      </c>
      <c r="I84" s="97" t="s">
        <v>90</v>
      </c>
      <c r="J84" s="97">
        <f>1030-10</f>
        <v>1020</v>
      </c>
      <c r="K84" s="42">
        <v>4</v>
      </c>
      <c r="L84" s="41" t="s">
        <v>152</v>
      </c>
      <c r="M84" s="42">
        <v>2</v>
      </c>
      <c r="N84" s="44" t="s">
        <v>145</v>
      </c>
    </row>
    <row r="85" spans="1:15" ht="35.1" customHeight="1" x14ac:dyDescent="0.25">
      <c r="A85" s="54"/>
      <c r="B85" s="40">
        <v>79</v>
      </c>
      <c r="C85" s="97" t="s">
        <v>127</v>
      </c>
      <c r="D85" s="135" t="s">
        <v>91</v>
      </c>
      <c r="E85" s="135"/>
      <c r="F85" s="135"/>
      <c r="G85" s="135"/>
      <c r="H85" s="97" t="s">
        <v>163</v>
      </c>
      <c r="I85" s="97" t="s">
        <v>83</v>
      </c>
      <c r="J85" s="97">
        <f>1020-10</f>
        <v>1010</v>
      </c>
      <c r="K85" s="42">
        <v>4</v>
      </c>
      <c r="L85" s="97" t="s">
        <v>152</v>
      </c>
      <c r="M85" s="42">
        <v>2</v>
      </c>
      <c r="N85" s="44" t="s">
        <v>145</v>
      </c>
    </row>
    <row r="86" spans="1:15" ht="35.1" customHeight="1" x14ac:dyDescent="0.25">
      <c r="A86" s="54"/>
      <c r="B86" s="40">
        <v>80</v>
      </c>
      <c r="C86" s="97" t="s">
        <v>128</v>
      </c>
      <c r="D86" s="135" t="s">
        <v>91</v>
      </c>
      <c r="E86" s="135"/>
      <c r="F86" s="135"/>
      <c r="G86" s="135"/>
      <c r="H86" s="97" t="s">
        <v>163</v>
      </c>
      <c r="I86" s="97" t="s">
        <v>94</v>
      </c>
      <c r="J86" s="97">
        <f>1030-10</f>
        <v>1020</v>
      </c>
      <c r="K86" s="42">
        <v>2</v>
      </c>
      <c r="L86" s="41" t="s">
        <v>145</v>
      </c>
      <c r="M86" s="42">
        <v>4</v>
      </c>
      <c r="N86" s="44" t="s">
        <v>152</v>
      </c>
    </row>
    <row r="87" spans="1:15" ht="35.1" customHeight="1" x14ac:dyDescent="0.25">
      <c r="A87" s="54"/>
      <c r="B87" s="40">
        <v>81</v>
      </c>
      <c r="C87" s="97" t="s">
        <v>129</v>
      </c>
      <c r="D87" s="135" t="s">
        <v>91</v>
      </c>
      <c r="E87" s="135"/>
      <c r="F87" s="135"/>
      <c r="G87" s="135"/>
      <c r="H87" s="97" t="s">
        <v>163</v>
      </c>
      <c r="I87" s="97" t="s">
        <v>95</v>
      </c>
      <c r="J87" s="97">
        <f>1030-10</f>
        <v>1020</v>
      </c>
      <c r="K87" s="42">
        <v>4</v>
      </c>
      <c r="L87" s="41" t="s">
        <v>152</v>
      </c>
      <c r="M87" s="42">
        <v>2</v>
      </c>
      <c r="N87" s="44" t="s">
        <v>145</v>
      </c>
    </row>
    <row r="88" spans="1:15" ht="35.1" customHeight="1" x14ac:dyDescent="0.25">
      <c r="A88" s="54"/>
      <c r="B88" s="40">
        <v>82</v>
      </c>
      <c r="C88" s="97" t="s">
        <v>130</v>
      </c>
      <c r="D88" s="135" t="s">
        <v>91</v>
      </c>
      <c r="E88" s="135"/>
      <c r="F88" s="135"/>
      <c r="G88" s="135"/>
      <c r="H88" s="97" t="s">
        <v>163</v>
      </c>
      <c r="I88" s="97" t="s">
        <v>96</v>
      </c>
      <c r="J88" s="97">
        <v>550</v>
      </c>
      <c r="K88" s="42">
        <v>2</v>
      </c>
      <c r="L88" s="97" t="s">
        <v>145</v>
      </c>
      <c r="M88" s="81">
        <v>7</v>
      </c>
      <c r="N88" s="44" t="s">
        <v>187</v>
      </c>
    </row>
    <row r="89" spans="1:15" ht="35.1" customHeight="1" x14ac:dyDescent="0.25">
      <c r="A89" s="54"/>
      <c r="B89" s="40">
        <v>83</v>
      </c>
      <c r="C89" s="97" t="s">
        <v>21</v>
      </c>
      <c r="D89" s="135" t="s">
        <v>91</v>
      </c>
      <c r="E89" s="135"/>
      <c r="F89" s="135"/>
      <c r="G89" s="135"/>
      <c r="H89" s="97" t="s">
        <v>163</v>
      </c>
      <c r="I89" s="97" t="s">
        <v>19</v>
      </c>
      <c r="J89" s="97">
        <f>1000-10</f>
        <v>990</v>
      </c>
      <c r="K89" s="42">
        <v>4</v>
      </c>
      <c r="L89" s="97" t="s">
        <v>152</v>
      </c>
      <c r="M89" s="42">
        <v>2</v>
      </c>
      <c r="N89" s="44" t="s">
        <v>145</v>
      </c>
    </row>
    <row r="90" spans="1:15" ht="35.1" customHeight="1" x14ac:dyDescent="0.25">
      <c r="A90" s="54"/>
      <c r="B90" s="40">
        <v>84</v>
      </c>
      <c r="C90" s="97" t="s">
        <v>22</v>
      </c>
      <c r="D90" s="135" t="s">
        <v>91</v>
      </c>
      <c r="E90" s="135"/>
      <c r="F90" s="135"/>
      <c r="G90" s="135"/>
      <c r="H90" s="97" t="s">
        <v>163</v>
      </c>
      <c r="I90" s="97" t="s">
        <v>96</v>
      </c>
      <c r="J90" s="97">
        <f>450-10</f>
        <v>440</v>
      </c>
      <c r="K90" s="42">
        <v>4</v>
      </c>
      <c r="L90" s="41" t="s">
        <v>152</v>
      </c>
      <c r="M90" s="81">
        <v>7</v>
      </c>
      <c r="N90" s="44" t="s">
        <v>188</v>
      </c>
    </row>
    <row r="91" spans="1:15" ht="35.1" customHeight="1" x14ac:dyDescent="0.25">
      <c r="B91" s="13">
        <v>85</v>
      </c>
      <c r="C91" s="96" t="s">
        <v>23</v>
      </c>
      <c r="D91" s="141" t="s">
        <v>91</v>
      </c>
      <c r="E91" s="141"/>
      <c r="F91" s="141"/>
      <c r="G91" s="141"/>
      <c r="H91" s="96" t="s">
        <v>163</v>
      </c>
      <c r="I91" s="96" t="s">
        <v>80</v>
      </c>
      <c r="J91" s="97">
        <v>1345</v>
      </c>
      <c r="K91" s="42">
        <v>3</v>
      </c>
      <c r="L91" s="41" t="s">
        <v>143</v>
      </c>
      <c r="M91" s="42">
        <v>3</v>
      </c>
      <c r="N91" s="44" t="s">
        <v>143</v>
      </c>
    </row>
    <row r="92" spans="1:15" ht="35.1" customHeight="1" x14ac:dyDescent="0.25">
      <c r="B92" s="13">
        <v>86</v>
      </c>
      <c r="C92" s="96" t="s">
        <v>24</v>
      </c>
      <c r="D92" s="141" t="s">
        <v>91</v>
      </c>
      <c r="E92" s="141"/>
      <c r="F92" s="141"/>
      <c r="G92" s="141"/>
      <c r="H92" s="96" t="s">
        <v>163</v>
      </c>
      <c r="I92" s="96" t="s">
        <v>95</v>
      </c>
      <c r="J92" s="97">
        <v>1345</v>
      </c>
      <c r="K92" s="42">
        <v>3</v>
      </c>
      <c r="L92" s="97" t="s">
        <v>143</v>
      </c>
      <c r="M92" s="42">
        <v>3</v>
      </c>
      <c r="N92" s="43" t="s">
        <v>143</v>
      </c>
    </row>
    <row r="93" spans="1:15" ht="35.1" customHeight="1" x14ac:dyDescent="0.25">
      <c r="B93" s="13">
        <v>87</v>
      </c>
      <c r="C93" s="96" t="s">
        <v>131</v>
      </c>
      <c r="D93" s="141" t="s">
        <v>91</v>
      </c>
      <c r="E93" s="141"/>
      <c r="F93" s="141"/>
      <c r="G93" s="141"/>
      <c r="H93" s="96" t="s">
        <v>163</v>
      </c>
      <c r="I93" s="96" t="s">
        <v>82</v>
      </c>
      <c r="J93" s="97">
        <v>1345</v>
      </c>
      <c r="K93" s="42">
        <v>3</v>
      </c>
      <c r="L93" s="97" t="s">
        <v>143</v>
      </c>
      <c r="M93" s="42">
        <v>3</v>
      </c>
      <c r="N93" s="44" t="s">
        <v>143</v>
      </c>
    </row>
    <row r="94" spans="1:15" ht="35.1" customHeight="1" x14ac:dyDescent="0.25">
      <c r="B94" s="40">
        <v>88</v>
      </c>
      <c r="C94" s="97" t="s">
        <v>132</v>
      </c>
      <c r="D94" s="135" t="s">
        <v>91</v>
      </c>
      <c r="E94" s="135"/>
      <c r="F94" s="135"/>
      <c r="G94" s="135"/>
      <c r="H94" s="97" t="s">
        <v>163</v>
      </c>
      <c r="I94" s="97" t="s">
        <v>73</v>
      </c>
      <c r="J94" s="97">
        <v>1645</v>
      </c>
      <c r="K94" s="42">
        <v>3</v>
      </c>
      <c r="L94" s="97" t="s">
        <v>148</v>
      </c>
      <c r="M94" s="42">
        <v>3</v>
      </c>
      <c r="N94" s="44" t="s">
        <v>148</v>
      </c>
      <c r="O94" s="4"/>
    </row>
    <row r="95" spans="1:15" ht="35.1" customHeight="1" x14ac:dyDescent="0.25">
      <c r="A95" s="4"/>
      <c r="B95" s="40">
        <v>89</v>
      </c>
      <c r="C95" s="97" t="s">
        <v>133</v>
      </c>
      <c r="D95" s="135" t="s">
        <v>91</v>
      </c>
      <c r="E95" s="135"/>
      <c r="F95" s="135"/>
      <c r="G95" s="135"/>
      <c r="H95" s="97" t="s">
        <v>163</v>
      </c>
      <c r="I95" s="97" t="s">
        <v>193</v>
      </c>
      <c r="J95" s="97">
        <f>2055+50</f>
        <v>2105</v>
      </c>
      <c r="K95" s="42">
        <v>3</v>
      </c>
      <c r="L95" s="97" t="s">
        <v>148</v>
      </c>
      <c r="M95" s="42">
        <v>3</v>
      </c>
      <c r="N95" s="44" t="s">
        <v>148</v>
      </c>
      <c r="O95" s="4"/>
    </row>
    <row r="96" spans="1:15" ht="35.1" customHeight="1" x14ac:dyDescent="0.25">
      <c r="B96" s="40">
        <v>90</v>
      </c>
      <c r="C96" s="97" t="s">
        <v>134</v>
      </c>
      <c r="D96" s="135" t="s">
        <v>91</v>
      </c>
      <c r="E96" s="135"/>
      <c r="F96" s="135"/>
      <c r="G96" s="135"/>
      <c r="H96" s="97" t="s">
        <v>163</v>
      </c>
      <c r="I96" s="97" t="s">
        <v>82</v>
      </c>
      <c r="J96" s="98">
        <f>2180-50</f>
        <v>2130</v>
      </c>
      <c r="K96" s="83">
        <v>7</v>
      </c>
      <c r="L96" s="44" t="s">
        <v>181</v>
      </c>
      <c r="M96" s="42">
        <v>3</v>
      </c>
      <c r="N96" s="44" t="s">
        <v>143</v>
      </c>
    </row>
    <row r="97" spans="1:15" ht="35.1" customHeight="1" x14ac:dyDescent="0.25">
      <c r="B97" s="40">
        <v>91</v>
      </c>
      <c r="C97" s="97" t="s">
        <v>135</v>
      </c>
      <c r="D97" s="135" t="s">
        <v>91</v>
      </c>
      <c r="E97" s="135"/>
      <c r="F97" s="135"/>
      <c r="G97" s="135"/>
      <c r="H97" s="97" t="s">
        <v>163</v>
      </c>
      <c r="I97" s="97" t="s">
        <v>79</v>
      </c>
      <c r="J97" s="98">
        <f>2130-20</f>
        <v>2110</v>
      </c>
      <c r="K97" s="83">
        <v>7</v>
      </c>
      <c r="L97" s="44" t="s">
        <v>168</v>
      </c>
      <c r="M97" s="42">
        <v>3</v>
      </c>
      <c r="N97" s="43" t="s">
        <v>143</v>
      </c>
    </row>
    <row r="98" spans="1:15" ht="35.1" customHeight="1" x14ac:dyDescent="0.25">
      <c r="B98" s="40">
        <v>92</v>
      </c>
      <c r="C98" s="97" t="s">
        <v>136</v>
      </c>
      <c r="D98" s="135" t="s">
        <v>71</v>
      </c>
      <c r="E98" s="135"/>
      <c r="F98" s="135"/>
      <c r="G98" s="135"/>
      <c r="H98" s="97" t="s">
        <v>162</v>
      </c>
      <c r="I98" s="97" t="s">
        <v>84</v>
      </c>
      <c r="J98" s="97">
        <v>1725</v>
      </c>
      <c r="K98" s="50">
        <v>10</v>
      </c>
      <c r="L98" s="41" t="s">
        <v>190</v>
      </c>
      <c r="M98" s="42">
        <v>4</v>
      </c>
      <c r="N98" s="44" t="s">
        <v>158</v>
      </c>
    </row>
    <row r="99" spans="1:15" ht="35.1" customHeight="1" x14ac:dyDescent="0.25">
      <c r="B99" s="40">
        <v>93</v>
      </c>
      <c r="C99" s="97" t="s">
        <v>137</v>
      </c>
      <c r="D99" s="135" t="s">
        <v>91</v>
      </c>
      <c r="E99" s="135"/>
      <c r="F99" s="135"/>
      <c r="G99" s="135"/>
      <c r="H99" s="97" t="s">
        <v>163</v>
      </c>
      <c r="I99" s="97" t="s">
        <v>73</v>
      </c>
      <c r="J99" s="97">
        <f>895-170</f>
        <v>725</v>
      </c>
      <c r="K99" s="42">
        <v>3</v>
      </c>
      <c r="L99" s="97" t="s">
        <v>148</v>
      </c>
      <c r="M99" s="42">
        <v>3</v>
      </c>
      <c r="N99" s="44" t="s">
        <v>148</v>
      </c>
      <c r="O99" s="4"/>
    </row>
    <row r="100" spans="1:15" ht="35.1" customHeight="1" x14ac:dyDescent="0.25">
      <c r="B100" s="40">
        <v>94</v>
      </c>
      <c r="C100" s="97" t="s">
        <v>138</v>
      </c>
      <c r="D100" s="135" t="s">
        <v>91</v>
      </c>
      <c r="E100" s="135"/>
      <c r="F100" s="135"/>
      <c r="G100" s="135"/>
      <c r="H100" s="97" t="s">
        <v>163</v>
      </c>
      <c r="I100" s="97" t="s">
        <v>192</v>
      </c>
      <c r="J100" s="97">
        <f>4210-30</f>
        <v>4180</v>
      </c>
      <c r="K100" s="42">
        <v>3</v>
      </c>
      <c r="L100" s="97" t="s">
        <v>148</v>
      </c>
      <c r="M100" s="42">
        <v>3</v>
      </c>
      <c r="N100" s="44" t="s">
        <v>148</v>
      </c>
      <c r="O100" s="4"/>
    </row>
    <row r="101" spans="1:15" ht="35.1" customHeight="1" x14ac:dyDescent="0.25">
      <c r="A101" s="4"/>
      <c r="B101" s="40">
        <v>95</v>
      </c>
      <c r="C101" s="97" t="s">
        <v>139</v>
      </c>
      <c r="D101" s="135" t="s">
        <v>91</v>
      </c>
      <c r="E101" s="135"/>
      <c r="F101" s="135"/>
      <c r="G101" s="135"/>
      <c r="H101" s="97" t="s">
        <v>163</v>
      </c>
      <c r="I101" s="97" t="s">
        <v>73</v>
      </c>
      <c r="J101" s="97">
        <v>755</v>
      </c>
      <c r="K101" s="42">
        <v>3</v>
      </c>
      <c r="L101" s="97" t="s">
        <v>148</v>
      </c>
      <c r="M101" s="42">
        <v>3</v>
      </c>
      <c r="N101" s="44" t="s">
        <v>148</v>
      </c>
      <c r="O101" s="4"/>
    </row>
    <row r="102" spans="1:15" ht="35.1" customHeight="1" x14ac:dyDescent="0.25">
      <c r="B102" s="40">
        <v>96</v>
      </c>
      <c r="C102" s="97" t="s">
        <v>140</v>
      </c>
      <c r="D102" s="135" t="s">
        <v>91</v>
      </c>
      <c r="E102" s="135"/>
      <c r="F102" s="135"/>
      <c r="G102" s="135"/>
      <c r="H102" s="97" t="s">
        <v>163</v>
      </c>
      <c r="I102" s="97" t="s">
        <v>193</v>
      </c>
      <c r="J102" s="97">
        <f>3225-30</f>
        <v>3195</v>
      </c>
      <c r="K102" s="42">
        <v>3</v>
      </c>
      <c r="L102" s="97" t="s">
        <v>148</v>
      </c>
      <c r="M102" s="42">
        <v>3</v>
      </c>
      <c r="N102" s="44" t="s">
        <v>145</v>
      </c>
      <c r="O102" s="4"/>
    </row>
    <row r="103" spans="1:15" ht="15.75" customHeight="1" x14ac:dyDescent="0.25">
      <c r="B103" s="149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1"/>
    </row>
    <row r="104" spans="1:15" ht="22.5" customHeight="1" x14ac:dyDescent="0.3">
      <c r="B104" s="142" t="s">
        <v>205</v>
      </c>
      <c r="C104" s="143"/>
      <c r="D104" s="143" t="s">
        <v>203</v>
      </c>
      <c r="E104" s="143"/>
      <c r="F104" s="143"/>
      <c r="G104" s="143"/>
      <c r="H104" s="143"/>
      <c r="I104" s="143"/>
      <c r="J104" s="143"/>
      <c r="K104" s="143"/>
      <c r="L104" s="143"/>
      <c r="M104" s="143" t="s">
        <v>206</v>
      </c>
      <c r="N104" s="145"/>
    </row>
    <row r="105" spans="1:15" ht="22.5" customHeight="1" x14ac:dyDescent="0.3">
      <c r="B105" s="143">
        <v>0</v>
      </c>
      <c r="C105" s="143"/>
      <c r="D105" s="143" t="s">
        <v>253</v>
      </c>
      <c r="E105" s="143"/>
      <c r="F105" s="143"/>
      <c r="G105" s="143"/>
      <c r="H105" s="143"/>
      <c r="I105" s="143"/>
      <c r="J105" s="143"/>
      <c r="K105" s="143"/>
      <c r="L105" s="143"/>
      <c r="M105" s="144">
        <v>45787</v>
      </c>
      <c r="N105" s="143"/>
    </row>
    <row r="106" spans="1:15" ht="22.5" customHeight="1" x14ac:dyDescent="0.25">
      <c r="B106" s="141">
        <v>1</v>
      </c>
      <c r="C106" s="141"/>
      <c r="D106" s="141" t="s">
        <v>210</v>
      </c>
      <c r="E106" s="141"/>
      <c r="F106" s="141"/>
      <c r="G106" s="141"/>
      <c r="H106" s="141"/>
      <c r="I106" s="141"/>
      <c r="J106" s="141"/>
      <c r="K106" s="141"/>
      <c r="L106" s="141"/>
      <c r="M106" s="147">
        <v>45812</v>
      </c>
      <c r="N106" s="141"/>
    </row>
    <row r="107" spans="1:15" ht="36.75" customHeight="1" x14ac:dyDescent="0.25">
      <c r="B107" s="158">
        <v>2</v>
      </c>
      <c r="C107" s="158"/>
      <c r="D107" s="158" t="s">
        <v>216</v>
      </c>
      <c r="E107" s="158"/>
      <c r="F107" s="158"/>
      <c r="G107" s="158"/>
      <c r="H107" s="158"/>
      <c r="I107" s="158"/>
      <c r="J107" s="158"/>
      <c r="K107" s="158"/>
      <c r="L107" s="158"/>
      <c r="M107" s="147">
        <v>45818</v>
      </c>
      <c r="N107" s="141"/>
    </row>
    <row r="108" spans="1:15" ht="32.25" customHeight="1" x14ac:dyDescent="0.25">
      <c r="B108" s="158"/>
      <c r="C108" s="158"/>
      <c r="D108" s="141" t="s">
        <v>214</v>
      </c>
      <c r="E108" s="141"/>
      <c r="F108" s="141"/>
      <c r="G108" s="141"/>
      <c r="H108" s="141"/>
      <c r="I108" s="141"/>
      <c r="J108" s="141"/>
      <c r="K108" s="141"/>
      <c r="L108" s="141"/>
      <c r="M108" s="147">
        <v>45818</v>
      </c>
      <c r="N108" s="141"/>
    </row>
    <row r="109" spans="1:15" ht="26.25" customHeight="1" x14ac:dyDescent="0.25">
      <c r="B109" s="158">
        <v>3</v>
      </c>
      <c r="C109" s="158"/>
      <c r="D109" s="141" t="s">
        <v>230</v>
      </c>
      <c r="E109" s="141"/>
      <c r="F109" s="141"/>
      <c r="G109" s="141"/>
      <c r="H109" s="141"/>
      <c r="I109" s="141"/>
      <c r="J109" s="141"/>
      <c r="K109" s="141"/>
      <c r="L109" s="141"/>
      <c r="M109" s="147">
        <v>45854</v>
      </c>
      <c r="N109" s="141"/>
    </row>
    <row r="110" spans="1:15" ht="39.75" customHeight="1" x14ac:dyDescent="0.25">
      <c r="B110" s="158"/>
      <c r="C110" s="158"/>
      <c r="D110" s="158" t="s">
        <v>243</v>
      </c>
      <c r="E110" s="158"/>
      <c r="F110" s="158"/>
      <c r="G110" s="158"/>
      <c r="H110" s="158"/>
      <c r="I110" s="158"/>
      <c r="J110" s="158"/>
      <c r="K110" s="158"/>
      <c r="L110" s="158"/>
      <c r="M110" s="147">
        <v>45854</v>
      </c>
      <c r="N110" s="141"/>
    </row>
    <row r="111" spans="1:15" ht="48" customHeight="1" x14ac:dyDescent="0.25">
      <c r="B111" s="158">
        <v>4</v>
      </c>
      <c r="C111" s="158"/>
      <c r="D111" s="131" t="s">
        <v>260</v>
      </c>
      <c r="E111" s="131"/>
      <c r="F111" s="131"/>
      <c r="G111" s="131"/>
      <c r="H111" s="131"/>
      <c r="I111" s="131"/>
      <c r="J111" s="131"/>
      <c r="K111" s="131"/>
      <c r="L111" s="132"/>
      <c r="M111" s="133">
        <v>45862</v>
      </c>
      <c r="N111" s="166"/>
    </row>
    <row r="112" spans="1:15" ht="39.75" customHeight="1" x14ac:dyDescent="0.25">
      <c r="B112" s="158"/>
      <c r="C112" s="158"/>
      <c r="D112" s="131" t="s">
        <v>258</v>
      </c>
      <c r="E112" s="131"/>
      <c r="F112" s="131"/>
      <c r="G112" s="131"/>
      <c r="H112" s="131"/>
      <c r="I112" s="131"/>
      <c r="J112" s="131"/>
      <c r="K112" s="131"/>
      <c r="L112" s="132"/>
      <c r="M112" s="133">
        <v>45867</v>
      </c>
      <c r="N112" s="166"/>
    </row>
    <row r="113" spans="2:14" ht="39.75" customHeight="1" x14ac:dyDescent="0.25">
      <c r="B113" s="158"/>
      <c r="C113" s="158"/>
      <c r="D113" s="141" t="s">
        <v>263</v>
      </c>
      <c r="E113" s="141"/>
      <c r="F113" s="141"/>
      <c r="G113" s="141"/>
      <c r="H113" s="141"/>
      <c r="I113" s="141"/>
      <c r="J113" s="141"/>
      <c r="K113" s="141"/>
      <c r="L113" s="141"/>
      <c r="M113" s="133">
        <v>45873</v>
      </c>
      <c r="N113" s="167"/>
    </row>
    <row r="114" spans="2:14" ht="32.25" customHeight="1" thickBot="1" x14ac:dyDescent="0.3">
      <c r="B114" s="152" t="s">
        <v>229</v>
      </c>
      <c r="C114" s="153"/>
      <c r="D114" s="153"/>
      <c r="E114" s="153"/>
      <c r="F114" s="153"/>
      <c r="G114" s="153"/>
      <c r="H114" s="154"/>
      <c r="I114" s="155" t="s">
        <v>228</v>
      </c>
      <c r="J114" s="153"/>
      <c r="K114" s="154"/>
      <c r="L114" s="155" t="s">
        <v>227</v>
      </c>
      <c r="M114" s="153"/>
      <c r="N114" s="156"/>
    </row>
    <row r="115" spans="2:14" ht="15.75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</sheetData>
  <sheetProtection password="DE0D" sheet="1" objects="1" scenarios="1"/>
  <mergeCells count="138">
    <mergeCell ref="B114:H114"/>
    <mergeCell ref="I114:K114"/>
    <mergeCell ref="L114:N114"/>
    <mergeCell ref="B111:C113"/>
    <mergeCell ref="D111:L111"/>
    <mergeCell ref="M111:N111"/>
    <mergeCell ref="D112:L112"/>
    <mergeCell ref="M112:N112"/>
    <mergeCell ref="D113:L113"/>
    <mergeCell ref="M113:N113"/>
    <mergeCell ref="B107:C108"/>
    <mergeCell ref="D107:L107"/>
    <mergeCell ref="M107:N107"/>
    <mergeCell ref="D108:L108"/>
    <mergeCell ref="M108:N108"/>
    <mergeCell ref="B109:C110"/>
    <mergeCell ref="D109:L109"/>
    <mergeCell ref="M109:N109"/>
    <mergeCell ref="D110:L110"/>
    <mergeCell ref="M110:N110"/>
    <mergeCell ref="B105:C105"/>
    <mergeCell ref="D105:L105"/>
    <mergeCell ref="M105:N105"/>
    <mergeCell ref="B106:C106"/>
    <mergeCell ref="D106:L106"/>
    <mergeCell ref="M106:N106"/>
    <mergeCell ref="D99:G99"/>
    <mergeCell ref="D100:G100"/>
    <mergeCell ref="D101:G101"/>
    <mergeCell ref="D102:G102"/>
    <mergeCell ref="B103:N103"/>
    <mergeCell ref="B104:C104"/>
    <mergeCell ref="D104:L104"/>
    <mergeCell ref="M104:N104"/>
    <mergeCell ref="D93:G93"/>
    <mergeCell ref="D94:G94"/>
    <mergeCell ref="D95:G95"/>
    <mergeCell ref="D96:G96"/>
    <mergeCell ref="D97:G97"/>
    <mergeCell ref="D98:G98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27:G27"/>
    <mergeCell ref="D28:G28"/>
    <mergeCell ref="D29:G29"/>
    <mergeCell ref="D30:G30"/>
    <mergeCell ref="D31:G31"/>
    <mergeCell ref="D32:G32"/>
    <mergeCell ref="D21:G21"/>
    <mergeCell ref="D22:G22"/>
    <mergeCell ref="D23:G23"/>
    <mergeCell ref="D24:G24"/>
    <mergeCell ref="D25:G25"/>
    <mergeCell ref="D26:G26"/>
    <mergeCell ref="D15:G15"/>
    <mergeCell ref="D16:G16"/>
    <mergeCell ref="D17:G17"/>
    <mergeCell ref="D18:G18"/>
    <mergeCell ref="D19:G19"/>
    <mergeCell ref="D20:G20"/>
    <mergeCell ref="D10:G10"/>
    <mergeCell ref="D11:G11"/>
    <mergeCell ref="D12:G12"/>
    <mergeCell ref="D13:G13"/>
    <mergeCell ref="D14:G14"/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  <mergeCell ref="D9:G9"/>
  </mergeCells>
  <printOptions horizontalCentered="1" verticalCentered="1"/>
  <pageMargins left="0" right="0" top="0" bottom="0" header="0" footer="0"/>
  <pageSetup paperSize="9" scale="70" orientation="landscape" r:id="rId1"/>
  <headerFooter scaleWithDoc="0" alignWithMargins="0">
    <firstFooter>&amp;RPage :1 of 2</firstFooter>
  </headerFooter>
  <rowBreaks count="1" manualBreakCount="1">
    <brk id="96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12"/>
  <sheetViews>
    <sheetView view="pageBreakPreview" topLeftCell="A88" zoomScale="70" zoomScaleNormal="70" zoomScaleSheetLayoutView="70" workbookViewId="0">
      <selection activeCell="J101" sqref="J101"/>
    </sheetView>
  </sheetViews>
  <sheetFormatPr defaultRowHeight="15" x14ac:dyDescent="0.25"/>
  <cols>
    <col min="1" max="1" width="1" customWidth="1"/>
    <col min="2" max="2" width="6.42578125" customWidth="1"/>
    <col min="3" max="3" width="9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25">
      <c r="B1" s="117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1:14" ht="28.35" customHeight="1" x14ac:dyDescent="0.25">
      <c r="B2" s="120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2"/>
    </row>
    <row r="3" spans="1:14" ht="15.95" customHeight="1" x14ac:dyDescent="0.25">
      <c r="B3" s="123" t="s">
        <v>2</v>
      </c>
      <c r="C3" s="124"/>
      <c r="D3" s="124"/>
      <c r="E3" s="124"/>
      <c r="F3" s="124"/>
      <c r="G3" s="124"/>
      <c r="H3" s="10" t="s">
        <v>161</v>
      </c>
      <c r="I3" s="8" t="s">
        <v>194</v>
      </c>
      <c r="J3" s="33" t="s">
        <v>211</v>
      </c>
      <c r="K3" s="125" t="s">
        <v>195</v>
      </c>
      <c r="L3" s="126"/>
      <c r="M3" s="125" t="s">
        <v>196</v>
      </c>
      <c r="N3" s="127"/>
    </row>
    <row r="4" spans="1:14" ht="21" customHeight="1" x14ac:dyDescent="0.25">
      <c r="B4" s="123" t="s">
        <v>3</v>
      </c>
      <c r="C4" s="124"/>
      <c r="D4" s="124"/>
      <c r="E4" s="124"/>
      <c r="F4" s="124"/>
      <c r="G4" s="124"/>
      <c r="H4" s="33" t="s">
        <v>4</v>
      </c>
      <c r="I4" s="9" t="s">
        <v>197</v>
      </c>
      <c r="J4" s="10">
        <v>3</v>
      </c>
      <c r="K4" s="128" t="s">
        <v>198</v>
      </c>
      <c r="L4" s="129"/>
      <c r="M4" s="124" t="s">
        <v>200</v>
      </c>
      <c r="N4" s="130"/>
    </row>
    <row r="5" spans="1:14" ht="21" customHeight="1" x14ac:dyDescent="0.25">
      <c r="B5" s="123" t="s">
        <v>5</v>
      </c>
      <c r="C5" s="124"/>
      <c r="D5" s="124"/>
      <c r="E5" s="124"/>
      <c r="F5" s="124"/>
      <c r="G5" s="124"/>
      <c r="H5" s="33" t="s">
        <v>18</v>
      </c>
      <c r="I5" s="9" t="s">
        <v>199</v>
      </c>
      <c r="J5" s="21">
        <v>45854</v>
      </c>
      <c r="K5" s="136" t="s">
        <v>6</v>
      </c>
      <c r="L5" s="137"/>
      <c r="M5" s="138" t="s">
        <v>7</v>
      </c>
      <c r="N5" s="139"/>
    </row>
    <row r="6" spans="1:14" ht="56.25" customHeight="1" x14ac:dyDescent="0.25">
      <c r="B6" s="7" t="s">
        <v>160</v>
      </c>
      <c r="C6" s="5" t="s">
        <v>8</v>
      </c>
      <c r="D6" s="140" t="s">
        <v>9</v>
      </c>
      <c r="E6" s="140"/>
      <c r="F6" s="140"/>
      <c r="G6" s="140"/>
      <c r="H6" s="2" t="s">
        <v>10</v>
      </c>
      <c r="I6" s="34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13">
        <v>1</v>
      </c>
      <c r="C7" s="37" t="s">
        <v>25</v>
      </c>
      <c r="D7" s="135" t="s">
        <v>71</v>
      </c>
      <c r="E7" s="135"/>
      <c r="F7" s="135"/>
      <c r="G7" s="135"/>
      <c r="H7" s="37" t="s">
        <v>162</v>
      </c>
      <c r="I7" s="37" t="s">
        <v>19</v>
      </c>
      <c r="J7" s="37">
        <v>1220</v>
      </c>
      <c r="K7" s="14">
        <v>4</v>
      </c>
      <c r="L7" s="35" t="s">
        <v>72</v>
      </c>
      <c r="M7" s="48">
        <v>8.5</v>
      </c>
      <c r="N7" s="15" t="s">
        <v>164</v>
      </c>
    </row>
    <row r="8" spans="1:14" ht="35.1" customHeight="1" x14ac:dyDescent="0.25">
      <c r="B8" s="13">
        <v>2</v>
      </c>
      <c r="C8" s="37" t="s">
        <v>26</v>
      </c>
      <c r="D8" s="135" t="s">
        <v>71</v>
      </c>
      <c r="E8" s="135"/>
      <c r="F8" s="135"/>
      <c r="G8" s="135"/>
      <c r="H8" s="37" t="s">
        <v>162</v>
      </c>
      <c r="I8" s="37" t="s">
        <v>73</v>
      </c>
      <c r="J8" s="37">
        <v>830</v>
      </c>
      <c r="K8" s="50">
        <v>10</v>
      </c>
      <c r="L8" s="16" t="s">
        <v>165</v>
      </c>
      <c r="M8" s="14">
        <v>4</v>
      </c>
      <c r="N8" s="36" t="s">
        <v>72</v>
      </c>
    </row>
    <row r="9" spans="1:14" ht="35.1" customHeight="1" x14ac:dyDescent="0.25">
      <c r="B9" s="13">
        <v>3</v>
      </c>
      <c r="C9" s="37" t="s">
        <v>74</v>
      </c>
      <c r="D9" s="135" t="s">
        <v>91</v>
      </c>
      <c r="E9" s="135"/>
      <c r="F9" s="135"/>
      <c r="G9" s="135"/>
      <c r="H9" s="37" t="s">
        <v>163</v>
      </c>
      <c r="I9" s="37" t="s">
        <v>75</v>
      </c>
      <c r="J9" s="37">
        <v>1725</v>
      </c>
      <c r="K9" s="51">
        <v>10</v>
      </c>
      <c r="L9" s="16" t="s">
        <v>165</v>
      </c>
      <c r="M9" s="14">
        <v>3.5</v>
      </c>
      <c r="N9" s="36" t="s">
        <v>141</v>
      </c>
    </row>
    <row r="10" spans="1:14" ht="35.1" customHeight="1" x14ac:dyDescent="0.25">
      <c r="B10" s="13">
        <v>4</v>
      </c>
      <c r="C10" s="37" t="s">
        <v>27</v>
      </c>
      <c r="D10" s="135" t="s">
        <v>76</v>
      </c>
      <c r="E10" s="135"/>
      <c r="F10" s="135"/>
      <c r="G10" s="135"/>
      <c r="H10" s="37" t="s">
        <v>159</v>
      </c>
      <c r="I10" s="37" t="s">
        <v>73</v>
      </c>
      <c r="J10" s="37">
        <v>1950</v>
      </c>
      <c r="K10" s="14">
        <v>2.8</v>
      </c>
      <c r="L10" s="35">
        <v>39000040</v>
      </c>
      <c r="M10" s="39">
        <v>10</v>
      </c>
      <c r="N10" s="15" t="s">
        <v>170</v>
      </c>
    </row>
    <row r="11" spans="1:14" ht="35.1" customHeight="1" x14ac:dyDescent="0.25">
      <c r="B11" s="13">
        <v>5</v>
      </c>
      <c r="C11" s="37" t="s">
        <v>28</v>
      </c>
      <c r="D11" s="135" t="s">
        <v>71</v>
      </c>
      <c r="E11" s="135"/>
      <c r="F11" s="135"/>
      <c r="G11" s="135"/>
      <c r="H11" s="37" t="s">
        <v>162</v>
      </c>
      <c r="I11" s="37" t="s">
        <v>77</v>
      </c>
      <c r="J11" s="37">
        <v>490</v>
      </c>
      <c r="K11" s="14">
        <v>3</v>
      </c>
      <c r="L11" s="35" t="s">
        <v>142</v>
      </c>
      <c r="M11" s="49">
        <v>8.5</v>
      </c>
      <c r="N11" s="15" t="s">
        <v>189</v>
      </c>
    </row>
    <row r="12" spans="1:14" ht="35.1" customHeight="1" x14ac:dyDescent="0.25">
      <c r="B12" s="13">
        <v>6</v>
      </c>
      <c r="C12" s="37" t="s">
        <v>29</v>
      </c>
      <c r="D12" s="135" t="s">
        <v>91</v>
      </c>
      <c r="E12" s="135"/>
      <c r="F12" s="135"/>
      <c r="G12" s="135"/>
      <c r="H12" s="37" t="s">
        <v>163</v>
      </c>
      <c r="I12" s="37" t="s">
        <v>73</v>
      </c>
      <c r="J12" s="37">
        <v>1345</v>
      </c>
      <c r="K12" s="14">
        <v>3</v>
      </c>
      <c r="L12" s="35" t="s">
        <v>143</v>
      </c>
      <c r="M12" s="14">
        <v>3</v>
      </c>
      <c r="N12" s="15" t="s">
        <v>143</v>
      </c>
    </row>
    <row r="13" spans="1:14" ht="35.1" customHeight="1" x14ac:dyDescent="0.25">
      <c r="B13" s="13">
        <v>7</v>
      </c>
      <c r="C13" s="37" t="s">
        <v>30</v>
      </c>
      <c r="D13" s="135" t="s">
        <v>76</v>
      </c>
      <c r="E13" s="135"/>
      <c r="F13" s="135"/>
      <c r="G13" s="135"/>
      <c r="H13" s="37" t="s">
        <v>159</v>
      </c>
      <c r="I13" s="37" t="s">
        <v>78</v>
      </c>
      <c r="J13" s="55">
        <f>1390-20</f>
        <v>1370</v>
      </c>
      <c r="K13" s="14">
        <v>3.8</v>
      </c>
      <c r="L13" s="35" t="s">
        <v>144</v>
      </c>
      <c r="M13" s="47">
        <v>6</v>
      </c>
      <c r="N13" s="15" t="s">
        <v>167</v>
      </c>
    </row>
    <row r="14" spans="1:14" ht="35.1" customHeight="1" x14ac:dyDescent="0.25">
      <c r="B14" s="13">
        <v>8</v>
      </c>
      <c r="C14" s="37" t="s">
        <v>31</v>
      </c>
      <c r="D14" s="135" t="s">
        <v>91</v>
      </c>
      <c r="E14" s="135"/>
      <c r="F14" s="135"/>
      <c r="G14" s="135"/>
      <c r="H14" s="37" t="s">
        <v>163</v>
      </c>
      <c r="I14" s="37" t="s">
        <v>79</v>
      </c>
      <c r="J14" s="37">
        <v>1020</v>
      </c>
      <c r="K14" s="14">
        <v>3</v>
      </c>
      <c r="L14" s="35" t="s">
        <v>145</v>
      </c>
      <c r="M14" s="47">
        <v>6</v>
      </c>
      <c r="N14" s="15" t="s">
        <v>168</v>
      </c>
    </row>
    <row r="15" spans="1:14" ht="35.1" customHeight="1" x14ac:dyDescent="0.25">
      <c r="B15" s="13">
        <v>9</v>
      </c>
      <c r="C15" s="37" t="s">
        <v>32</v>
      </c>
      <c r="D15" s="135" t="s">
        <v>91</v>
      </c>
      <c r="E15" s="135"/>
      <c r="F15" s="135"/>
      <c r="G15" s="135"/>
      <c r="H15" s="37" t="s">
        <v>163</v>
      </c>
      <c r="I15" s="37" t="s">
        <v>79</v>
      </c>
      <c r="J15" s="37">
        <v>1400</v>
      </c>
      <c r="K15" s="14">
        <v>3</v>
      </c>
      <c r="L15" s="35" t="s">
        <v>143</v>
      </c>
      <c r="M15" s="14">
        <v>2</v>
      </c>
      <c r="N15" s="15" t="s">
        <v>145</v>
      </c>
    </row>
    <row r="16" spans="1:14" ht="35.1" customHeight="1" x14ac:dyDescent="0.25">
      <c r="A16" s="4"/>
      <c r="B16" s="13">
        <v>10</v>
      </c>
      <c r="C16" s="37" t="s">
        <v>33</v>
      </c>
      <c r="D16" s="135" t="s">
        <v>91</v>
      </c>
      <c r="E16" s="135"/>
      <c r="F16" s="135"/>
      <c r="G16" s="135"/>
      <c r="H16" s="37" t="s">
        <v>163</v>
      </c>
      <c r="I16" s="37" t="s">
        <v>80</v>
      </c>
      <c r="J16" s="37">
        <v>1155</v>
      </c>
      <c r="K16" s="14">
        <v>3</v>
      </c>
      <c r="L16" s="35" t="s">
        <v>145</v>
      </c>
      <c r="M16" s="14">
        <v>3</v>
      </c>
      <c r="N16" s="36" t="s">
        <v>143</v>
      </c>
    </row>
    <row r="17" spans="1:15" ht="35.1" customHeight="1" x14ac:dyDescent="0.25">
      <c r="B17" s="13">
        <v>11</v>
      </c>
      <c r="C17" s="37" t="s">
        <v>34</v>
      </c>
      <c r="D17" s="135" t="s">
        <v>71</v>
      </c>
      <c r="E17" s="135"/>
      <c r="F17" s="135"/>
      <c r="G17" s="135"/>
      <c r="H17" s="37" t="s">
        <v>162</v>
      </c>
      <c r="I17" s="37" t="s">
        <v>77</v>
      </c>
      <c r="J17" s="37">
        <v>1205</v>
      </c>
      <c r="K17" s="14">
        <v>4</v>
      </c>
      <c r="L17" s="35" t="s">
        <v>146</v>
      </c>
      <c r="M17" s="14">
        <v>5</v>
      </c>
      <c r="N17" s="36" t="s">
        <v>147</v>
      </c>
    </row>
    <row r="18" spans="1:15" ht="35.1" customHeight="1" x14ac:dyDescent="0.25">
      <c r="B18" s="13">
        <v>12</v>
      </c>
      <c r="C18" s="37" t="s">
        <v>35</v>
      </c>
      <c r="D18" s="135" t="s">
        <v>91</v>
      </c>
      <c r="E18" s="135"/>
      <c r="F18" s="135"/>
      <c r="G18" s="135"/>
      <c r="H18" s="37" t="s">
        <v>163</v>
      </c>
      <c r="I18" s="37" t="s">
        <v>75</v>
      </c>
      <c r="J18" s="37">
        <v>1400</v>
      </c>
      <c r="K18" s="14">
        <v>3</v>
      </c>
      <c r="L18" s="35" t="s">
        <v>145</v>
      </c>
      <c r="M18" s="14">
        <v>3</v>
      </c>
      <c r="N18" s="15" t="s">
        <v>143</v>
      </c>
    </row>
    <row r="19" spans="1:15" ht="35.1" customHeight="1" x14ac:dyDescent="0.25">
      <c r="B19" s="13">
        <v>13</v>
      </c>
      <c r="C19" s="37" t="s">
        <v>36</v>
      </c>
      <c r="D19" s="135" t="s">
        <v>91</v>
      </c>
      <c r="E19" s="135"/>
      <c r="F19" s="135"/>
      <c r="G19" s="135"/>
      <c r="H19" s="37" t="s">
        <v>163</v>
      </c>
      <c r="I19" s="37" t="s">
        <v>81</v>
      </c>
      <c r="J19" s="37">
        <v>1480</v>
      </c>
      <c r="K19" s="14">
        <v>3</v>
      </c>
      <c r="L19" s="35" t="s">
        <v>148</v>
      </c>
      <c r="M19" s="14">
        <v>2</v>
      </c>
      <c r="N19" s="36" t="s">
        <v>145</v>
      </c>
    </row>
    <row r="20" spans="1:15" ht="49.5" customHeight="1" x14ac:dyDescent="0.25">
      <c r="B20" s="13">
        <v>14</v>
      </c>
      <c r="C20" s="37" t="s">
        <v>37</v>
      </c>
      <c r="D20" s="135" t="s">
        <v>91</v>
      </c>
      <c r="E20" s="135"/>
      <c r="F20" s="135"/>
      <c r="G20" s="135"/>
      <c r="H20" s="37" t="s">
        <v>163</v>
      </c>
      <c r="I20" s="37" t="s">
        <v>75</v>
      </c>
      <c r="J20" s="37">
        <v>3170</v>
      </c>
      <c r="K20" s="14">
        <v>3</v>
      </c>
      <c r="L20" s="35" t="s">
        <v>148</v>
      </c>
      <c r="M20" s="14">
        <v>3</v>
      </c>
      <c r="N20" s="36" t="s">
        <v>148</v>
      </c>
      <c r="O20" s="4"/>
    </row>
    <row r="21" spans="1:15" ht="35.1" customHeight="1" x14ac:dyDescent="0.25">
      <c r="B21" s="13">
        <v>15</v>
      </c>
      <c r="C21" s="37" t="s">
        <v>38</v>
      </c>
      <c r="D21" s="135" t="s">
        <v>76</v>
      </c>
      <c r="E21" s="135"/>
      <c r="F21" s="135"/>
      <c r="G21" s="135"/>
      <c r="H21" s="37" t="s">
        <v>159</v>
      </c>
      <c r="I21" s="37" t="s">
        <v>82</v>
      </c>
      <c r="J21" s="55">
        <f>1340-20</f>
        <v>1320</v>
      </c>
      <c r="K21" s="14">
        <v>4</v>
      </c>
      <c r="L21" s="35" t="s">
        <v>144</v>
      </c>
      <c r="M21" s="47">
        <v>6</v>
      </c>
      <c r="N21" s="15" t="s">
        <v>169</v>
      </c>
    </row>
    <row r="22" spans="1:15" s="3" customFormat="1" ht="35.1" customHeight="1" x14ac:dyDescent="0.25">
      <c r="B22" s="13">
        <v>16</v>
      </c>
      <c r="C22" s="37" t="s">
        <v>39</v>
      </c>
      <c r="D22" s="135" t="s">
        <v>71</v>
      </c>
      <c r="E22" s="135"/>
      <c r="F22" s="135"/>
      <c r="G22" s="135"/>
      <c r="H22" s="37" t="s">
        <v>162</v>
      </c>
      <c r="I22" s="37" t="s">
        <v>73</v>
      </c>
      <c r="J22" s="37">
        <v>1145</v>
      </c>
      <c r="K22" s="14">
        <v>3</v>
      </c>
      <c r="L22" s="35" t="s">
        <v>142</v>
      </c>
      <c r="M22" s="32">
        <v>10</v>
      </c>
      <c r="N22" s="15" t="s">
        <v>170</v>
      </c>
    </row>
    <row r="23" spans="1:15" ht="35.1" customHeight="1" x14ac:dyDescent="0.25">
      <c r="A23" s="4"/>
      <c r="B23" s="13">
        <v>17</v>
      </c>
      <c r="C23" s="37" t="s">
        <v>40</v>
      </c>
      <c r="D23" s="135" t="s">
        <v>91</v>
      </c>
      <c r="E23" s="135"/>
      <c r="F23" s="135"/>
      <c r="G23" s="135"/>
      <c r="H23" s="37" t="s">
        <v>163</v>
      </c>
      <c r="I23" s="37" t="s">
        <v>83</v>
      </c>
      <c r="J23" s="37">
        <v>815</v>
      </c>
      <c r="K23" s="14">
        <v>5</v>
      </c>
      <c r="L23" s="35" t="s">
        <v>149</v>
      </c>
      <c r="M23" s="14">
        <v>2</v>
      </c>
      <c r="N23" s="15" t="s">
        <v>145</v>
      </c>
    </row>
    <row r="24" spans="1:15" ht="35.1" customHeight="1" x14ac:dyDescent="0.25">
      <c r="B24" s="13">
        <v>18</v>
      </c>
      <c r="C24" s="37" t="s">
        <v>41</v>
      </c>
      <c r="D24" s="135" t="s">
        <v>71</v>
      </c>
      <c r="E24" s="135"/>
      <c r="F24" s="135"/>
      <c r="G24" s="135"/>
      <c r="H24" s="37" t="s">
        <v>162</v>
      </c>
      <c r="I24" s="37" t="s">
        <v>19</v>
      </c>
      <c r="J24" s="37">
        <v>490</v>
      </c>
      <c r="K24" s="14">
        <v>3</v>
      </c>
      <c r="L24" s="16" t="s">
        <v>142</v>
      </c>
      <c r="M24" s="53">
        <v>8.5</v>
      </c>
      <c r="N24" s="15" t="s">
        <v>166</v>
      </c>
    </row>
    <row r="25" spans="1:15" ht="35.1" customHeight="1" x14ac:dyDescent="0.25">
      <c r="B25" s="13">
        <v>19</v>
      </c>
      <c r="C25" s="37" t="s">
        <v>42</v>
      </c>
      <c r="D25" s="135" t="s">
        <v>76</v>
      </c>
      <c r="E25" s="135"/>
      <c r="F25" s="135"/>
      <c r="G25" s="135"/>
      <c r="H25" s="37" t="s">
        <v>159</v>
      </c>
      <c r="I25" s="37" t="s">
        <v>19</v>
      </c>
      <c r="J25" s="55">
        <f>775-20</f>
        <v>755</v>
      </c>
      <c r="K25" s="14">
        <v>4</v>
      </c>
      <c r="L25" s="35" t="s">
        <v>144</v>
      </c>
      <c r="M25" s="46">
        <v>6</v>
      </c>
      <c r="N25" s="15" t="s">
        <v>171</v>
      </c>
    </row>
    <row r="26" spans="1:15" ht="35.1" customHeight="1" x14ac:dyDescent="0.25">
      <c r="B26" s="13">
        <v>20</v>
      </c>
      <c r="C26" s="37" t="s">
        <v>43</v>
      </c>
      <c r="D26" s="135" t="s">
        <v>71</v>
      </c>
      <c r="E26" s="135"/>
      <c r="F26" s="135"/>
      <c r="G26" s="135"/>
      <c r="H26" s="37" t="s">
        <v>162</v>
      </c>
      <c r="I26" s="37" t="s">
        <v>84</v>
      </c>
      <c r="J26" s="37">
        <v>2195</v>
      </c>
      <c r="K26" s="48">
        <v>8.5</v>
      </c>
      <c r="L26" s="16" t="s">
        <v>190</v>
      </c>
      <c r="M26" s="14">
        <v>3</v>
      </c>
      <c r="N26" s="36" t="s">
        <v>142</v>
      </c>
    </row>
    <row r="27" spans="1:15" ht="35.1" customHeight="1" x14ac:dyDescent="0.25">
      <c r="A27" s="4"/>
      <c r="B27" s="13">
        <v>21</v>
      </c>
      <c r="C27" s="37" t="s">
        <v>44</v>
      </c>
      <c r="D27" s="135" t="s">
        <v>71</v>
      </c>
      <c r="E27" s="135"/>
      <c r="F27" s="135"/>
      <c r="G27" s="135"/>
      <c r="H27" s="37" t="s">
        <v>162</v>
      </c>
      <c r="I27" s="37" t="s">
        <v>84</v>
      </c>
      <c r="J27" s="37">
        <v>875</v>
      </c>
      <c r="K27" s="14">
        <v>3</v>
      </c>
      <c r="L27" s="35" t="s">
        <v>142</v>
      </c>
      <c r="M27" s="49">
        <v>8.5</v>
      </c>
      <c r="N27" s="15" t="s">
        <v>172</v>
      </c>
    </row>
    <row r="28" spans="1:15" ht="35.1" customHeight="1" x14ac:dyDescent="0.25">
      <c r="B28" s="13">
        <v>22</v>
      </c>
      <c r="C28" s="37" t="s">
        <v>45</v>
      </c>
      <c r="D28" s="135" t="s">
        <v>91</v>
      </c>
      <c r="E28" s="135"/>
      <c r="F28" s="135"/>
      <c r="G28" s="135"/>
      <c r="H28" s="37" t="s">
        <v>163</v>
      </c>
      <c r="I28" s="41" t="s">
        <v>173</v>
      </c>
      <c r="J28" s="37">
        <v>125</v>
      </c>
      <c r="K28" s="14">
        <v>3</v>
      </c>
      <c r="L28" s="35" t="s">
        <v>143</v>
      </c>
      <c r="M28" s="47">
        <v>6</v>
      </c>
      <c r="N28" s="15" t="s">
        <v>174</v>
      </c>
    </row>
    <row r="29" spans="1:15" ht="35.1" customHeight="1" x14ac:dyDescent="0.25">
      <c r="B29" s="13">
        <v>23</v>
      </c>
      <c r="C29" s="37" t="s">
        <v>46</v>
      </c>
      <c r="D29" s="135" t="s">
        <v>91</v>
      </c>
      <c r="E29" s="135"/>
      <c r="F29" s="135"/>
      <c r="G29" s="135"/>
      <c r="H29" s="37" t="s">
        <v>163</v>
      </c>
      <c r="I29" s="37" t="s">
        <v>73</v>
      </c>
      <c r="J29" s="37">
        <v>1150</v>
      </c>
      <c r="K29" s="14">
        <v>2</v>
      </c>
      <c r="L29" s="35" t="s">
        <v>145</v>
      </c>
      <c r="M29" s="14">
        <v>3</v>
      </c>
      <c r="N29" s="15" t="s">
        <v>143</v>
      </c>
    </row>
    <row r="30" spans="1:15" ht="35.1" customHeight="1" x14ac:dyDescent="0.25">
      <c r="B30" s="13">
        <v>24</v>
      </c>
      <c r="C30" s="37" t="s">
        <v>47</v>
      </c>
      <c r="D30" s="135" t="s">
        <v>71</v>
      </c>
      <c r="E30" s="135"/>
      <c r="F30" s="135"/>
      <c r="G30" s="135"/>
      <c r="H30" s="37" t="s">
        <v>162</v>
      </c>
      <c r="I30" s="37" t="s">
        <v>85</v>
      </c>
      <c r="J30" s="37">
        <v>895</v>
      </c>
      <c r="K30" s="14">
        <v>3</v>
      </c>
      <c r="L30" s="35" t="s">
        <v>142</v>
      </c>
      <c r="M30" s="32">
        <v>10</v>
      </c>
      <c r="N30" s="15" t="s">
        <v>170</v>
      </c>
    </row>
    <row r="31" spans="1:15" ht="35.1" customHeight="1" x14ac:dyDescent="0.25">
      <c r="B31" s="13">
        <v>25</v>
      </c>
      <c r="C31" s="37" t="s">
        <v>48</v>
      </c>
      <c r="D31" s="135" t="s">
        <v>71</v>
      </c>
      <c r="E31" s="135"/>
      <c r="F31" s="135"/>
      <c r="G31" s="135"/>
      <c r="H31" s="37" t="s">
        <v>162</v>
      </c>
      <c r="I31" s="37" t="s">
        <v>73</v>
      </c>
      <c r="J31" s="37">
        <v>895</v>
      </c>
      <c r="K31" s="51">
        <v>10</v>
      </c>
      <c r="L31" s="16" t="s">
        <v>170</v>
      </c>
      <c r="M31" s="14">
        <v>3</v>
      </c>
      <c r="N31" s="15" t="s">
        <v>142</v>
      </c>
    </row>
    <row r="32" spans="1:15" ht="35.1" customHeight="1" x14ac:dyDescent="0.25">
      <c r="B32" s="13">
        <v>26</v>
      </c>
      <c r="C32" s="37" t="s">
        <v>86</v>
      </c>
      <c r="D32" s="135" t="s">
        <v>91</v>
      </c>
      <c r="E32" s="135"/>
      <c r="F32" s="135"/>
      <c r="G32" s="135"/>
      <c r="H32" s="37" t="s">
        <v>163</v>
      </c>
      <c r="I32" s="37" t="s">
        <v>85</v>
      </c>
      <c r="J32" s="37">
        <v>1735</v>
      </c>
      <c r="K32" s="50">
        <v>10</v>
      </c>
      <c r="L32" s="16" t="s">
        <v>165</v>
      </c>
      <c r="M32" s="14">
        <v>3</v>
      </c>
      <c r="N32" s="15" t="s">
        <v>141</v>
      </c>
    </row>
    <row r="33" spans="2:14" ht="35.1" customHeight="1" x14ac:dyDescent="0.25">
      <c r="B33" s="13">
        <v>27</v>
      </c>
      <c r="C33" s="37" t="s">
        <v>87</v>
      </c>
      <c r="D33" s="135" t="s">
        <v>71</v>
      </c>
      <c r="E33" s="135"/>
      <c r="F33" s="135"/>
      <c r="G33" s="135"/>
      <c r="H33" s="37" t="s">
        <v>162</v>
      </c>
      <c r="I33" s="37" t="s">
        <v>88</v>
      </c>
      <c r="J33" s="37">
        <v>280</v>
      </c>
      <c r="K33" s="14">
        <v>4</v>
      </c>
      <c r="L33" s="35" t="s">
        <v>146</v>
      </c>
      <c r="M33" s="47">
        <v>6</v>
      </c>
      <c r="N33" s="15" t="s">
        <v>175</v>
      </c>
    </row>
    <row r="34" spans="2:14" ht="35.1" customHeight="1" x14ac:dyDescent="0.25">
      <c r="B34" s="13">
        <v>28</v>
      </c>
      <c r="C34" s="37" t="s">
        <v>89</v>
      </c>
      <c r="D34" s="135" t="s">
        <v>91</v>
      </c>
      <c r="E34" s="135"/>
      <c r="F34" s="135"/>
      <c r="G34" s="135"/>
      <c r="H34" s="37" t="s">
        <v>163</v>
      </c>
      <c r="I34" s="37" t="s">
        <v>82</v>
      </c>
      <c r="J34" s="37">
        <v>1010</v>
      </c>
      <c r="K34" s="14">
        <v>2</v>
      </c>
      <c r="L34" s="35" t="s">
        <v>145</v>
      </c>
      <c r="M34" s="47">
        <v>6</v>
      </c>
      <c r="N34" s="15" t="s">
        <v>176</v>
      </c>
    </row>
    <row r="35" spans="2:14" ht="35.1" customHeight="1" x14ac:dyDescent="0.25">
      <c r="B35" s="13">
        <v>29</v>
      </c>
      <c r="C35" s="37" t="s">
        <v>49</v>
      </c>
      <c r="D35" s="135" t="s">
        <v>91</v>
      </c>
      <c r="E35" s="135"/>
      <c r="F35" s="135"/>
      <c r="G35" s="135"/>
      <c r="H35" s="37" t="s">
        <v>163</v>
      </c>
      <c r="I35" s="37" t="s">
        <v>82</v>
      </c>
      <c r="J35" s="55">
        <f>1580-20</f>
        <v>1560</v>
      </c>
      <c r="K35" s="14">
        <v>3.5</v>
      </c>
      <c r="L35" s="35" t="s">
        <v>150</v>
      </c>
      <c r="M35" s="47">
        <v>6</v>
      </c>
      <c r="N35" s="15" t="s">
        <v>169</v>
      </c>
    </row>
    <row r="36" spans="2:14" ht="35.1" customHeight="1" x14ac:dyDescent="0.25">
      <c r="B36" s="13">
        <v>30</v>
      </c>
      <c r="C36" s="37" t="s">
        <v>50</v>
      </c>
      <c r="D36" s="135" t="s">
        <v>91</v>
      </c>
      <c r="E36" s="135"/>
      <c r="F36" s="135"/>
      <c r="G36" s="135"/>
      <c r="H36" s="37" t="s">
        <v>163</v>
      </c>
      <c r="I36" s="37" t="s">
        <v>78</v>
      </c>
      <c r="J36" s="55">
        <f>1640-20</f>
        <v>1620</v>
      </c>
      <c r="K36" s="14">
        <v>3.5</v>
      </c>
      <c r="L36" s="35" t="s">
        <v>150</v>
      </c>
      <c r="M36" s="47">
        <v>6</v>
      </c>
      <c r="N36" s="15" t="s">
        <v>167</v>
      </c>
    </row>
    <row r="37" spans="2:14" ht="35.1" customHeight="1" x14ac:dyDescent="0.25">
      <c r="B37" s="13">
        <v>31</v>
      </c>
      <c r="C37" s="37" t="s">
        <v>51</v>
      </c>
      <c r="D37" s="135" t="s">
        <v>91</v>
      </c>
      <c r="E37" s="135"/>
      <c r="F37" s="135"/>
      <c r="G37" s="135"/>
      <c r="H37" s="37" t="s">
        <v>163</v>
      </c>
      <c r="I37" s="37" t="s">
        <v>19</v>
      </c>
      <c r="J37" s="55">
        <f>1020-20</f>
        <v>1000</v>
      </c>
      <c r="K37" s="14">
        <v>3.5</v>
      </c>
      <c r="L37" s="35" t="s">
        <v>150</v>
      </c>
      <c r="M37" s="47">
        <v>6</v>
      </c>
      <c r="N37" s="15" t="s">
        <v>171</v>
      </c>
    </row>
    <row r="38" spans="2:14" ht="35.1" customHeight="1" x14ac:dyDescent="0.25">
      <c r="B38" s="13">
        <v>32</v>
      </c>
      <c r="C38" s="37" t="s">
        <v>52</v>
      </c>
      <c r="D38" s="135" t="s">
        <v>91</v>
      </c>
      <c r="E38" s="135"/>
      <c r="F38" s="135"/>
      <c r="G38" s="135"/>
      <c r="H38" s="37" t="s">
        <v>163</v>
      </c>
      <c r="I38" s="37" t="s">
        <v>19</v>
      </c>
      <c r="J38" s="37">
        <v>1450</v>
      </c>
      <c r="K38" s="52">
        <v>6</v>
      </c>
      <c r="L38" s="15" t="s">
        <v>177</v>
      </c>
      <c r="M38" s="14">
        <v>3</v>
      </c>
      <c r="N38" s="15" t="s">
        <v>143</v>
      </c>
    </row>
    <row r="39" spans="2:14" ht="35.1" customHeight="1" x14ac:dyDescent="0.25">
      <c r="B39" s="13">
        <v>33</v>
      </c>
      <c r="C39" s="37" t="s">
        <v>53</v>
      </c>
      <c r="D39" s="135" t="s">
        <v>91</v>
      </c>
      <c r="E39" s="135"/>
      <c r="F39" s="135"/>
      <c r="G39" s="135"/>
      <c r="H39" s="37" t="s">
        <v>163</v>
      </c>
      <c r="I39" s="37" t="s">
        <v>78</v>
      </c>
      <c r="J39" s="37">
        <v>1210</v>
      </c>
      <c r="K39" s="52">
        <v>6</v>
      </c>
      <c r="L39" s="15" t="s">
        <v>178</v>
      </c>
      <c r="M39" s="14">
        <v>3</v>
      </c>
      <c r="N39" s="36" t="s">
        <v>143</v>
      </c>
    </row>
    <row r="40" spans="2:14" ht="35.1" customHeight="1" x14ac:dyDescent="0.25">
      <c r="B40" s="13">
        <v>34</v>
      </c>
      <c r="C40" s="37" t="s">
        <v>54</v>
      </c>
      <c r="D40" s="135" t="s">
        <v>91</v>
      </c>
      <c r="E40" s="135"/>
      <c r="F40" s="135"/>
      <c r="G40" s="135"/>
      <c r="H40" s="37" t="s">
        <v>163</v>
      </c>
      <c r="I40" s="37" t="s">
        <v>82</v>
      </c>
      <c r="J40" s="37">
        <v>1140</v>
      </c>
      <c r="K40" s="52">
        <v>6</v>
      </c>
      <c r="L40" s="15" t="s">
        <v>179</v>
      </c>
      <c r="M40" s="14">
        <v>3</v>
      </c>
      <c r="N40" s="15" t="s">
        <v>143</v>
      </c>
    </row>
    <row r="41" spans="2:14" ht="35.1" customHeight="1" x14ac:dyDescent="0.25">
      <c r="B41" s="13">
        <v>35</v>
      </c>
      <c r="C41" s="37" t="s">
        <v>55</v>
      </c>
      <c r="D41" s="135" t="s">
        <v>91</v>
      </c>
      <c r="E41" s="135"/>
      <c r="F41" s="135"/>
      <c r="G41" s="135"/>
      <c r="H41" s="37" t="s">
        <v>163</v>
      </c>
      <c r="I41" s="37" t="s">
        <v>80</v>
      </c>
      <c r="J41" s="37">
        <v>1000</v>
      </c>
      <c r="K41" s="14">
        <v>5</v>
      </c>
      <c r="L41" s="35" t="s">
        <v>149</v>
      </c>
      <c r="M41" s="14">
        <v>2</v>
      </c>
      <c r="N41" s="15" t="s">
        <v>145</v>
      </c>
    </row>
    <row r="42" spans="2:14" ht="35.1" customHeight="1" x14ac:dyDescent="0.25">
      <c r="B42" s="13">
        <v>36</v>
      </c>
      <c r="C42" s="37" t="s">
        <v>56</v>
      </c>
      <c r="D42" s="135" t="s">
        <v>91</v>
      </c>
      <c r="E42" s="135"/>
      <c r="F42" s="135"/>
      <c r="G42" s="135"/>
      <c r="H42" s="37" t="s">
        <v>163</v>
      </c>
      <c r="I42" s="41" t="s">
        <v>173</v>
      </c>
      <c r="J42" s="37">
        <v>1000</v>
      </c>
      <c r="K42" s="14">
        <v>2</v>
      </c>
      <c r="L42" s="35" t="s">
        <v>145</v>
      </c>
      <c r="M42" s="14">
        <v>5</v>
      </c>
      <c r="N42" s="15" t="s">
        <v>149</v>
      </c>
    </row>
    <row r="43" spans="2:14" ht="35.1" customHeight="1" x14ac:dyDescent="0.25">
      <c r="B43" s="13">
        <v>37</v>
      </c>
      <c r="C43" s="37" t="s">
        <v>57</v>
      </c>
      <c r="D43" s="135" t="s">
        <v>91</v>
      </c>
      <c r="E43" s="135"/>
      <c r="F43" s="135"/>
      <c r="G43" s="135"/>
      <c r="H43" s="37" t="s">
        <v>163</v>
      </c>
      <c r="I43" s="37" t="s">
        <v>82</v>
      </c>
      <c r="J43" s="37">
        <v>1270</v>
      </c>
      <c r="K43" s="14">
        <v>3</v>
      </c>
      <c r="L43" s="35" t="s">
        <v>143</v>
      </c>
      <c r="M43" s="14">
        <v>2</v>
      </c>
      <c r="N43" s="15" t="s">
        <v>145</v>
      </c>
    </row>
    <row r="44" spans="2:14" ht="35.1" customHeight="1" x14ac:dyDescent="0.25">
      <c r="B44" s="13">
        <v>38</v>
      </c>
      <c r="C44" s="37" t="s">
        <v>58</v>
      </c>
      <c r="D44" s="135" t="s">
        <v>91</v>
      </c>
      <c r="E44" s="135"/>
      <c r="F44" s="135"/>
      <c r="G44" s="135"/>
      <c r="H44" s="37" t="s">
        <v>163</v>
      </c>
      <c r="I44" s="37" t="s">
        <v>90</v>
      </c>
      <c r="J44" s="37">
        <v>1270</v>
      </c>
      <c r="K44" s="14">
        <v>2</v>
      </c>
      <c r="L44" s="35" t="s">
        <v>145</v>
      </c>
      <c r="M44" s="14">
        <v>3</v>
      </c>
      <c r="N44" s="15" t="s">
        <v>143</v>
      </c>
    </row>
    <row r="45" spans="2:14" ht="35.1" customHeight="1" x14ac:dyDescent="0.25">
      <c r="B45" s="13">
        <v>39</v>
      </c>
      <c r="C45" s="37" t="s">
        <v>70</v>
      </c>
      <c r="D45" s="135" t="s">
        <v>91</v>
      </c>
      <c r="E45" s="135"/>
      <c r="F45" s="135"/>
      <c r="G45" s="135"/>
      <c r="H45" s="37" t="s">
        <v>163</v>
      </c>
      <c r="I45" s="37" t="s">
        <v>81</v>
      </c>
      <c r="J45" s="37">
        <v>1400</v>
      </c>
      <c r="K45" s="14">
        <v>3</v>
      </c>
      <c r="L45" s="35" t="s">
        <v>143</v>
      </c>
      <c r="M45" s="14">
        <v>2</v>
      </c>
      <c r="N45" s="15" t="s">
        <v>145</v>
      </c>
    </row>
    <row r="46" spans="2:14" ht="35.1" customHeight="1" x14ac:dyDescent="0.25">
      <c r="B46" s="13">
        <v>40</v>
      </c>
      <c r="C46" s="37" t="s">
        <v>59</v>
      </c>
      <c r="D46" s="135" t="s">
        <v>91</v>
      </c>
      <c r="E46" s="135"/>
      <c r="F46" s="135"/>
      <c r="G46" s="135"/>
      <c r="H46" s="37" t="s">
        <v>163</v>
      </c>
      <c r="I46" s="37" t="s">
        <v>92</v>
      </c>
      <c r="J46" s="37">
        <v>820</v>
      </c>
      <c r="K46" s="14">
        <v>5</v>
      </c>
      <c r="L46" s="35" t="s">
        <v>151</v>
      </c>
      <c r="M46" s="14">
        <v>2</v>
      </c>
      <c r="N46" s="15" t="s">
        <v>145</v>
      </c>
    </row>
    <row r="47" spans="2:14" ht="35.1" customHeight="1" x14ac:dyDescent="0.25">
      <c r="B47" s="13">
        <v>41</v>
      </c>
      <c r="C47" s="37" t="s">
        <v>60</v>
      </c>
      <c r="D47" s="135" t="s">
        <v>91</v>
      </c>
      <c r="E47" s="135"/>
      <c r="F47" s="135"/>
      <c r="G47" s="135"/>
      <c r="H47" s="37" t="s">
        <v>163</v>
      </c>
      <c r="I47" s="37" t="s">
        <v>93</v>
      </c>
      <c r="J47" s="37">
        <v>820</v>
      </c>
      <c r="K47" s="14">
        <v>2</v>
      </c>
      <c r="L47" s="35" t="s">
        <v>145</v>
      </c>
      <c r="M47" s="14">
        <v>5</v>
      </c>
      <c r="N47" s="15" t="s">
        <v>149</v>
      </c>
    </row>
    <row r="48" spans="2:14" ht="35.1" customHeight="1" x14ac:dyDescent="0.25">
      <c r="B48" s="13">
        <v>42</v>
      </c>
      <c r="C48" s="37" t="s">
        <v>61</v>
      </c>
      <c r="D48" s="135" t="s">
        <v>91</v>
      </c>
      <c r="E48" s="135"/>
      <c r="F48" s="135"/>
      <c r="G48" s="135"/>
      <c r="H48" s="37" t="s">
        <v>163</v>
      </c>
      <c r="I48" s="37" t="s">
        <v>90</v>
      </c>
      <c r="J48" s="55">
        <f>1675-20</f>
        <v>1655</v>
      </c>
      <c r="K48" s="14">
        <v>4</v>
      </c>
      <c r="L48" s="35" t="s">
        <v>152</v>
      </c>
      <c r="M48" s="14">
        <v>2</v>
      </c>
      <c r="N48" s="15" t="s">
        <v>153</v>
      </c>
    </row>
    <row r="49" spans="2:15" ht="35.1" customHeight="1" x14ac:dyDescent="0.25">
      <c r="B49" s="13">
        <v>43</v>
      </c>
      <c r="C49" s="37" t="s">
        <v>62</v>
      </c>
      <c r="D49" s="135" t="s">
        <v>91</v>
      </c>
      <c r="E49" s="135"/>
      <c r="F49" s="135"/>
      <c r="G49" s="135"/>
      <c r="H49" s="37" t="s">
        <v>163</v>
      </c>
      <c r="I49" s="37" t="s">
        <v>94</v>
      </c>
      <c r="J49" s="55">
        <f>1675-20</f>
        <v>1655</v>
      </c>
      <c r="K49" s="14">
        <v>2</v>
      </c>
      <c r="L49" s="35" t="s">
        <v>153</v>
      </c>
      <c r="M49" s="14">
        <v>4</v>
      </c>
      <c r="N49" s="15" t="s">
        <v>152</v>
      </c>
    </row>
    <row r="50" spans="2:15" ht="35.1" customHeight="1" x14ac:dyDescent="0.25">
      <c r="B50" s="13">
        <v>44</v>
      </c>
      <c r="C50" s="37" t="s">
        <v>63</v>
      </c>
      <c r="D50" s="135" t="s">
        <v>91</v>
      </c>
      <c r="E50" s="135"/>
      <c r="F50" s="135"/>
      <c r="G50" s="135"/>
      <c r="H50" s="37" t="s">
        <v>163</v>
      </c>
      <c r="I50" s="37" t="s">
        <v>95</v>
      </c>
      <c r="J50" s="55">
        <f>1675-20</f>
        <v>1655</v>
      </c>
      <c r="K50" s="14">
        <v>2</v>
      </c>
      <c r="L50" s="35" t="s">
        <v>153</v>
      </c>
      <c r="M50" s="14">
        <v>4</v>
      </c>
      <c r="N50" s="15" t="s">
        <v>152</v>
      </c>
    </row>
    <row r="51" spans="2:15" ht="35.1" customHeight="1" x14ac:dyDescent="0.25">
      <c r="B51" s="13">
        <v>45</v>
      </c>
      <c r="C51" s="37" t="s">
        <v>64</v>
      </c>
      <c r="D51" s="135" t="s">
        <v>91</v>
      </c>
      <c r="E51" s="135"/>
      <c r="F51" s="135"/>
      <c r="G51" s="135"/>
      <c r="H51" s="37" t="s">
        <v>163</v>
      </c>
      <c r="I51" s="37" t="s">
        <v>83</v>
      </c>
      <c r="J51" s="55">
        <f>1675-20</f>
        <v>1655</v>
      </c>
      <c r="K51" s="14">
        <v>4</v>
      </c>
      <c r="L51" s="35" t="s">
        <v>152</v>
      </c>
      <c r="M51" s="14">
        <v>2</v>
      </c>
      <c r="N51" s="15" t="s">
        <v>153</v>
      </c>
    </row>
    <row r="52" spans="2:15" ht="35.1" customHeight="1" x14ac:dyDescent="0.25">
      <c r="B52" s="13">
        <v>46</v>
      </c>
      <c r="C52" s="37" t="s">
        <v>65</v>
      </c>
      <c r="D52" s="135" t="s">
        <v>91</v>
      </c>
      <c r="E52" s="135"/>
      <c r="F52" s="135"/>
      <c r="G52" s="135"/>
      <c r="H52" s="37" t="s">
        <v>163</v>
      </c>
      <c r="I52" s="37" t="s">
        <v>96</v>
      </c>
      <c r="J52" s="37">
        <v>385</v>
      </c>
      <c r="K52" s="52">
        <v>6</v>
      </c>
      <c r="L52" s="16" t="s">
        <v>191</v>
      </c>
      <c r="M52" s="14">
        <v>3</v>
      </c>
      <c r="N52" s="15" t="s">
        <v>154</v>
      </c>
    </row>
    <row r="53" spans="2:15" ht="35.1" customHeight="1" x14ac:dyDescent="0.25">
      <c r="B53" s="13">
        <v>47</v>
      </c>
      <c r="C53" s="37" t="s">
        <v>97</v>
      </c>
      <c r="D53" s="135" t="s">
        <v>91</v>
      </c>
      <c r="E53" s="135"/>
      <c r="F53" s="135"/>
      <c r="G53" s="135"/>
      <c r="H53" s="37" t="s">
        <v>163</v>
      </c>
      <c r="I53" s="37" t="s">
        <v>78</v>
      </c>
      <c r="J53" s="37">
        <v>920</v>
      </c>
      <c r="K53" s="14">
        <v>3</v>
      </c>
      <c r="L53" s="35" t="s">
        <v>154</v>
      </c>
      <c r="M53" s="14">
        <v>2</v>
      </c>
      <c r="N53" s="36" t="s">
        <v>145</v>
      </c>
    </row>
    <row r="54" spans="2:15" ht="35.1" customHeight="1" x14ac:dyDescent="0.25">
      <c r="B54" s="13">
        <v>48</v>
      </c>
      <c r="C54" s="37" t="s">
        <v>98</v>
      </c>
      <c r="D54" s="135" t="s">
        <v>71</v>
      </c>
      <c r="E54" s="135"/>
      <c r="F54" s="135"/>
      <c r="G54" s="135"/>
      <c r="H54" s="37" t="s">
        <v>162</v>
      </c>
      <c r="I54" s="37" t="s">
        <v>19</v>
      </c>
      <c r="J54" s="37">
        <v>280</v>
      </c>
      <c r="K54" s="14">
        <v>3</v>
      </c>
      <c r="L54" s="35" t="s">
        <v>146</v>
      </c>
      <c r="M54" s="46">
        <v>6</v>
      </c>
      <c r="N54" s="15" t="s">
        <v>180</v>
      </c>
    </row>
    <row r="55" spans="2:15" ht="35.1" customHeight="1" x14ac:dyDescent="0.25">
      <c r="B55" s="13">
        <v>49</v>
      </c>
      <c r="C55" s="37" t="s">
        <v>66</v>
      </c>
      <c r="D55" s="135" t="s">
        <v>91</v>
      </c>
      <c r="E55" s="135"/>
      <c r="F55" s="135"/>
      <c r="G55" s="135"/>
      <c r="H55" s="37" t="s">
        <v>163</v>
      </c>
      <c r="I55" s="37" t="s">
        <v>19</v>
      </c>
      <c r="J55" s="37">
        <v>820</v>
      </c>
      <c r="K55" s="52">
        <v>6</v>
      </c>
      <c r="L55" s="15" t="s">
        <v>177</v>
      </c>
      <c r="M55" s="14">
        <v>3</v>
      </c>
      <c r="N55" s="36" t="s">
        <v>143</v>
      </c>
    </row>
    <row r="56" spans="2:15" ht="35.1" customHeight="1" x14ac:dyDescent="0.25">
      <c r="B56" s="13">
        <v>50</v>
      </c>
      <c r="C56" s="37" t="s">
        <v>67</v>
      </c>
      <c r="D56" s="135" t="s">
        <v>91</v>
      </c>
      <c r="E56" s="135"/>
      <c r="F56" s="135"/>
      <c r="G56" s="135"/>
      <c r="H56" s="37" t="s">
        <v>163</v>
      </c>
      <c r="I56" s="37" t="s">
        <v>78</v>
      </c>
      <c r="J56" s="37">
        <v>205</v>
      </c>
      <c r="K56" s="52">
        <v>6</v>
      </c>
      <c r="L56" s="15" t="s">
        <v>178</v>
      </c>
      <c r="M56" s="14">
        <v>3</v>
      </c>
      <c r="N56" s="36" t="s">
        <v>143</v>
      </c>
    </row>
    <row r="57" spans="2:15" ht="35.1" customHeight="1" x14ac:dyDescent="0.25">
      <c r="B57" s="13">
        <v>51</v>
      </c>
      <c r="C57" s="37" t="s">
        <v>68</v>
      </c>
      <c r="D57" s="135" t="s">
        <v>91</v>
      </c>
      <c r="E57" s="135"/>
      <c r="F57" s="135"/>
      <c r="G57" s="135"/>
      <c r="H57" s="37" t="s">
        <v>163</v>
      </c>
      <c r="I57" s="37" t="s">
        <v>82</v>
      </c>
      <c r="J57" s="37">
        <v>260</v>
      </c>
      <c r="K57" s="14">
        <v>3</v>
      </c>
      <c r="L57" s="35" t="s">
        <v>143</v>
      </c>
      <c r="M57" s="47">
        <v>6</v>
      </c>
      <c r="N57" s="15" t="s">
        <v>179</v>
      </c>
    </row>
    <row r="58" spans="2:15" ht="35.1" customHeight="1" x14ac:dyDescent="0.25">
      <c r="B58" s="13">
        <v>52</v>
      </c>
      <c r="C58" s="37" t="s">
        <v>69</v>
      </c>
      <c r="D58" s="135" t="s">
        <v>91</v>
      </c>
      <c r="E58" s="135"/>
      <c r="F58" s="135"/>
      <c r="G58" s="135"/>
      <c r="H58" s="37" t="s">
        <v>163</v>
      </c>
      <c r="I58" s="37" t="s">
        <v>82</v>
      </c>
      <c r="J58" s="37">
        <v>1380</v>
      </c>
      <c r="K58" s="14">
        <v>3</v>
      </c>
      <c r="L58" s="35" t="s">
        <v>155</v>
      </c>
      <c r="M58" s="47">
        <v>6</v>
      </c>
      <c r="N58" s="15" t="s">
        <v>181</v>
      </c>
    </row>
    <row r="59" spans="2:15" ht="35.1" customHeight="1" x14ac:dyDescent="0.25">
      <c r="B59" s="13">
        <v>53</v>
      </c>
      <c r="C59" s="37" t="s">
        <v>99</v>
      </c>
      <c r="D59" s="135" t="s">
        <v>91</v>
      </c>
      <c r="E59" s="135"/>
      <c r="F59" s="135"/>
      <c r="G59" s="135"/>
      <c r="H59" s="37" t="s">
        <v>163</v>
      </c>
      <c r="I59" s="37" t="s">
        <v>79</v>
      </c>
      <c r="J59" s="37">
        <v>1375</v>
      </c>
      <c r="K59" s="14">
        <v>3</v>
      </c>
      <c r="L59" s="35" t="s">
        <v>155</v>
      </c>
      <c r="M59" s="47">
        <v>6</v>
      </c>
      <c r="N59" s="15" t="s">
        <v>182</v>
      </c>
      <c r="O59" s="4"/>
    </row>
    <row r="60" spans="2:15" ht="35.1" customHeight="1" x14ac:dyDescent="0.25">
      <c r="B60" s="13">
        <v>54</v>
      </c>
      <c r="C60" s="37" t="s">
        <v>20</v>
      </c>
      <c r="D60" s="135" t="s">
        <v>71</v>
      </c>
      <c r="E60" s="135"/>
      <c r="F60" s="135"/>
      <c r="G60" s="135"/>
      <c r="H60" s="37" t="s">
        <v>162</v>
      </c>
      <c r="I60" s="37" t="s">
        <v>84</v>
      </c>
      <c r="J60" s="37">
        <v>410</v>
      </c>
      <c r="K60" s="12">
        <v>5</v>
      </c>
      <c r="L60" s="35" t="s">
        <v>147</v>
      </c>
      <c r="M60" s="48">
        <v>8.5</v>
      </c>
      <c r="N60" s="15" t="s">
        <v>172</v>
      </c>
    </row>
    <row r="61" spans="2:15" ht="35.1" customHeight="1" x14ac:dyDescent="0.25">
      <c r="B61" s="13">
        <v>55</v>
      </c>
      <c r="C61" s="37" t="s">
        <v>100</v>
      </c>
      <c r="D61" s="135" t="s">
        <v>91</v>
      </c>
      <c r="E61" s="135"/>
      <c r="F61" s="135"/>
      <c r="G61" s="135"/>
      <c r="H61" s="37" t="s">
        <v>163</v>
      </c>
      <c r="I61" s="37" t="s">
        <v>96</v>
      </c>
      <c r="J61" s="55">
        <f>1675-20</f>
        <v>1655</v>
      </c>
      <c r="K61" s="14">
        <v>4</v>
      </c>
      <c r="L61" s="35" t="s">
        <v>152</v>
      </c>
      <c r="M61" s="14">
        <v>3</v>
      </c>
      <c r="N61" s="15" t="s">
        <v>153</v>
      </c>
    </row>
    <row r="62" spans="2:15" ht="35.1" customHeight="1" x14ac:dyDescent="0.25">
      <c r="B62" s="13">
        <v>56</v>
      </c>
      <c r="C62" s="37" t="s">
        <v>101</v>
      </c>
      <c r="D62" s="135" t="s">
        <v>76</v>
      </c>
      <c r="E62" s="135"/>
      <c r="F62" s="135"/>
      <c r="G62" s="135"/>
      <c r="H62" s="37" t="s">
        <v>159</v>
      </c>
      <c r="I62" s="37" t="s">
        <v>19</v>
      </c>
      <c r="J62" s="37">
        <v>1940</v>
      </c>
      <c r="K62" s="14">
        <v>3</v>
      </c>
      <c r="L62" s="35" t="s">
        <v>156</v>
      </c>
      <c r="M62" s="47">
        <v>6</v>
      </c>
      <c r="N62" s="15" t="s">
        <v>183</v>
      </c>
    </row>
    <row r="63" spans="2:15" ht="35.1" customHeight="1" x14ac:dyDescent="0.25">
      <c r="B63" s="13">
        <v>57</v>
      </c>
      <c r="C63" s="37" t="s">
        <v>102</v>
      </c>
      <c r="D63" s="135" t="s">
        <v>76</v>
      </c>
      <c r="E63" s="135"/>
      <c r="F63" s="135"/>
      <c r="G63" s="135"/>
      <c r="H63" s="37" t="s">
        <v>159</v>
      </c>
      <c r="I63" s="37" t="s">
        <v>19</v>
      </c>
      <c r="J63" s="37">
        <v>2465</v>
      </c>
      <c r="K63" s="14">
        <v>3</v>
      </c>
      <c r="L63" s="35">
        <v>39000040</v>
      </c>
      <c r="M63" s="47">
        <v>6</v>
      </c>
      <c r="N63" s="15" t="s">
        <v>183</v>
      </c>
    </row>
    <row r="64" spans="2:15" ht="35.1" customHeight="1" x14ac:dyDescent="0.25">
      <c r="B64" s="13">
        <v>58</v>
      </c>
      <c r="C64" s="37" t="s">
        <v>103</v>
      </c>
      <c r="D64" s="135" t="s">
        <v>76</v>
      </c>
      <c r="E64" s="135"/>
      <c r="F64" s="135"/>
      <c r="G64" s="135"/>
      <c r="H64" s="37" t="s">
        <v>159</v>
      </c>
      <c r="I64" s="37" t="s">
        <v>88</v>
      </c>
      <c r="J64" s="37">
        <v>1945</v>
      </c>
      <c r="K64" s="14">
        <v>3</v>
      </c>
      <c r="L64" s="35" t="s">
        <v>156</v>
      </c>
      <c r="M64" s="47">
        <v>6</v>
      </c>
      <c r="N64" s="15" t="s">
        <v>184</v>
      </c>
    </row>
    <row r="65" spans="2:14" ht="35.1" customHeight="1" x14ac:dyDescent="0.25">
      <c r="B65" s="13">
        <v>59</v>
      </c>
      <c r="C65" s="37" t="s">
        <v>104</v>
      </c>
      <c r="D65" s="135" t="s">
        <v>76</v>
      </c>
      <c r="E65" s="135"/>
      <c r="F65" s="135"/>
      <c r="G65" s="135"/>
      <c r="H65" s="37" t="s">
        <v>159</v>
      </c>
      <c r="I65" s="37" t="s">
        <v>88</v>
      </c>
      <c r="J65" s="37">
        <v>2480</v>
      </c>
      <c r="K65" s="52">
        <v>6</v>
      </c>
      <c r="L65" s="15" t="s">
        <v>184</v>
      </c>
      <c r="M65" s="14">
        <v>3</v>
      </c>
      <c r="N65" s="15">
        <v>39000040</v>
      </c>
    </row>
    <row r="66" spans="2:14" ht="35.1" customHeight="1" x14ac:dyDescent="0.25">
      <c r="B66" s="13">
        <v>60</v>
      </c>
      <c r="C66" s="37" t="s">
        <v>105</v>
      </c>
      <c r="D66" s="135" t="s">
        <v>91</v>
      </c>
      <c r="E66" s="135"/>
      <c r="F66" s="135"/>
      <c r="G66" s="135"/>
      <c r="H66" s="37" t="s">
        <v>163</v>
      </c>
      <c r="I66" s="37" t="s">
        <v>19</v>
      </c>
      <c r="J66" s="55">
        <f>1675-20</f>
        <v>1655</v>
      </c>
      <c r="K66" s="14">
        <v>4</v>
      </c>
      <c r="L66" s="35" t="s">
        <v>152</v>
      </c>
      <c r="M66" s="14">
        <v>2</v>
      </c>
      <c r="N66" s="15" t="s">
        <v>153</v>
      </c>
    </row>
    <row r="67" spans="2:14" ht="35.1" customHeight="1" x14ac:dyDescent="0.25">
      <c r="B67" s="13">
        <v>61</v>
      </c>
      <c r="C67" s="35" t="s">
        <v>106</v>
      </c>
      <c r="D67" s="141" t="s">
        <v>91</v>
      </c>
      <c r="E67" s="141"/>
      <c r="F67" s="141"/>
      <c r="G67" s="141"/>
      <c r="H67" s="35" t="s">
        <v>163</v>
      </c>
      <c r="I67" s="35" t="s">
        <v>96</v>
      </c>
      <c r="J67" s="35">
        <v>1825</v>
      </c>
      <c r="K67" s="14">
        <v>2</v>
      </c>
      <c r="L67" s="35" t="s">
        <v>145</v>
      </c>
      <c r="M67" s="47">
        <v>6</v>
      </c>
      <c r="N67" s="15" t="s">
        <v>201</v>
      </c>
    </row>
    <row r="68" spans="2:14" ht="35.1" customHeight="1" x14ac:dyDescent="0.25">
      <c r="B68" s="13">
        <v>62</v>
      </c>
      <c r="C68" s="35" t="s">
        <v>107</v>
      </c>
      <c r="D68" s="141" t="s">
        <v>91</v>
      </c>
      <c r="E68" s="141"/>
      <c r="F68" s="141"/>
      <c r="G68" s="141"/>
      <c r="H68" s="35" t="s">
        <v>163</v>
      </c>
      <c r="I68" s="35" t="s">
        <v>88</v>
      </c>
      <c r="J68" s="35">
        <v>1345</v>
      </c>
      <c r="K68" s="14">
        <v>3</v>
      </c>
      <c r="L68" s="35" t="s">
        <v>143</v>
      </c>
      <c r="M68" s="14">
        <v>3</v>
      </c>
      <c r="N68" s="36" t="s">
        <v>143</v>
      </c>
    </row>
    <row r="69" spans="2:14" ht="35.1" customHeight="1" x14ac:dyDescent="0.25">
      <c r="B69" s="13">
        <v>63</v>
      </c>
      <c r="C69" s="35" t="s">
        <v>108</v>
      </c>
      <c r="D69" s="141" t="s">
        <v>91</v>
      </c>
      <c r="E69" s="141"/>
      <c r="F69" s="141"/>
      <c r="G69" s="141"/>
      <c r="H69" s="35" t="s">
        <v>163</v>
      </c>
      <c r="I69" s="35" t="s">
        <v>96</v>
      </c>
      <c r="J69" s="55">
        <f>3010-25</f>
        <v>2985</v>
      </c>
      <c r="K69" s="14">
        <v>3</v>
      </c>
      <c r="L69" s="35" t="s">
        <v>143</v>
      </c>
      <c r="M69" s="14">
        <v>3</v>
      </c>
      <c r="N69" s="36" t="s">
        <v>154</v>
      </c>
    </row>
    <row r="70" spans="2:14" ht="35.1" customHeight="1" x14ac:dyDescent="0.25">
      <c r="B70" s="13">
        <v>64</v>
      </c>
      <c r="C70" s="35" t="s">
        <v>109</v>
      </c>
      <c r="D70" s="141" t="s">
        <v>91</v>
      </c>
      <c r="E70" s="141"/>
      <c r="F70" s="141"/>
      <c r="G70" s="141"/>
      <c r="H70" s="35" t="s">
        <v>163</v>
      </c>
      <c r="I70" s="35" t="s">
        <v>81</v>
      </c>
      <c r="J70" s="55">
        <f>1865-25</f>
        <v>1840</v>
      </c>
      <c r="K70" s="14">
        <v>3.5</v>
      </c>
      <c r="L70" s="35" t="s">
        <v>154</v>
      </c>
      <c r="M70" s="14">
        <v>2</v>
      </c>
      <c r="N70" s="36" t="s">
        <v>145</v>
      </c>
    </row>
    <row r="71" spans="2:14" ht="35.1" customHeight="1" x14ac:dyDescent="0.25">
      <c r="B71" s="13">
        <v>65</v>
      </c>
      <c r="C71" s="35" t="s">
        <v>110</v>
      </c>
      <c r="D71" s="135" t="s">
        <v>207</v>
      </c>
      <c r="E71" s="135"/>
      <c r="F71" s="135"/>
      <c r="G71" s="135"/>
      <c r="H71" s="37" t="s">
        <v>208</v>
      </c>
      <c r="I71" s="37" t="s">
        <v>192</v>
      </c>
      <c r="J71" s="45">
        <v>2550</v>
      </c>
      <c r="K71" s="42">
        <v>3.8</v>
      </c>
      <c r="L71" s="37" t="s">
        <v>209</v>
      </c>
      <c r="M71" s="14">
        <v>2</v>
      </c>
      <c r="N71" s="15" t="s">
        <v>145</v>
      </c>
    </row>
    <row r="72" spans="2:14" ht="35.1" customHeight="1" x14ac:dyDescent="0.25">
      <c r="B72" s="13">
        <v>66</v>
      </c>
      <c r="C72" s="35" t="s">
        <v>111</v>
      </c>
      <c r="D72" s="135" t="s">
        <v>91</v>
      </c>
      <c r="E72" s="135"/>
      <c r="F72" s="135"/>
      <c r="G72" s="135"/>
      <c r="H72" s="37" t="s">
        <v>163</v>
      </c>
      <c r="I72" s="35" t="s">
        <v>113</v>
      </c>
      <c r="J72" s="35">
        <v>455</v>
      </c>
      <c r="K72" s="14">
        <v>3</v>
      </c>
      <c r="L72" s="35" t="s">
        <v>143</v>
      </c>
      <c r="M72" s="47">
        <v>6</v>
      </c>
      <c r="N72" s="15" t="s">
        <v>202</v>
      </c>
    </row>
    <row r="73" spans="2:14" ht="35.1" customHeight="1" x14ac:dyDescent="0.25">
      <c r="B73" s="13">
        <v>67</v>
      </c>
      <c r="C73" s="35" t="s">
        <v>112</v>
      </c>
      <c r="D73" s="135" t="s">
        <v>207</v>
      </c>
      <c r="E73" s="135"/>
      <c r="F73" s="135"/>
      <c r="G73" s="135"/>
      <c r="H73" s="37" t="s">
        <v>208</v>
      </c>
      <c r="I73" s="35" t="s">
        <v>96</v>
      </c>
      <c r="J73" s="11">
        <v>3890</v>
      </c>
      <c r="K73" s="52">
        <v>6</v>
      </c>
      <c r="L73" s="15" t="s">
        <v>201</v>
      </c>
      <c r="M73" s="42">
        <v>3.8</v>
      </c>
      <c r="N73" s="44" t="s">
        <v>209</v>
      </c>
    </row>
    <row r="74" spans="2:14" ht="35.1" customHeight="1" x14ac:dyDescent="0.25">
      <c r="B74" s="13">
        <v>68</v>
      </c>
      <c r="C74" s="35" t="s">
        <v>114</v>
      </c>
      <c r="D74" s="141" t="s">
        <v>91</v>
      </c>
      <c r="E74" s="141"/>
      <c r="F74" s="141"/>
      <c r="G74" s="141"/>
      <c r="H74" s="35" t="s">
        <v>163</v>
      </c>
      <c r="I74" s="35" t="s">
        <v>115</v>
      </c>
      <c r="J74" s="35">
        <v>770</v>
      </c>
      <c r="K74" s="14">
        <v>3</v>
      </c>
      <c r="L74" s="35" t="s">
        <v>143</v>
      </c>
      <c r="M74" s="14">
        <v>2</v>
      </c>
      <c r="N74" s="15" t="s">
        <v>145</v>
      </c>
    </row>
    <row r="75" spans="2:14" ht="35.1" customHeight="1" x14ac:dyDescent="0.25">
      <c r="B75" s="13">
        <v>69</v>
      </c>
      <c r="C75" s="35" t="s">
        <v>116</v>
      </c>
      <c r="D75" s="141" t="s">
        <v>91</v>
      </c>
      <c r="E75" s="141"/>
      <c r="F75" s="141"/>
      <c r="G75" s="141"/>
      <c r="H75" s="35" t="s">
        <v>163</v>
      </c>
      <c r="I75" s="35" t="s">
        <v>85</v>
      </c>
      <c r="J75" s="35">
        <v>770</v>
      </c>
      <c r="K75" s="14">
        <v>2</v>
      </c>
      <c r="L75" s="35" t="s">
        <v>145</v>
      </c>
      <c r="M75" s="14">
        <v>3</v>
      </c>
      <c r="N75" s="15" t="s">
        <v>143</v>
      </c>
    </row>
    <row r="76" spans="2:14" ht="35.1" customHeight="1" x14ac:dyDescent="0.25">
      <c r="B76" s="13">
        <v>70</v>
      </c>
      <c r="C76" s="35" t="s">
        <v>117</v>
      </c>
      <c r="D76" s="141" t="s">
        <v>91</v>
      </c>
      <c r="E76" s="141"/>
      <c r="F76" s="141"/>
      <c r="G76" s="141"/>
      <c r="H76" s="35" t="s">
        <v>163</v>
      </c>
      <c r="I76" s="35" t="s">
        <v>122</v>
      </c>
      <c r="J76" s="35">
        <v>1535</v>
      </c>
      <c r="K76" s="14">
        <v>3</v>
      </c>
      <c r="L76" s="35" t="s">
        <v>143</v>
      </c>
      <c r="M76" s="14">
        <v>2</v>
      </c>
      <c r="N76" s="15" t="s">
        <v>145</v>
      </c>
    </row>
    <row r="77" spans="2:14" ht="35.1" customHeight="1" x14ac:dyDescent="0.25">
      <c r="B77" s="13">
        <v>71</v>
      </c>
      <c r="C77" s="35" t="s">
        <v>118</v>
      </c>
      <c r="D77" s="141" t="s">
        <v>91</v>
      </c>
      <c r="E77" s="141"/>
      <c r="F77" s="141"/>
      <c r="G77" s="141"/>
      <c r="H77" s="35" t="s">
        <v>163</v>
      </c>
      <c r="I77" s="35" t="s">
        <v>75</v>
      </c>
      <c r="J77" s="35">
        <v>1535</v>
      </c>
      <c r="K77" s="14">
        <v>2</v>
      </c>
      <c r="L77" s="35" t="s">
        <v>145</v>
      </c>
      <c r="M77" s="14">
        <v>3</v>
      </c>
      <c r="N77" s="15" t="s">
        <v>143</v>
      </c>
    </row>
    <row r="78" spans="2:14" ht="35.1" customHeight="1" x14ac:dyDescent="0.25">
      <c r="B78" s="13">
        <v>72</v>
      </c>
      <c r="C78" s="35" t="s">
        <v>119</v>
      </c>
      <c r="D78" s="141" t="s">
        <v>91</v>
      </c>
      <c r="E78" s="141"/>
      <c r="F78" s="141"/>
      <c r="G78" s="141"/>
      <c r="H78" s="35" t="s">
        <v>163</v>
      </c>
      <c r="I78" s="35" t="s">
        <v>88</v>
      </c>
      <c r="J78" s="55">
        <f>1855-20</f>
        <v>1835</v>
      </c>
      <c r="K78" s="14">
        <v>3</v>
      </c>
      <c r="L78" s="35" t="s">
        <v>143</v>
      </c>
      <c r="M78" s="14">
        <v>2</v>
      </c>
      <c r="N78" s="15" t="s">
        <v>145</v>
      </c>
    </row>
    <row r="79" spans="2:14" ht="35.1" customHeight="1" x14ac:dyDescent="0.25">
      <c r="B79" s="13">
        <v>73</v>
      </c>
      <c r="C79" s="35" t="s">
        <v>120</v>
      </c>
      <c r="D79" s="141" t="s">
        <v>91</v>
      </c>
      <c r="E79" s="141"/>
      <c r="F79" s="141"/>
      <c r="G79" s="141"/>
      <c r="H79" s="35" t="s">
        <v>163</v>
      </c>
      <c r="I79" s="35" t="s">
        <v>96</v>
      </c>
      <c r="J79" s="55">
        <f>1855-20</f>
        <v>1835</v>
      </c>
      <c r="K79" s="14">
        <v>2</v>
      </c>
      <c r="L79" s="35" t="s">
        <v>145</v>
      </c>
      <c r="M79" s="14">
        <v>3</v>
      </c>
      <c r="N79" s="15" t="s">
        <v>143</v>
      </c>
    </row>
    <row r="80" spans="2:14" ht="35.1" customHeight="1" x14ac:dyDescent="0.25">
      <c r="B80" s="13">
        <v>74</v>
      </c>
      <c r="C80" s="35" t="s">
        <v>121</v>
      </c>
      <c r="D80" s="141" t="s">
        <v>91</v>
      </c>
      <c r="E80" s="141"/>
      <c r="F80" s="141"/>
      <c r="G80" s="141"/>
      <c r="H80" s="35" t="s">
        <v>163</v>
      </c>
      <c r="I80" s="35" t="s">
        <v>78</v>
      </c>
      <c r="J80" s="35">
        <v>1175</v>
      </c>
      <c r="K80" s="14">
        <v>2</v>
      </c>
      <c r="L80" s="16" t="s">
        <v>145</v>
      </c>
      <c r="M80" s="14">
        <v>3</v>
      </c>
      <c r="N80" s="15" t="s">
        <v>143</v>
      </c>
    </row>
    <row r="81" spans="1:15" ht="35.1" customHeight="1" x14ac:dyDescent="0.25">
      <c r="B81" s="13">
        <v>75</v>
      </c>
      <c r="C81" s="35" t="s">
        <v>123</v>
      </c>
      <c r="D81" s="141" t="s">
        <v>91</v>
      </c>
      <c r="E81" s="141"/>
      <c r="F81" s="141"/>
      <c r="G81" s="141"/>
      <c r="H81" s="35" t="s">
        <v>163</v>
      </c>
      <c r="I81" s="16" t="s">
        <v>173</v>
      </c>
      <c r="J81" s="35">
        <v>125</v>
      </c>
      <c r="K81" s="52">
        <v>6</v>
      </c>
      <c r="L81" s="16" t="s">
        <v>186</v>
      </c>
      <c r="M81" s="14">
        <v>3</v>
      </c>
      <c r="N81" s="15" t="s">
        <v>143</v>
      </c>
    </row>
    <row r="82" spans="1:15" ht="35.1" customHeight="1" x14ac:dyDescent="0.25">
      <c r="B82" s="13">
        <v>76</v>
      </c>
      <c r="C82" s="35" t="s">
        <v>124</v>
      </c>
      <c r="D82" s="141" t="s">
        <v>91</v>
      </c>
      <c r="E82" s="141"/>
      <c r="F82" s="141"/>
      <c r="G82" s="141"/>
      <c r="H82" s="35" t="s">
        <v>163</v>
      </c>
      <c r="I82" s="16" t="s">
        <v>173</v>
      </c>
      <c r="J82" s="55">
        <f>1090-30</f>
        <v>1060</v>
      </c>
      <c r="K82" s="14">
        <v>2</v>
      </c>
      <c r="L82" s="16" t="s">
        <v>145</v>
      </c>
      <c r="M82" s="47">
        <v>6</v>
      </c>
      <c r="N82" s="15" t="s">
        <v>185</v>
      </c>
    </row>
    <row r="83" spans="1:15" ht="35.1" customHeight="1" x14ac:dyDescent="0.25">
      <c r="B83" s="13">
        <v>77</v>
      </c>
      <c r="C83" s="35" t="s">
        <v>125</v>
      </c>
      <c r="D83" s="141" t="s">
        <v>91</v>
      </c>
      <c r="E83" s="141"/>
      <c r="F83" s="141"/>
      <c r="G83" s="141"/>
      <c r="H83" s="35" t="s">
        <v>163</v>
      </c>
      <c r="I83" s="35" t="s">
        <v>81</v>
      </c>
      <c r="J83" s="35">
        <v>1175</v>
      </c>
      <c r="K83" s="14">
        <v>2</v>
      </c>
      <c r="L83" s="16" t="s">
        <v>145</v>
      </c>
      <c r="M83" s="14">
        <v>3.5</v>
      </c>
      <c r="N83" s="15" t="s">
        <v>143</v>
      </c>
    </row>
    <row r="84" spans="1:15" ht="35.1" customHeight="1" x14ac:dyDescent="0.25">
      <c r="A84" s="54"/>
      <c r="B84" s="40">
        <v>78</v>
      </c>
      <c r="C84" s="37" t="s">
        <v>126</v>
      </c>
      <c r="D84" s="135" t="s">
        <v>91</v>
      </c>
      <c r="E84" s="135"/>
      <c r="F84" s="135"/>
      <c r="G84" s="135"/>
      <c r="H84" s="37" t="s">
        <v>163</v>
      </c>
      <c r="I84" s="37" t="s">
        <v>90</v>
      </c>
      <c r="J84" s="37">
        <f>1030-10</f>
        <v>1020</v>
      </c>
      <c r="K84" s="14">
        <v>4</v>
      </c>
      <c r="L84" s="16" t="s">
        <v>152</v>
      </c>
      <c r="M84" s="14">
        <v>2</v>
      </c>
      <c r="N84" s="15" t="s">
        <v>145</v>
      </c>
    </row>
    <row r="85" spans="1:15" ht="35.1" customHeight="1" x14ac:dyDescent="0.25">
      <c r="A85" s="54"/>
      <c r="B85" s="40">
        <v>79</v>
      </c>
      <c r="C85" s="37" t="s">
        <v>127</v>
      </c>
      <c r="D85" s="135" t="s">
        <v>91</v>
      </c>
      <c r="E85" s="135"/>
      <c r="F85" s="135"/>
      <c r="G85" s="135"/>
      <c r="H85" s="37" t="s">
        <v>163</v>
      </c>
      <c r="I85" s="37" t="s">
        <v>83</v>
      </c>
      <c r="J85" s="37">
        <f>1020-10</f>
        <v>1010</v>
      </c>
      <c r="K85" s="14">
        <v>4</v>
      </c>
      <c r="L85" s="35" t="s">
        <v>152</v>
      </c>
      <c r="M85" s="14">
        <v>2</v>
      </c>
      <c r="N85" s="15" t="s">
        <v>145</v>
      </c>
    </row>
    <row r="86" spans="1:15" ht="35.1" customHeight="1" x14ac:dyDescent="0.25">
      <c r="A86" s="54"/>
      <c r="B86" s="40">
        <v>80</v>
      </c>
      <c r="C86" s="37" t="s">
        <v>128</v>
      </c>
      <c r="D86" s="135" t="s">
        <v>91</v>
      </c>
      <c r="E86" s="135"/>
      <c r="F86" s="135"/>
      <c r="G86" s="135"/>
      <c r="H86" s="37" t="s">
        <v>163</v>
      </c>
      <c r="I86" s="37" t="s">
        <v>94</v>
      </c>
      <c r="J86" s="37">
        <f>1030-10</f>
        <v>1020</v>
      </c>
      <c r="K86" s="14">
        <v>2</v>
      </c>
      <c r="L86" s="16" t="s">
        <v>145</v>
      </c>
      <c r="M86" s="14">
        <v>4</v>
      </c>
      <c r="N86" s="15" t="s">
        <v>152</v>
      </c>
    </row>
    <row r="87" spans="1:15" ht="35.1" customHeight="1" x14ac:dyDescent="0.25">
      <c r="A87" s="54"/>
      <c r="B87" s="40">
        <v>81</v>
      </c>
      <c r="C87" s="37" t="s">
        <v>129</v>
      </c>
      <c r="D87" s="135" t="s">
        <v>91</v>
      </c>
      <c r="E87" s="135"/>
      <c r="F87" s="135"/>
      <c r="G87" s="135"/>
      <c r="H87" s="37" t="s">
        <v>163</v>
      </c>
      <c r="I87" s="37" t="s">
        <v>95</v>
      </c>
      <c r="J87" s="37">
        <f>1030-10</f>
        <v>1020</v>
      </c>
      <c r="K87" s="14">
        <v>4</v>
      </c>
      <c r="L87" s="16" t="s">
        <v>152</v>
      </c>
      <c r="M87" s="14">
        <v>2</v>
      </c>
      <c r="N87" s="15" t="s">
        <v>145</v>
      </c>
    </row>
    <row r="88" spans="1:15" ht="35.1" customHeight="1" x14ac:dyDescent="0.25">
      <c r="A88" s="54"/>
      <c r="B88" s="40">
        <v>82</v>
      </c>
      <c r="C88" s="37" t="s">
        <v>130</v>
      </c>
      <c r="D88" s="135" t="s">
        <v>91</v>
      </c>
      <c r="E88" s="135"/>
      <c r="F88" s="135"/>
      <c r="G88" s="135"/>
      <c r="H88" s="37" t="s">
        <v>163</v>
      </c>
      <c r="I88" s="37" t="s">
        <v>96</v>
      </c>
      <c r="J88" s="37">
        <v>550</v>
      </c>
      <c r="K88" s="14">
        <v>2.5</v>
      </c>
      <c r="L88" s="35" t="s">
        <v>145</v>
      </c>
      <c r="M88" s="47">
        <v>6</v>
      </c>
      <c r="N88" s="15" t="s">
        <v>187</v>
      </c>
    </row>
    <row r="89" spans="1:15" ht="35.1" customHeight="1" x14ac:dyDescent="0.25">
      <c r="A89" s="54"/>
      <c r="B89" s="40">
        <v>83</v>
      </c>
      <c r="C89" s="37" t="s">
        <v>21</v>
      </c>
      <c r="D89" s="135" t="s">
        <v>91</v>
      </c>
      <c r="E89" s="135"/>
      <c r="F89" s="135"/>
      <c r="G89" s="135"/>
      <c r="H89" s="37" t="s">
        <v>163</v>
      </c>
      <c r="I89" s="37" t="s">
        <v>19</v>
      </c>
      <c r="J89" s="37">
        <f>1000-10</f>
        <v>990</v>
      </c>
      <c r="K89" s="14">
        <v>4</v>
      </c>
      <c r="L89" s="35" t="s">
        <v>152</v>
      </c>
      <c r="M89" s="14">
        <v>2</v>
      </c>
      <c r="N89" s="15" t="s">
        <v>145</v>
      </c>
    </row>
    <row r="90" spans="1:15" ht="35.1" customHeight="1" x14ac:dyDescent="0.25">
      <c r="A90" s="54"/>
      <c r="B90" s="40">
        <v>84</v>
      </c>
      <c r="C90" s="37" t="s">
        <v>22</v>
      </c>
      <c r="D90" s="135" t="s">
        <v>91</v>
      </c>
      <c r="E90" s="135"/>
      <c r="F90" s="135"/>
      <c r="G90" s="135"/>
      <c r="H90" s="37" t="s">
        <v>163</v>
      </c>
      <c r="I90" s="37" t="s">
        <v>96</v>
      </c>
      <c r="J90" s="37">
        <f>450-10</f>
        <v>440</v>
      </c>
      <c r="K90" s="14">
        <v>4</v>
      </c>
      <c r="L90" s="16" t="s">
        <v>152</v>
      </c>
      <c r="M90" s="47">
        <v>6</v>
      </c>
      <c r="N90" s="15" t="s">
        <v>188</v>
      </c>
    </row>
    <row r="91" spans="1:15" ht="35.1" customHeight="1" x14ac:dyDescent="0.25">
      <c r="B91" s="13">
        <v>85</v>
      </c>
      <c r="C91" s="35" t="s">
        <v>23</v>
      </c>
      <c r="D91" s="141" t="s">
        <v>91</v>
      </c>
      <c r="E91" s="141"/>
      <c r="F91" s="141"/>
      <c r="G91" s="141"/>
      <c r="H91" s="35" t="s">
        <v>163</v>
      </c>
      <c r="I91" s="35" t="s">
        <v>80</v>
      </c>
      <c r="J91" s="35">
        <v>1345</v>
      </c>
      <c r="K91" s="14">
        <v>3</v>
      </c>
      <c r="L91" s="16" t="s">
        <v>143</v>
      </c>
      <c r="M91" s="14">
        <v>3</v>
      </c>
      <c r="N91" s="15" t="s">
        <v>143</v>
      </c>
    </row>
    <row r="92" spans="1:15" ht="35.1" customHeight="1" x14ac:dyDescent="0.25">
      <c r="B92" s="13">
        <v>86</v>
      </c>
      <c r="C92" s="35" t="s">
        <v>24</v>
      </c>
      <c r="D92" s="141" t="s">
        <v>91</v>
      </c>
      <c r="E92" s="141"/>
      <c r="F92" s="141"/>
      <c r="G92" s="141"/>
      <c r="H92" s="35" t="s">
        <v>163</v>
      </c>
      <c r="I92" s="35" t="s">
        <v>95</v>
      </c>
      <c r="J92" s="35">
        <v>1345</v>
      </c>
      <c r="K92" s="14">
        <v>3</v>
      </c>
      <c r="L92" s="35" t="s">
        <v>143</v>
      </c>
      <c r="M92" s="14">
        <v>3</v>
      </c>
      <c r="N92" s="36" t="s">
        <v>143</v>
      </c>
    </row>
    <row r="93" spans="1:15" ht="35.1" customHeight="1" x14ac:dyDescent="0.25">
      <c r="B93" s="13">
        <v>87</v>
      </c>
      <c r="C93" s="35" t="s">
        <v>131</v>
      </c>
      <c r="D93" s="141" t="s">
        <v>91</v>
      </c>
      <c r="E93" s="141"/>
      <c r="F93" s="141"/>
      <c r="G93" s="141"/>
      <c r="H93" s="35" t="s">
        <v>163</v>
      </c>
      <c r="I93" s="35" t="s">
        <v>82</v>
      </c>
      <c r="J93" s="35">
        <v>1345</v>
      </c>
      <c r="K93" s="14">
        <v>3</v>
      </c>
      <c r="L93" s="35" t="s">
        <v>143</v>
      </c>
      <c r="M93" s="14">
        <v>3</v>
      </c>
      <c r="N93" s="15" t="s">
        <v>143</v>
      </c>
    </row>
    <row r="94" spans="1:15" ht="35.1" customHeight="1" x14ac:dyDescent="0.25">
      <c r="B94" s="40">
        <v>88</v>
      </c>
      <c r="C94" s="37" t="s">
        <v>132</v>
      </c>
      <c r="D94" s="135" t="s">
        <v>91</v>
      </c>
      <c r="E94" s="135"/>
      <c r="F94" s="135"/>
      <c r="G94" s="135"/>
      <c r="H94" s="37" t="s">
        <v>163</v>
      </c>
      <c r="I94" s="37" t="s">
        <v>73</v>
      </c>
      <c r="J94" s="37">
        <v>1645</v>
      </c>
      <c r="K94" s="42">
        <v>3</v>
      </c>
      <c r="L94" s="35" t="s">
        <v>148</v>
      </c>
      <c r="M94" s="14">
        <v>3</v>
      </c>
      <c r="N94" s="15" t="s">
        <v>148</v>
      </c>
      <c r="O94" s="4"/>
    </row>
    <row r="95" spans="1:15" ht="35.1" customHeight="1" x14ac:dyDescent="0.25">
      <c r="A95" s="4"/>
      <c r="B95" s="40">
        <v>89</v>
      </c>
      <c r="C95" s="37" t="s">
        <v>133</v>
      </c>
      <c r="D95" s="135" t="s">
        <v>91</v>
      </c>
      <c r="E95" s="135"/>
      <c r="F95" s="135"/>
      <c r="G95" s="135"/>
      <c r="H95" s="37" t="s">
        <v>163</v>
      </c>
      <c r="I95" s="37" t="s">
        <v>193</v>
      </c>
      <c r="J95" s="37">
        <f>2055+50</f>
        <v>2105</v>
      </c>
      <c r="K95" s="42">
        <v>3</v>
      </c>
      <c r="L95" s="35" t="s">
        <v>148</v>
      </c>
      <c r="M95" s="14">
        <v>3</v>
      </c>
      <c r="N95" s="15" t="s">
        <v>148</v>
      </c>
      <c r="O95" s="4"/>
    </row>
    <row r="96" spans="1:15" ht="35.1" customHeight="1" x14ac:dyDescent="0.25">
      <c r="B96" s="40">
        <v>90</v>
      </c>
      <c r="C96" s="37" t="s">
        <v>134</v>
      </c>
      <c r="D96" s="135" t="s">
        <v>91</v>
      </c>
      <c r="E96" s="135"/>
      <c r="F96" s="135"/>
      <c r="G96" s="135"/>
      <c r="H96" s="37" t="s">
        <v>163</v>
      </c>
      <c r="I96" s="37" t="s">
        <v>82</v>
      </c>
      <c r="J96" s="55">
        <f>2200-20</f>
        <v>2180</v>
      </c>
      <c r="K96" s="52">
        <v>6</v>
      </c>
      <c r="L96" s="15" t="s">
        <v>181</v>
      </c>
      <c r="M96" s="14">
        <v>3</v>
      </c>
      <c r="N96" s="15" t="s">
        <v>143</v>
      </c>
    </row>
    <row r="97" spans="1:15" ht="35.1" customHeight="1" x14ac:dyDescent="0.25">
      <c r="B97" s="40">
        <v>91</v>
      </c>
      <c r="C97" s="37" t="s">
        <v>135</v>
      </c>
      <c r="D97" s="135" t="s">
        <v>91</v>
      </c>
      <c r="E97" s="135"/>
      <c r="F97" s="135"/>
      <c r="G97" s="135"/>
      <c r="H97" s="37" t="s">
        <v>163</v>
      </c>
      <c r="I97" s="37" t="s">
        <v>79</v>
      </c>
      <c r="J97" s="55">
        <f>2150-20</f>
        <v>2130</v>
      </c>
      <c r="K97" s="52">
        <v>6</v>
      </c>
      <c r="L97" s="15" t="s">
        <v>168</v>
      </c>
      <c r="M97" s="14">
        <v>3</v>
      </c>
      <c r="N97" s="36" t="s">
        <v>143</v>
      </c>
    </row>
    <row r="98" spans="1:15" ht="35.1" customHeight="1" x14ac:dyDescent="0.25">
      <c r="B98" s="40">
        <v>92</v>
      </c>
      <c r="C98" s="37" t="s">
        <v>136</v>
      </c>
      <c r="D98" s="135" t="s">
        <v>71</v>
      </c>
      <c r="E98" s="135"/>
      <c r="F98" s="135"/>
      <c r="G98" s="135"/>
      <c r="H98" s="37" t="s">
        <v>162</v>
      </c>
      <c r="I98" s="37" t="s">
        <v>84</v>
      </c>
      <c r="J98" s="37">
        <v>1725</v>
      </c>
      <c r="K98" s="48">
        <v>8.5</v>
      </c>
      <c r="L98" s="16" t="s">
        <v>190</v>
      </c>
      <c r="M98" s="14">
        <v>4</v>
      </c>
      <c r="N98" s="15" t="s">
        <v>158</v>
      </c>
    </row>
    <row r="99" spans="1:15" ht="35.1" customHeight="1" x14ac:dyDescent="0.25">
      <c r="B99" s="40">
        <v>93</v>
      </c>
      <c r="C99" s="37" t="s">
        <v>137</v>
      </c>
      <c r="D99" s="135" t="s">
        <v>91</v>
      </c>
      <c r="E99" s="135"/>
      <c r="F99" s="135"/>
      <c r="G99" s="135"/>
      <c r="H99" s="37" t="s">
        <v>163</v>
      </c>
      <c r="I99" s="37" t="s">
        <v>73</v>
      </c>
      <c r="J99" s="37">
        <f>895-170</f>
        <v>725</v>
      </c>
      <c r="K99" s="42">
        <v>3</v>
      </c>
      <c r="L99" s="35" t="s">
        <v>148</v>
      </c>
      <c r="M99" s="14">
        <v>3</v>
      </c>
      <c r="N99" s="15" t="s">
        <v>148</v>
      </c>
      <c r="O99" s="4"/>
    </row>
    <row r="100" spans="1:15" ht="35.1" customHeight="1" x14ac:dyDescent="0.25">
      <c r="B100" s="40">
        <v>94</v>
      </c>
      <c r="C100" s="37" t="s">
        <v>138</v>
      </c>
      <c r="D100" s="135" t="s">
        <v>91</v>
      </c>
      <c r="E100" s="135"/>
      <c r="F100" s="135"/>
      <c r="G100" s="135"/>
      <c r="H100" s="37" t="s">
        <v>163</v>
      </c>
      <c r="I100" s="37" t="s">
        <v>192</v>
      </c>
      <c r="J100" s="55">
        <f>4210-30</f>
        <v>4180</v>
      </c>
      <c r="K100" s="42">
        <v>3</v>
      </c>
      <c r="L100" s="35" t="s">
        <v>148</v>
      </c>
      <c r="M100" s="14">
        <v>3</v>
      </c>
      <c r="N100" s="15" t="s">
        <v>148</v>
      </c>
      <c r="O100" s="4"/>
    </row>
    <row r="101" spans="1:15" ht="35.1" customHeight="1" x14ac:dyDescent="0.25">
      <c r="A101" s="4"/>
      <c r="B101" s="40">
        <v>95</v>
      </c>
      <c r="C101" s="37" t="s">
        <v>139</v>
      </c>
      <c r="D101" s="135" t="s">
        <v>91</v>
      </c>
      <c r="E101" s="135"/>
      <c r="F101" s="135"/>
      <c r="G101" s="135"/>
      <c r="H101" s="37" t="s">
        <v>163</v>
      </c>
      <c r="I101" s="37" t="s">
        <v>73</v>
      </c>
      <c r="J101" s="55">
        <v>775</v>
      </c>
      <c r="K101" s="42">
        <v>3</v>
      </c>
      <c r="L101" s="35" t="s">
        <v>148</v>
      </c>
      <c r="M101" s="14">
        <v>3</v>
      </c>
      <c r="N101" s="15" t="s">
        <v>148</v>
      </c>
      <c r="O101" s="4"/>
    </row>
    <row r="102" spans="1:15" ht="35.1" customHeight="1" x14ac:dyDescent="0.25">
      <c r="B102" s="40">
        <v>96</v>
      </c>
      <c r="C102" s="37" t="s">
        <v>140</v>
      </c>
      <c r="D102" s="135" t="s">
        <v>91</v>
      </c>
      <c r="E102" s="135"/>
      <c r="F102" s="135"/>
      <c r="G102" s="135"/>
      <c r="H102" s="37" t="s">
        <v>163</v>
      </c>
      <c r="I102" s="37" t="s">
        <v>193</v>
      </c>
      <c r="J102" s="55">
        <f>3225-30</f>
        <v>3195</v>
      </c>
      <c r="K102" s="42">
        <v>3</v>
      </c>
      <c r="L102" s="35" t="s">
        <v>148</v>
      </c>
      <c r="M102" s="14">
        <v>3</v>
      </c>
      <c r="N102" s="15" t="s">
        <v>145</v>
      </c>
      <c r="O102" s="4"/>
    </row>
    <row r="103" spans="1:15" ht="15.75" customHeight="1" x14ac:dyDescent="0.25">
      <c r="B103" s="149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1"/>
    </row>
    <row r="104" spans="1:15" ht="22.5" customHeight="1" x14ac:dyDescent="0.3">
      <c r="B104" s="142" t="s">
        <v>205</v>
      </c>
      <c r="C104" s="143"/>
      <c r="D104" s="143" t="s">
        <v>203</v>
      </c>
      <c r="E104" s="143"/>
      <c r="F104" s="143"/>
      <c r="G104" s="143"/>
      <c r="H104" s="143"/>
      <c r="I104" s="143"/>
      <c r="J104" s="143"/>
      <c r="K104" s="143"/>
      <c r="L104" s="143"/>
      <c r="M104" s="143" t="s">
        <v>206</v>
      </c>
      <c r="N104" s="145"/>
    </row>
    <row r="105" spans="1:15" ht="22.5" customHeight="1" x14ac:dyDescent="0.3">
      <c r="B105" s="143">
        <v>0</v>
      </c>
      <c r="C105" s="143"/>
      <c r="D105" s="168" t="s">
        <v>253</v>
      </c>
      <c r="E105" s="169"/>
      <c r="F105" s="169"/>
      <c r="G105" s="169"/>
      <c r="H105" s="169"/>
      <c r="I105" s="169"/>
      <c r="J105" s="169"/>
      <c r="K105" s="169"/>
      <c r="L105" s="170"/>
      <c r="M105" s="171">
        <v>45787</v>
      </c>
      <c r="N105" s="169"/>
    </row>
    <row r="106" spans="1:15" ht="22.5" customHeight="1" x14ac:dyDescent="0.25">
      <c r="B106" s="141">
        <v>1</v>
      </c>
      <c r="C106" s="141"/>
      <c r="D106" s="141" t="s">
        <v>210</v>
      </c>
      <c r="E106" s="141"/>
      <c r="F106" s="141"/>
      <c r="G106" s="141"/>
      <c r="H106" s="141"/>
      <c r="I106" s="141"/>
      <c r="J106" s="141"/>
      <c r="K106" s="141"/>
      <c r="L106" s="141"/>
      <c r="M106" s="147">
        <v>45812</v>
      </c>
      <c r="N106" s="141"/>
    </row>
    <row r="107" spans="1:15" ht="36.75" customHeight="1" x14ac:dyDescent="0.25">
      <c r="B107" s="158">
        <v>2</v>
      </c>
      <c r="C107" s="158"/>
      <c r="D107" s="158" t="s">
        <v>216</v>
      </c>
      <c r="E107" s="158"/>
      <c r="F107" s="158"/>
      <c r="G107" s="158"/>
      <c r="H107" s="158"/>
      <c r="I107" s="158"/>
      <c r="J107" s="158"/>
      <c r="K107" s="158"/>
      <c r="L107" s="158"/>
      <c r="M107" s="147">
        <v>45818</v>
      </c>
      <c r="N107" s="141"/>
    </row>
    <row r="108" spans="1:15" ht="36.75" customHeight="1" x14ac:dyDescent="0.25">
      <c r="B108" s="158"/>
      <c r="C108" s="158"/>
      <c r="D108" s="141" t="s">
        <v>214</v>
      </c>
      <c r="E108" s="141"/>
      <c r="F108" s="141"/>
      <c r="G108" s="141"/>
      <c r="H108" s="141"/>
      <c r="I108" s="141"/>
      <c r="J108" s="141"/>
      <c r="K108" s="141"/>
      <c r="L108" s="141"/>
      <c r="M108" s="147">
        <v>45818</v>
      </c>
      <c r="N108" s="141"/>
    </row>
    <row r="109" spans="1:15" ht="29.25" customHeight="1" x14ac:dyDescent="0.25">
      <c r="B109" s="173">
        <v>3</v>
      </c>
      <c r="C109" s="174"/>
      <c r="D109" s="141" t="s">
        <v>230</v>
      </c>
      <c r="E109" s="141"/>
      <c r="F109" s="141"/>
      <c r="G109" s="141"/>
      <c r="H109" s="141"/>
      <c r="I109" s="141"/>
      <c r="J109" s="141"/>
      <c r="K109" s="141"/>
      <c r="L109" s="141"/>
      <c r="M109" s="147">
        <v>45854</v>
      </c>
      <c r="N109" s="141"/>
    </row>
    <row r="110" spans="1:15" ht="45" customHeight="1" x14ac:dyDescent="0.25">
      <c r="B110" s="175"/>
      <c r="C110" s="176"/>
      <c r="D110" s="172" t="s">
        <v>243</v>
      </c>
      <c r="E110" s="131"/>
      <c r="F110" s="131"/>
      <c r="G110" s="131"/>
      <c r="H110" s="131"/>
      <c r="I110" s="131"/>
      <c r="J110" s="131"/>
      <c r="K110" s="131"/>
      <c r="L110" s="132"/>
      <c r="M110" s="147">
        <v>45854</v>
      </c>
      <c r="N110" s="141"/>
    </row>
    <row r="111" spans="1:15" ht="32.25" customHeight="1" thickBot="1" x14ac:dyDescent="0.3">
      <c r="B111" s="152" t="s">
        <v>229</v>
      </c>
      <c r="C111" s="153"/>
      <c r="D111" s="153"/>
      <c r="E111" s="153"/>
      <c r="F111" s="153"/>
      <c r="G111" s="153"/>
      <c r="H111" s="154"/>
      <c r="I111" s="155" t="s">
        <v>228</v>
      </c>
      <c r="J111" s="153"/>
      <c r="K111" s="154"/>
      <c r="L111" s="155" t="s">
        <v>227</v>
      </c>
      <c r="M111" s="153"/>
      <c r="N111" s="156"/>
    </row>
    <row r="112" spans="1:15" ht="15.75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</sheetData>
  <sheetProtection password="DE0D" sheet="1" objects="1" scenarios="1"/>
  <mergeCells count="131">
    <mergeCell ref="B105:C105"/>
    <mergeCell ref="D105:L105"/>
    <mergeCell ref="M105:N105"/>
    <mergeCell ref="D109:L109"/>
    <mergeCell ref="D110:L110"/>
    <mergeCell ref="M109:N109"/>
    <mergeCell ref="M110:N110"/>
    <mergeCell ref="B109:C110"/>
    <mergeCell ref="B5:G5"/>
    <mergeCell ref="K5:L5"/>
    <mergeCell ref="M5:N5"/>
    <mergeCell ref="D6:G6"/>
    <mergeCell ref="D7:G7"/>
    <mergeCell ref="D8:G8"/>
    <mergeCell ref="D16:G16"/>
    <mergeCell ref="D17:G17"/>
    <mergeCell ref="D18:G18"/>
    <mergeCell ref="D19:G19"/>
    <mergeCell ref="D20:G20"/>
    <mergeCell ref="D27:G27"/>
    <mergeCell ref="D28:G28"/>
    <mergeCell ref="D29:G29"/>
    <mergeCell ref="D30:G30"/>
    <mergeCell ref="D31:G31"/>
    <mergeCell ref="B1:N1"/>
    <mergeCell ref="B2:N2"/>
    <mergeCell ref="B3:G3"/>
    <mergeCell ref="K3:L3"/>
    <mergeCell ref="M3:N3"/>
    <mergeCell ref="B4:G4"/>
    <mergeCell ref="K4:L4"/>
    <mergeCell ref="M4:N4"/>
    <mergeCell ref="D15:G15"/>
    <mergeCell ref="D9:G9"/>
    <mergeCell ref="D10:G10"/>
    <mergeCell ref="D11:G11"/>
    <mergeCell ref="D12:G12"/>
    <mergeCell ref="D13:G13"/>
    <mergeCell ref="D14:G14"/>
    <mergeCell ref="D32:G32"/>
    <mergeCell ref="D21:G21"/>
    <mergeCell ref="D22:G22"/>
    <mergeCell ref="D23:G23"/>
    <mergeCell ref="D24:G24"/>
    <mergeCell ref="D25:G25"/>
    <mergeCell ref="D26:G26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D99:G99"/>
    <mergeCell ref="D100:G100"/>
    <mergeCell ref="D101:G101"/>
    <mergeCell ref="D102:G102"/>
    <mergeCell ref="B103:N103"/>
    <mergeCell ref="B104:C104"/>
    <mergeCell ref="D104:L104"/>
    <mergeCell ref="M104:N104"/>
    <mergeCell ref="D93:G93"/>
    <mergeCell ref="D94:G94"/>
    <mergeCell ref="D95:G95"/>
    <mergeCell ref="D96:G96"/>
    <mergeCell ref="D97:G97"/>
    <mergeCell ref="D98:G98"/>
    <mergeCell ref="B111:H111"/>
    <mergeCell ref="I111:K111"/>
    <mergeCell ref="L111:N111"/>
    <mergeCell ref="D108:L108"/>
    <mergeCell ref="M108:N108"/>
    <mergeCell ref="B107:C108"/>
    <mergeCell ref="B106:C106"/>
    <mergeCell ref="D106:L106"/>
    <mergeCell ref="M106:N106"/>
    <mergeCell ref="D107:L107"/>
    <mergeCell ref="M107:N107"/>
  </mergeCells>
  <printOptions horizontalCentered="1" verticalCentered="1"/>
  <pageMargins left="0" right="0" top="0" bottom="0" header="0" footer="0"/>
  <pageSetup paperSize="9" scale="70" orientation="landscape" r:id="rId1"/>
  <headerFooter scaleWithDoc="0" alignWithMargins="0">
    <firstFooter>&amp;RPage :1 of 2</firstFooter>
  </headerFooter>
  <rowBreaks count="1" manualBreakCount="1">
    <brk id="96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09"/>
  <sheetViews>
    <sheetView view="pageBreakPreview" topLeftCell="A94" zoomScale="70" zoomScaleNormal="70" zoomScaleSheetLayoutView="70" workbookViewId="0">
      <selection activeCell="I18" sqref="I18"/>
    </sheetView>
  </sheetViews>
  <sheetFormatPr defaultRowHeight="15" x14ac:dyDescent="0.25"/>
  <cols>
    <col min="1" max="1" width="1" customWidth="1"/>
    <col min="2" max="2" width="6.42578125" customWidth="1"/>
    <col min="3" max="3" width="8.42578125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25">
      <c r="B1" s="117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1:14" ht="28.35" customHeight="1" x14ac:dyDescent="0.25">
      <c r="B2" s="120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2"/>
    </row>
    <row r="3" spans="1:14" ht="15.95" customHeight="1" x14ac:dyDescent="0.25">
      <c r="B3" s="123" t="s">
        <v>2</v>
      </c>
      <c r="C3" s="124"/>
      <c r="D3" s="124"/>
      <c r="E3" s="124"/>
      <c r="F3" s="124"/>
      <c r="G3" s="124"/>
      <c r="H3" s="10" t="s">
        <v>161</v>
      </c>
      <c r="I3" s="8" t="s">
        <v>194</v>
      </c>
      <c r="J3" s="18" t="s">
        <v>204</v>
      </c>
      <c r="K3" s="125" t="s">
        <v>195</v>
      </c>
      <c r="L3" s="126"/>
      <c r="M3" s="125" t="s">
        <v>196</v>
      </c>
      <c r="N3" s="127"/>
    </row>
    <row r="4" spans="1:14" ht="21" customHeight="1" x14ac:dyDescent="0.25">
      <c r="B4" s="123" t="s">
        <v>3</v>
      </c>
      <c r="C4" s="124"/>
      <c r="D4" s="124"/>
      <c r="E4" s="124"/>
      <c r="F4" s="124"/>
      <c r="G4" s="124"/>
      <c r="H4" s="18" t="s">
        <v>4</v>
      </c>
      <c r="I4" s="9" t="s">
        <v>197</v>
      </c>
      <c r="J4" s="18">
        <v>0</v>
      </c>
      <c r="K4" s="128" t="s">
        <v>198</v>
      </c>
      <c r="L4" s="129"/>
      <c r="M4" s="124" t="s">
        <v>200</v>
      </c>
      <c r="N4" s="130"/>
    </row>
    <row r="5" spans="1:14" ht="21" customHeight="1" x14ac:dyDescent="0.25">
      <c r="B5" s="123" t="s">
        <v>5</v>
      </c>
      <c r="C5" s="124"/>
      <c r="D5" s="124"/>
      <c r="E5" s="124"/>
      <c r="F5" s="124"/>
      <c r="G5" s="124"/>
      <c r="H5" s="18" t="s">
        <v>18</v>
      </c>
      <c r="I5" s="9" t="s">
        <v>199</v>
      </c>
      <c r="J5" s="21">
        <v>45788</v>
      </c>
      <c r="K5" s="136" t="s">
        <v>6</v>
      </c>
      <c r="L5" s="137"/>
      <c r="M5" s="138" t="s">
        <v>7</v>
      </c>
      <c r="N5" s="139"/>
    </row>
    <row r="6" spans="1:14" ht="56.25" customHeight="1" x14ac:dyDescent="0.25">
      <c r="B6" s="7" t="s">
        <v>160</v>
      </c>
      <c r="C6" s="5" t="s">
        <v>8</v>
      </c>
      <c r="D6" s="140" t="s">
        <v>9</v>
      </c>
      <c r="E6" s="140"/>
      <c r="F6" s="140"/>
      <c r="G6" s="140"/>
      <c r="H6" s="2" t="s">
        <v>10</v>
      </c>
      <c r="I6" s="19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13">
        <v>1</v>
      </c>
      <c r="C7" s="20" t="s">
        <v>25</v>
      </c>
      <c r="D7" s="141" t="s">
        <v>71</v>
      </c>
      <c r="E7" s="141"/>
      <c r="F7" s="141"/>
      <c r="G7" s="141"/>
      <c r="H7" s="20" t="s">
        <v>162</v>
      </c>
      <c r="I7" s="20" t="s">
        <v>19</v>
      </c>
      <c r="J7" s="20">
        <v>1220</v>
      </c>
      <c r="K7" s="14">
        <v>4</v>
      </c>
      <c r="L7" s="20" t="s">
        <v>72</v>
      </c>
      <c r="M7" s="12">
        <v>10</v>
      </c>
      <c r="N7" s="15" t="s">
        <v>164</v>
      </c>
    </row>
    <row r="8" spans="1:14" ht="35.1" customHeight="1" x14ac:dyDescent="0.25">
      <c r="B8" s="13">
        <v>2</v>
      </c>
      <c r="C8" s="20" t="s">
        <v>26</v>
      </c>
      <c r="D8" s="141" t="s">
        <v>71</v>
      </c>
      <c r="E8" s="141"/>
      <c r="F8" s="141"/>
      <c r="G8" s="141"/>
      <c r="H8" s="20" t="s">
        <v>162</v>
      </c>
      <c r="I8" s="20" t="s">
        <v>73</v>
      </c>
      <c r="J8" s="20">
        <v>830</v>
      </c>
      <c r="K8" s="12">
        <v>10</v>
      </c>
      <c r="L8" s="16" t="s">
        <v>165</v>
      </c>
      <c r="M8" s="14">
        <v>4</v>
      </c>
      <c r="N8" s="17" t="s">
        <v>72</v>
      </c>
    </row>
    <row r="9" spans="1:14" ht="35.1" customHeight="1" x14ac:dyDescent="0.25">
      <c r="B9" s="13">
        <v>3</v>
      </c>
      <c r="C9" s="20" t="s">
        <v>74</v>
      </c>
      <c r="D9" s="141" t="s">
        <v>91</v>
      </c>
      <c r="E9" s="141"/>
      <c r="F9" s="141"/>
      <c r="G9" s="141"/>
      <c r="H9" s="20" t="s">
        <v>163</v>
      </c>
      <c r="I9" s="20" t="s">
        <v>75</v>
      </c>
      <c r="J9" s="20">
        <v>1725</v>
      </c>
      <c r="K9" s="14">
        <v>8</v>
      </c>
      <c r="L9" s="16" t="s">
        <v>165</v>
      </c>
      <c r="M9" s="14">
        <v>3.5</v>
      </c>
      <c r="N9" s="17" t="s">
        <v>141</v>
      </c>
    </row>
    <row r="10" spans="1:14" ht="35.1" customHeight="1" x14ac:dyDescent="0.25">
      <c r="B10" s="13">
        <v>4</v>
      </c>
      <c r="C10" s="20" t="s">
        <v>27</v>
      </c>
      <c r="D10" s="141" t="s">
        <v>76</v>
      </c>
      <c r="E10" s="141"/>
      <c r="F10" s="141"/>
      <c r="G10" s="141"/>
      <c r="H10" s="20" t="s">
        <v>159</v>
      </c>
      <c r="I10" s="20" t="s">
        <v>73</v>
      </c>
      <c r="J10" s="20">
        <v>1950</v>
      </c>
      <c r="K10" s="14">
        <v>2.8</v>
      </c>
      <c r="L10" s="20">
        <v>39000040</v>
      </c>
      <c r="M10" s="12">
        <v>10</v>
      </c>
      <c r="N10" s="15" t="s">
        <v>170</v>
      </c>
    </row>
    <row r="11" spans="1:14" ht="35.1" customHeight="1" x14ac:dyDescent="0.25">
      <c r="B11" s="13">
        <v>5</v>
      </c>
      <c r="C11" s="20" t="s">
        <v>28</v>
      </c>
      <c r="D11" s="141" t="s">
        <v>71</v>
      </c>
      <c r="E11" s="141"/>
      <c r="F11" s="141"/>
      <c r="G11" s="141"/>
      <c r="H11" s="20" t="s">
        <v>162</v>
      </c>
      <c r="I11" s="20" t="s">
        <v>77</v>
      </c>
      <c r="J11" s="20">
        <v>490</v>
      </c>
      <c r="K11" s="14">
        <v>3</v>
      </c>
      <c r="L11" s="20" t="s">
        <v>142</v>
      </c>
      <c r="M11" s="14">
        <v>10</v>
      </c>
      <c r="N11" s="15" t="s">
        <v>189</v>
      </c>
    </row>
    <row r="12" spans="1:14" ht="35.1" customHeight="1" x14ac:dyDescent="0.25">
      <c r="B12" s="13">
        <v>6</v>
      </c>
      <c r="C12" s="20" t="s">
        <v>29</v>
      </c>
      <c r="D12" s="141" t="s">
        <v>91</v>
      </c>
      <c r="E12" s="141"/>
      <c r="F12" s="141"/>
      <c r="G12" s="141"/>
      <c r="H12" s="20" t="s">
        <v>163</v>
      </c>
      <c r="I12" s="20" t="s">
        <v>73</v>
      </c>
      <c r="J12" s="20">
        <v>1345</v>
      </c>
      <c r="K12" s="14">
        <v>3</v>
      </c>
      <c r="L12" s="20" t="s">
        <v>143</v>
      </c>
      <c r="M12" s="14">
        <v>3</v>
      </c>
      <c r="N12" s="15" t="s">
        <v>143</v>
      </c>
    </row>
    <row r="13" spans="1:14" ht="35.1" customHeight="1" x14ac:dyDescent="0.25">
      <c r="B13" s="13">
        <v>7</v>
      </c>
      <c r="C13" s="20" t="s">
        <v>30</v>
      </c>
      <c r="D13" s="141" t="s">
        <v>76</v>
      </c>
      <c r="E13" s="141"/>
      <c r="F13" s="141"/>
      <c r="G13" s="141"/>
      <c r="H13" s="20" t="s">
        <v>159</v>
      </c>
      <c r="I13" s="20" t="s">
        <v>78</v>
      </c>
      <c r="J13" s="20">
        <v>1390</v>
      </c>
      <c r="K13" s="14">
        <v>3.8</v>
      </c>
      <c r="L13" s="20" t="s">
        <v>144</v>
      </c>
      <c r="M13" s="14">
        <v>8</v>
      </c>
      <c r="N13" s="15" t="s">
        <v>167</v>
      </c>
    </row>
    <row r="14" spans="1:14" ht="35.1" customHeight="1" x14ac:dyDescent="0.25">
      <c r="B14" s="13">
        <v>8</v>
      </c>
      <c r="C14" s="20" t="s">
        <v>31</v>
      </c>
      <c r="D14" s="141" t="s">
        <v>91</v>
      </c>
      <c r="E14" s="141"/>
      <c r="F14" s="141"/>
      <c r="G14" s="141"/>
      <c r="H14" s="20" t="s">
        <v>163</v>
      </c>
      <c r="I14" s="20" t="s">
        <v>79</v>
      </c>
      <c r="J14" s="20">
        <v>1020</v>
      </c>
      <c r="K14" s="14">
        <v>3</v>
      </c>
      <c r="L14" s="20" t="s">
        <v>145</v>
      </c>
      <c r="M14" s="14">
        <v>8</v>
      </c>
      <c r="N14" s="15" t="s">
        <v>168</v>
      </c>
    </row>
    <row r="15" spans="1:14" ht="35.1" customHeight="1" x14ac:dyDescent="0.25">
      <c r="B15" s="13">
        <v>9</v>
      </c>
      <c r="C15" s="20" t="s">
        <v>32</v>
      </c>
      <c r="D15" s="141" t="s">
        <v>91</v>
      </c>
      <c r="E15" s="141"/>
      <c r="F15" s="141"/>
      <c r="G15" s="141"/>
      <c r="H15" s="20" t="s">
        <v>163</v>
      </c>
      <c r="I15" s="20" t="s">
        <v>79</v>
      </c>
      <c r="J15" s="20">
        <v>1400</v>
      </c>
      <c r="K15" s="14">
        <v>3</v>
      </c>
      <c r="L15" s="20" t="s">
        <v>143</v>
      </c>
      <c r="M15" s="14">
        <v>2</v>
      </c>
      <c r="N15" s="15" t="s">
        <v>145</v>
      </c>
    </row>
    <row r="16" spans="1:14" ht="35.1" customHeight="1" x14ac:dyDescent="0.25">
      <c r="A16" s="4"/>
      <c r="B16" s="13">
        <v>10</v>
      </c>
      <c r="C16" s="20" t="s">
        <v>33</v>
      </c>
      <c r="D16" s="141" t="s">
        <v>91</v>
      </c>
      <c r="E16" s="141"/>
      <c r="F16" s="141"/>
      <c r="G16" s="141"/>
      <c r="H16" s="20" t="s">
        <v>163</v>
      </c>
      <c r="I16" s="20" t="s">
        <v>80</v>
      </c>
      <c r="J16" s="20">
        <v>1155</v>
      </c>
      <c r="K16" s="14">
        <v>3</v>
      </c>
      <c r="L16" s="20" t="s">
        <v>145</v>
      </c>
      <c r="M16" s="14">
        <v>3</v>
      </c>
      <c r="N16" s="17" t="s">
        <v>143</v>
      </c>
    </row>
    <row r="17" spans="1:15" ht="35.1" customHeight="1" x14ac:dyDescent="0.25">
      <c r="B17" s="13">
        <v>11</v>
      </c>
      <c r="C17" s="20" t="s">
        <v>34</v>
      </c>
      <c r="D17" s="141" t="s">
        <v>71</v>
      </c>
      <c r="E17" s="141"/>
      <c r="F17" s="141"/>
      <c r="G17" s="141"/>
      <c r="H17" s="20" t="s">
        <v>162</v>
      </c>
      <c r="I17" s="20" t="s">
        <v>77</v>
      </c>
      <c r="J17" s="20">
        <v>1205</v>
      </c>
      <c r="K17" s="14">
        <v>4</v>
      </c>
      <c r="L17" s="20" t="s">
        <v>146</v>
      </c>
      <c r="M17" s="14">
        <v>5</v>
      </c>
      <c r="N17" s="17" t="s">
        <v>147</v>
      </c>
    </row>
    <row r="18" spans="1:15" ht="35.1" customHeight="1" x14ac:dyDescent="0.25">
      <c r="B18" s="13">
        <v>12</v>
      </c>
      <c r="C18" s="20" t="s">
        <v>35</v>
      </c>
      <c r="D18" s="141" t="s">
        <v>91</v>
      </c>
      <c r="E18" s="141"/>
      <c r="F18" s="141"/>
      <c r="G18" s="141"/>
      <c r="H18" s="20" t="s">
        <v>163</v>
      </c>
      <c r="I18" s="20" t="s">
        <v>75</v>
      </c>
      <c r="J18" s="20">
        <v>1400</v>
      </c>
      <c r="K18" s="14">
        <v>3</v>
      </c>
      <c r="L18" s="20" t="s">
        <v>145</v>
      </c>
      <c r="M18" s="14">
        <v>3</v>
      </c>
      <c r="N18" s="15" t="s">
        <v>143</v>
      </c>
    </row>
    <row r="19" spans="1:15" ht="35.1" customHeight="1" x14ac:dyDescent="0.25">
      <c r="B19" s="13">
        <v>13</v>
      </c>
      <c r="C19" s="20" t="s">
        <v>36</v>
      </c>
      <c r="D19" s="141" t="s">
        <v>91</v>
      </c>
      <c r="E19" s="141"/>
      <c r="F19" s="141"/>
      <c r="G19" s="141"/>
      <c r="H19" s="20" t="s">
        <v>163</v>
      </c>
      <c r="I19" s="20" t="s">
        <v>81</v>
      </c>
      <c r="J19" s="20">
        <v>1480</v>
      </c>
      <c r="K19" s="14">
        <v>3</v>
      </c>
      <c r="L19" s="20" t="s">
        <v>148</v>
      </c>
      <c r="M19" s="14">
        <v>2</v>
      </c>
      <c r="N19" s="17" t="s">
        <v>145</v>
      </c>
    </row>
    <row r="20" spans="1:15" ht="49.5" customHeight="1" x14ac:dyDescent="0.25">
      <c r="B20" s="13">
        <v>14</v>
      </c>
      <c r="C20" s="20" t="s">
        <v>37</v>
      </c>
      <c r="D20" s="141" t="s">
        <v>91</v>
      </c>
      <c r="E20" s="141"/>
      <c r="F20" s="141"/>
      <c r="G20" s="141"/>
      <c r="H20" s="20" t="s">
        <v>163</v>
      </c>
      <c r="I20" s="20" t="s">
        <v>75</v>
      </c>
      <c r="J20" s="20">
        <v>3170</v>
      </c>
      <c r="K20" s="14">
        <v>3</v>
      </c>
      <c r="L20" s="20" t="s">
        <v>148</v>
      </c>
      <c r="M20" s="14">
        <v>3</v>
      </c>
      <c r="N20" s="17" t="s">
        <v>148</v>
      </c>
      <c r="O20" s="4"/>
    </row>
    <row r="21" spans="1:15" ht="35.1" customHeight="1" x14ac:dyDescent="0.25">
      <c r="B21" s="13">
        <v>15</v>
      </c>
      <c r="C21" s="20" t="s">
        <v>38</v>
      </c>
      <c r="D21" s="141" t="s">
        <v>76</v>
      </c>
      <c r="E21" s="141"/>
      <c r="F21" s="141"/>
      <c r="G21" s="141"/>
      <c r="H21" s="20" t="s">
        <v>159</v>
      </c>
      <c r="I21" s="20" t="s">
        <v>82</v>
      </c>
      <c r="J21" s="20">
        <f>1290+50</f>
        <v>1340</v>
      </c>
      <c r="K21" s="14">
        <v>4</v>
      </c>
      <c r="L21" s="20" t="s">
        <v>144</v>
      </c>
      <c r="M21" s="14">
        <v>8</v>
      </c>
      <c r="N21" s="15" t="s">
        <v>169</v>
      </c>
    </row>
    <row r="22" spans="1:15" s="3" customFormat="1" ht="35.1" customHeight="1" x14ac:dyDescent="0.25">
      <c r="B22" s="13">
        <v>16</v>
      </c>
      <c r="C22" s="20" t="s">
        <v>39</v>
      </c>
      <c r="D22" s="141" t="s">
        <v>71</v>
      </c>
      <c r="E22" s="141"/>
      <c r="F22" s="141"/>
      <c r="G22" s="141"/>
      <c r="H22" s="20" t="s">
        <v>162</v>
      </c>
      <c r="I22" s="20" t="s">
        <v>73</v>
      </c>
      <c r="J22" s="20">
        <v>1145</v>
      </c>
      <c r="K22" s="14">
        <v>3</v>
      </c>
      <c r="L22" s="20" t="s">
        <v>142</v>
      </c>
      <c r="M22" s="14">
        <v>10</v>
      </c>
      <c r="N22" s="15" t="s">
        <v>170</v>
      </c>
    </row>
    <row r="23" spans="1:15" ht="35.1" customHeight="1" x14ac:dyDescent="0.25">
      <c r="A23" s="4"/>
      <c r="B23" s="13">
        <v>17</v>
      </c>
      <c r="C23" s="20" t="s">
        <v>40</v>
      </c>
      <c r="D23" s="141" t="s">
        <v>91</v>
      </c>
      <c r="E23" s="141"/>
      <c r="F23" s="141"/>
      <c r="G23" s="141"/>
      <c r="H23" s="20" t="s">
        <v>163</v>
      </c>
      <c r="I23" s="20" t="s">
        <v>83</v>
      </c>
      <c r="J23" s="20">
        <v>815</v>
      </c>
      <c r="K23" s="14">
        <v>5</v>
      </c>
      <c r="L23" s="20" t="s">
        <v>149</v>
      </c>
      <c r="M23" s="14">
        <v>2</v>
      </c>
      <c r="N23" s="15" t="s">
        <v>145</v>
      </c>
    </row>
    <row r="24" spans="1:15" ht="35.1" customHeight="1" x14ac:dyDescent="0.25">
      <c r="B24" s="13">
        <v>18</v>
      </c>
      <c r="C24" s="20" t="s">
        <v>41</v>
      </c>
      <c r="D24" s="141" t="s">
        <v>71</v>
      </c>
      <c r="E24" s="141"/>
      <c r="F24" s="141"/>
      <c r="G24" s="141"/>
      <c r="H24" s="20" t="s">
        <v>162</v>
      </c>
      <c r="I24" s="20" t="s">
        <v>19</v>
      </c>
      <c r="J24" s="20">
        <v>490</v>
      </c>
      <c r="K24" s="14">
        <v>3</v>
      </c>
      <c r="L24" s="16" t="s">
        <v>142</v>
      </c>
      <c r="M24" s="14">
        <v>10</v>
      </c>
      <c r="N24" s="15" t="s">
        <v>166</v>
      </c>
    </row>
    <row r="25" spans="1:15" ht="35.1" customHeight="1" x14ac:dyDescent="0.25">
      <c r="B25" s="13">
        <v>19</v>
      </c>
      <c r="C25" s="20" t="s">
        <v>42</v>
      </c>
      <c r="D25" s="141" t="s">
        <v>76</v>
      </c>
      <c r="E25" s="141"/>
      <c r="F25" s="141"/>
      <c r="G25" s="141"/>
      <c r="H25" s="20" t="s">
        <v>159</v>
      </c>
      <c r="I25" s="20" t="s">
        <v>19</v>
      </c>
      <c r="J25" s="20">
        <v>775</v>
      </c>
      <c r="K25" s="14">
        <v>4</v>
      </c>
      <c r="L25" s="20" t="s">
        <v>144</v>
      </c>
      <c r="M25" s="12">
        <v>7</v>
      </c>
      <c r="N25" s="15" t="s">
        <v>171</v>
      </c>
    </row>
    <row r="26" spans="1:15" ht="35.1" customHeight="1" x14ac:dyDescent="0.25">
      <c r="B26" s="13">
        <v>20</v>
      </c>
      <c r="C26" s="20" t="s">
        <v>43</v>
      </c>
      <c r="D26" s="141" t="s">
        <v>71</v>
      </c>
      <c r="E26" s="141"/>
      <c r="F26" s="141"/>
      <c r="G26" s="141"/>
      <c r="H26" s="20" t="s">
        <v>162</v>
      </c>
      <c r="I26" s="20" t="s">
        <v>84</v>
      </c>
      <c r="J26" s="20">
        <v>2195</v>
      </c>
      <c r="K26" s="12">
        <v>10</v>
      </c>
      <c r="L26" s="16" t="s">
        <v>190</v>
      </c>
      <c r="M26" s="14">
        <v>3</v>
      </c>
      <c r="N26" s="17" t="s">
        <v>142</v>
      </c>
    </row>
    <row r="27" spans="1:15" ht="35.1" customHeight="1" x14ac:dyDescent="0.25">
      <c r="A27" s="4"/>
      <c r="B27" s="13">
        <v>21</v>
      </c>
      <c r="C27" s="20" t="s">
        <v>44</v>
      </c>
      <c r="D27" s="141" t="s">
        <v>71</v>
      </c>
      <c r="E27" s="141"/>
      <c r="F27" s="141"/>
      <c r="G27" s="141"/>
      <c r="H27" s="20" t="s">
        <v>162</v>
      </c>
      <c r="I27" s="20" t="s">
        <v>84</v>
      </c>
      <c r="J27" s="20">
        <v>875</v>
      </c>
      <c r="K27" s="14">
        <v>3</v>
      </c>
      <c r="L27" s="20" t="s">
        <v>142</v>
      </c>
      <c r="M27" s="14">
        <v>10</v>
      </c>
      <c r="N27" s="15" t="s">
        <v>172</v>
      </c>
    </row>
    <row r="28" spans="1:15" ht="35.1" customHeight="1" x14ac:dyDescent="0.25">
      <c r="B28" s="13">
        <v>22</v>
      </c>
      <c r="C28" s="20" t="s">
        <v>45</v>
      </c>
      <c r="D28" s="141" t="s">
        <v>91</v>
      </c>
      <c r="E28" s="141"/>
      <c r="F28" s="141"/>
      <c r="G28" s="141"/>
      <c r="H28" s="20" t="s">
        <v>163</v>
      </c>
      <c r="I28" s="16" t="s">
        <v>173</v>
      </c>
      <c r="J28" s="20">
        <v>125</v>
      </c>
      <c r="K28" s="14">
        <v>3</v>
      </c>
      <c r="L28" s="20" t="s">
        <v>143</v>
      </c>
      <c r="M28" s="14">
        <v>8</v>
      </c>
      <c r="N28" s="15" t="s">
        <v>174</v>
      </c>
    </row>
    <row r="29" spans="1:15" ht="35.1" customHeight="1" x14ac:dyDescent="0.25">
      <c r="B29" s="13">
        <v>23</v>
      </c>
      <c r="C29" s="20" t="s">
        <v>46</v>
      </c>
      <c r="D29" s="141" t="s">
        <v>91</v>
      </c>
      <c r="E29" s="141"/>
      <c r="F29" s="141"/>
      <c r="G29" s="141"/>
      <c r="H29" s="20" t="s">
        <v>163</v>
      </c>
      <c r="I29" s="20" t="s">
        <v>73</v>
      </c>
      <c r="J29" s="20">
        <v>1150</v>
      </c>
      <c r="K29" s="14">
        <v>2</v>
      </c>
      <c r="L29" s="20" t="s">
        <v>145</v>
      </c>
      <c r="M29" s="14">
        <v>3</v>
      </c>
      <c r="N29" s="15" t="s">
        <v>143</v>
      </c>
    </row>
    <row r="30" spans="1:15" ht="35.1" customHeight="1" x14ac:dyDescent="0.25">
      <c r="B30" s="13">
        <v>24</v>
      </c>
      <c r="C30" s="20" t="s">
        <v>47</v>
      </c>
      <c r="D30" s="141" t="s">
        <v>71</v>
      </c>
      <c r="E30" s="141"/>
      <c r="F30" s="141"/>
      <c r="G30" s="141"/>
      <c r="H30" s="20" t="s">
        <v>162</v>
      </c>
      <c r="I30" s="20" t="s">
        <v>85</v>
      </c>
      <c r="J30" s="20">
        <v>895</v>
      </c>
      <c r="K30" s="14">
        <v>3</v>
      </c>
      <c r="L30" s="20" t="s">
        <v>142</v>
      </c>
      <c r="M30" s="14">
        <v>10</v>
      </c>
      <c r="N30" s="15" t="s">
        <v>170</v>
      </c>
    </row>
    <row r="31" spans="1:15" ht="35.1" customHeight="1" x14ac:dyDescent="0.25">
      <c r="B31" s="13">
        <v>25</v>
      </c>
      <c r="C31" s="20" t="s">
        <v>48</v>
      </c>
      <c r="D31" s="141" t="s">
        <v>71</v>
      </c>
      <c r="E31" s="141"/>
      <c r="F31" s="141"/>
      <c r="G31" s="141"/>
      <c r="H31" s="20" t="s">
        <v>162</v>
      </c>
      <c r="I31" s="20" t="s">
        <v>73</v>
      </c>
      <c r="J31" s="20">
        <v>895</v>
      </c>
      <c r="K31" s="14">
        <v>8</v>
      </c>
      <c r="L31" s="16" t="s">
        <v>170</v>
      </c>
      <c r="M31" s="14">
        <v>3</v>
      </c>
      <c r="N31" s="15" t="s">
        <v>142</v>
      </c>
    </row>
    <row r="32" spans="1:15" ht="35.1" customHeight="1" x14ac:dyDescent="0.25">
      <c r="B32" s="13">
        <v>26</v>
      </c>
      <c r="C32" s="20" t="s">
        <v>86</v>
      </c>
      <c r="D32" s="141" t="s">
        <v>91</v>
      </c>
      <c r="E32" s="141"/>
      <c r="F32" s="141"/>
      <c r="G32" s="141"/>
      <c r="H32" s="20" t="s">
        <v>163</v>
      </c>
      <c r="I32" s="20" t="s">
        <v>85</v>
      </c>
      <c r="J32" s="20">
        <v>1735</v>
      </c>
      <c r="K32" s="12">
        <v>10</v>
      </c>
      <c r="L32" s="16" t="s">
        <v>165</v>
      </c>
      <c r="M32" s="14">
        <v>3</v>
      </c>
      <c r="N32" s="15" t="s">
        <v>141</v>
      </c>
    </row>
    <row r="33" spans="2:14" ht="35.1" customHeight="1" x14ac:dyDescent="0.25">
      <c r="B33" s="13">
        <v>27</v>
      </c>
      <c r="C33" s="20" t="s">
        <v>87</v>
      </c>
      <c r="D33" s="141" t="s">
        <v>71</v>
      </c>
      <c r="E33" s="141"/>
      <c r="F33" s="141"/>
      <c r="G33" s="141"/>
      <c r="H33" s="20" t="s">
        <v>162</v>
      </c>
      <c r="I33" s="20" t="s">
        <v>88</v>
      </c>
      <c r="J33" s="20">
        <v>280</v>
      </c>
      <c r="K33" s="14">
        <v>4</v>
      </c>
      <c r="L33" s="20" t="s">
        <v>146</v>
      </c>
      <c r="M33" s="14">
        <v>10</v>
      </c>
      <c r="N33" s="15" t="s">
        <v>175</v>
      </c>
    </row>
    <row r="34" spans="2:14" ht="35.1" customHeight="1" x14ac:dyDescent="0.25">
      <c r="B34" s="13">
        <v>28</v>
      </c>
      <c r="C34" s="20" t="s">
        <v>89</v>
      </c>
      <c r="D34" s="141" t="s">
        <v>91</v>
      </c>
      <c r="E34" s="141"/>
      <c r="F34" s="141"/>
      <c r="G34" s="141"/>
      <c r="H34" s="20" t="s">
        <v>163</v>
      </c>
      <c r="I34" s="20" t="s">
        <v>82</v>
      </c>
      <c r="J34" s="20">
        <v>1010</v>
      </c>
      <c r="K34" s="14">
        <v>2</v>
      </c>
      <c r="L34" s="20" t="s">
        <v>145</v>
      </c>
      <c r="M34" s="14">
        <v>8</v>
      </c>
      <c r="N34" s="15" t="s">
        <v>176</v>
      </c>
    </row>
    <row r="35" spans="2:14" ht="35.1" customHeight="1" x14ac:dyDescent="0.25">
      <c r="B35" s="13">
        <v>29</v>
      </c>
      <c r="C35" s="20" t="s">
        <v>49</v>
      </c>
      <c r="D35" s="141" t="s">
        <v>91</v>
      </c>
      <c r="E35" s="141"/>
      <c r="F35" s="141"/>
      <c r="G35" s="141"/>
      <c r="H35" s="20" t="s">
        <v>163</v>
      </c>
      <c r="I35" s="20" t="s">
        <v>82</v>
      </c>
      <c r="J35" s="20">
        <v>1580</v>
      </c>
      <c r="K35" s="14">
        <v>3.5</v>
      </c>
      <c r="L35" s="20" t="s">
        <v>150</v>
      </c>
      <c r="M35" s="14">
        <v>8</v>
      </c>
      <c r="N35" s="15" t="s">
        <v>169</v>
      </c>
    </row>
    <row r="36" spans="2:14" ht="35.1" customHeight="1" x14ac:dyDescent="0.25">
      <c r="B36" s="13">
        <v>30</v>
      </c>
      <c r="C36" s="20" t="s">
        <v>50</v>
      </c>
      <c r="D36" s="141" t="s">
        <v>91</v>
      </c>
      <c r="E36" s="141"/>
      <c r="F36" s="141"/>
      <c r="G36" s="141"/>
      <c r="H36" s="20" t="s">
        <v>163</v>
      </c>
      <c r="I36" s="20" t="s">
        <v>78</v>
      </c>
      <c r="J36" s="20">
        <v>1640</v>
      </c>
      <c r="K36" s="14">
        <v>3.5</v>
      </c>
      <c r="L36" s="20" t="s">
        <v>150</v>
      </c>
      <c r="M36" s="14">
        <v>8</v>
      </c>
      <c r="N36" s="15" t="s">
        <v>167</v>
      </c>
    </row>
    <row r="37" spans="2:14" ht="35.1" customHeight="1" x14ac:dyDescent="0.25">
      <c r="B37" s="13">
        <v>31</v>
      </c>
      <c r="C37" s="20" t="s">
        <v>51</v>
      </c>
      <c r="D37" s="141" t="s">
        <v>91</v>
      </c>
      <c r="E37" s="141"/>
      <c r="F37" s="141"/>
      <c r="G37" s="141"/>
      <c r="H37" s="20" t="s">
        <v>163</v>
      </c>
      <c r="I37" s="20" t="s">
        <v>19</v>
      </c>
      <c r="J37" s="20">
        <v>1020</v>
      </c>
      <c r="K37" s="14">
        <v>3.5</v>
      </c>
      <c r="L37" s="20" t="s">
        <v>150</v>
      </c>
      <c r="M37" s="14">
        <v>8</v>
      </c>
      <c r="N37" s="15" t="s">
        <v>171</v>
      </c>
    </row>
    <row r="38" spans="2:14" ht="35.1" customHeight="1" x14ac:dyDescent="0.25">
      <c r="B38" s="13">
        <v>32</v>
      </c>
      <c r="C38" s="20" t="s">
        <v>52</v>
      </c>
      <c r="D38" s="141" t="s">
        <v>91</v>
      </c>
      <c r="E38" s="141"/>
      <c r="F38" s="141"/>
      <c r="G38" s="141"/>
      <c r="H38" s="20" t="s">
        <v>163</v>
      </c>
      <c r="I38" s="20" t="s">
        <v>19</v>
      </c>
      <c r="J38" s="20">
        <v>1450</v>
      </c>
      <c r="K38" s="14">
        <v>8</v>
      </c>
      <c r="L38" s="15" t="s">
        <v>177</v>
      </c>
      <c r="M38" s="14">
        <v>3</v>
      </c>
      <c r="N38" s="15" t="s">
        <v>143</v>
      </c>
    </row>
    <row r="39" spans="2:14" ht="35.1" customHeight="1" x14ac:dyDescent="0.25">
      <c r="B39" s="13">
        <v>33</v>
      </c>
      <c r="C39" s="20" t="s">
        <v>53</v>
      </c>
      <c r="D39" s="141" t="s">
        <v>91</v>
      </c>
      <c r="E39" s="141"/>
      <c r="F39" s="141"/>
      <c r="G39" s="141"/>
      <c r="H39" s="20" t="s">
        <v>163</v>
      </c>
      <c r="I39" s="20" t="s">
        <v>78</v>
      </c>
      <c r="J39" s="20">
        <v>1210</v>
      </c>
      <c r="K39" s="14">
        <v>8</v>
      </c>
      <c r="L39" s="15" t="s">
        <v>178</v>
      </c>
      <c r="M39" s="14">
        <v>3</v>
      </c>
      <c r="N39" s="17" t="s">
        <v>143</v>
      </c>
    </row>
    <row r="40" spans="2:14" ht="35.1" customHeight="1" x14ac:dyDescent="0.25">
      <c r="B40" s="13">
        <v>34</v>
      </c>
      <c r="C40" s="20" t="s">
        <v>54</v>
      </c>
      <c r="D40" s="141" t="s">
        <v>91</v>
      </c>
      <c r="E40" s="141"/>
      <c r="F40" s="141"/>
      <c r="G40" s="141"/>
      <c r="H40" s="20" t="s">
        <v>163</v>
      </c>
      <c r="I40" s="20" t="s">
        <v>82</v>
      </c>
      <c r="J40" s="20">
        <v>1140</v>
      </c>
      <c r="K40" s="14">
        <v>8</v>
      </c>
      <c r="L40" s="15" t="s">
        <v>179</v>
      </c>
      <c r="M40" s="14">
        <v>3</v>
      </c>
      <c r="N40" s="15" t="s">
        <v>143</v>
      </c>
    </row>
    <row r="41" spans="2:14" ht="35.1" customHeight="1" x14ac:dyDescent="0.25">
      <c r="B41" s="13">
        <v>35</v>
      </c>
      <c r="C41" s="20" t="s">
        <v>55</v>
      </c>
      <c r="D41" s="141" t="s">
        <v>91</v>
      </c>
      <c r="E41" s="141"/>
      <c r="F41" s="141"/>
      <c r="G41" s="141"/>
      <c r="H41" s="20" t="s">
        <v>163</v>
      </c>
      <c r="I41" s="20" t="s">
        <v>80</v>
      </c>
      <c r="J41" s="20">
        <v>1000</v>
      </c>
      <c r="K41" s="14">
        <v>5</v>
      </c>
      <c r="L41" s="20" t="s">
        <v>149</v>
      </c>
      <c r="M41" s="14">
        <v>2</v>
      </c>
      <c r="N41" s="15" t="s">
        <v>145</v>
      </c>
    </row>
    <row r="42" spans="2:14" ht="35.1" customHeight="1" x14ac:dyDescent="0.25">
      <c r="B42" s="13">
        <v>36</v>
      </c>
      <c r="C42" s="20" t="s">
        <v>56</v>
      </c>
      <c r="D42" s="141" t="s">
        <v>91</v>
      </c>
      <c r="E42" s="141"/>
      <c r="F42" s="141"/>
      <c r="G42" s="141"/>
      <c r="H42" s="20" t="s">
        <v>163</v>
      </c>
      <c r="I42" s="16" t="s">
        <v>173</v>
      </c>
      <c r="J42" s="20">
        <v>1000</v>
      </c>
      <c r="K42" s="14">
        <v>2</v>
      </c>
      <c r="L42" s="20" t="s">
        <v>145</v>
      </c>
      <c r="M42" s="14">
        <v>5</v>
      </c>
      <c r="N42" s="15" t="s">
        <v>149</v>
      </c>
    </row>
    <row r="43" spans="2:14" ht="35.1" customHeight="1" x14ac:dyDescent="0.25">
      <c r="B43" s="13">
        <v>37</v>
      </c>
      <c r="C43" s="20" t="s">
        <v>57</v>
      </c>
      <c r="D43" s="141" t="s">
        <v>91</v>
      </c>
      <c r="E43" s="141"/>
      <c r="F43" s="141"/>
      <c r="G43" s="141"/>
      <c r="H43" s="20" t="s">
        <v>163</v>
      </c>
      <c r="I43" s="20" t="s">
        <v>82</v>
      </c>
      <c r="J43" s="20">
        <v>1270</v>
      </c>
      <c r="K43" s="14">
        <v>3</v>
      </c>
      <c r="L43" s="20" t="s">
        <v>143</v>
      </c>
      <c r="M43" s="14">
        <v>2</v>
      </c>
      <c r="N43" s="15" t="s">
        <v>145</v>
      </c>
    </row>
    <row r="44" spans="2:14" ht="35.1" customHeight="1" x14ac:dyDescent="0.25">
      <c r="B44" s="13">
        <v>38</v>
      </c>
      <c r="C44" s="20" t="s">
        <v>58</v>
      </c>
      <c r="D44" s="141" t="s">
        <v>91</v>
      </c>
      <c r="E44" s="141"/>
      <c r="F44" s="141"/>
      <c r="G44" s="141"/>
      <c r="H44" s="20" t="s">
        <v>163</v>
      </c>
      <c r="I44" s="20" t="s">
        <v>90</v>
      </c>
      <c r="J44" s="20">
        <v>1270</v>
      </c>
      <c r="K44" s="14">
        <v>2</v>
      </c>
      <c r="L44" s="20" t="s">
        <v>145</v>
      </c>
      <c r="M44" s="14">
        <v>3</v>
      </c>
      <c r="N44" s="15" t="s">
        <v>143</v>
      </c>
    </row>
    <row r="45" spans="2:14" ht="35.1" customHeight="1" x14ac:dyDescent="0.25">
      <c r="B45" s="13">
        <v>39</v>
      </c>
      <c r="C45" s="20" t="s">
        <v>70</v>
      </c>
      <c r="D45" s="141" t="s">
        <v>91</v>
      </c>
      <c r="E45" s="141"/>
      <c r="F45" s="141"/>
      <c r="G45" s="141"/>
      <c r="H45" s="20" t="s">
        <v>163</v>
      </c>
      <c r="I45" s="20" t="s">
        <v>81</v>
      </c>
      <c r="J45" s="20">
        <v>1400</v>
      </c>
      <c r="K45" s="14">
        <v>3</v>
      </c>
      <c r="L45" s="20" t="s">
        <v>143</v>
      </c>
      <c r="M45" s="14">
        <v>2</v>
      </c>
      <c r="N45" s="15" t="s">
        <v>145</v>
      </c>
    </row>
    <row r="46" spans="2:14" ht="35.1" customHeight="1" x14ac:dyDescent="0.25">
      <c r="B46" s="13">
        <v>40</v>
      </c>
      <c r="C46" s="20" t="s">
        <v>59</v>
      </c>
      <c r="D46" s="141" t="s">
        <v>91</v>
      </c>
      <c r="E46" s="141"/>
      <c r="F46" s="141"/>
      <c r="G46" s="141"/>
      <c r="H46" s="20" t="s">
        <v>163</v>
      </c>
      <c r="I46" s="20" t="s">
        <v>92</v>
      </c>
      <c r="J46" s="20">
        <v>820</v>
      </c>
      <c r="K46" s="14">
        <v>5</v>
      </c>
      <c r="L46" s="20" t="s">
        <v>151</v>
      </c>
      <c r="M46" s="14">
        <v>2</v>
      </c>
      <c r="N46" s="15" t="s">
        <v>145</v>
      </c>
    </row>
    <row r="47" spans="2:14" ht="35.1" customHeight="1" x14ac:dyDescent="0.25">
      <c r="B47" s="13">
        <v>41</v>
      </c>
      <c r="C47" s="20" t="s">
        <v>60</v>
      </c>
      <c r="D47" s="141" t="s">
        <v>91</v>
      </c>
      <c r="E47" s="141"/>
      <c r="F47" s="141"/>
      <c r="G47" s="141"/>
      <c r="H47" s="20" t="s">
        <v>163</v>
      </c>
      <c r="I47" s="20" t="s">
        <v>93</v>
      </c>
      <c r="J47" s="20">
        <v>820</v>
      </c>
      <c r="K47" s="14">
        <v>2</v>
      </c>
      <c r="L47" s="20" t="s">
        <v>145</v>
      </c>
      <c r="M47" s="14">
        <v>5</v>
      </c>
      <c r="N47" s="15" t="s">
        <v>149</v>
      </c>
    </row>
    <row r="48" spans="2:14" ht="35.1" customHeight="1" x14ac:dyDescent="0.25">
      <c r="B48" s="13">
        <v>42</v>
      </c>
      <c r="C48" s="20" t="s">
        <v>61</v>
      </c>
      <c r="D48" s="141" t="s">
        <v>91</v>
      </c>
      <c r="E48" s="141"/>
      <c r="F48" s="141"/>
      <c r="G48" s="141"/>
      <c r="H48" s="20" t="s">
        <v>163</v>
      </c>
      <c r="I48" s="20" t="s">
        <v>90</v>
      </c>
      <c r="J48" s="20">
        <v>1685</v>
      </c>
      <c r="K48" s="14">
        <v>4</v>
      </c>
      <c r="L48" s="20" t="s">
        <v>152</v>
      </c>
      <c r="M48" s="14">
        <v>2</v>
      </c>
      <c r="N48" s="15" t="s">
        <v>153</v>
      </c>
    </row>
    <row r="49" spans="2:15" ht="35.1" customHeight="1" x14ac:dyDescent="0.25">
      <c r="B49" s="13">
        <v>43</v>
      </c>
      <c r="C49" s="20" t="s">
        <v>62</v>
      </c>
      <c r="D49" s="141" t="s">
        <v>91</v>
      </c>
      <c r="E49" s="141"/>
      <c r="F49" s="141"/>
      <c r="G49" s="141"/>
      <c r="H49" s="20" t="s">
        <v>163</v>
      </c>
      <c r="I49" s="20" t="s">
        <v>94</v>
      </c>
      <c r="J49" s="20">
        <v>1685</v>
      </c>
      <c r="K49" s="14">
        <v>2</v>
      </c>
      <c r="L49" s="20" t="s">
        <v>153</v>
      </c>
      <c r="M49" s="14">
        <v>4</v>
      </c>
      <c r="N49" s="15" t="s">
        <v>152</v>
      </c>
    </row>
    <row r="50" spans="2:15" ht="35.1" customHeight="1" x14ac:dyDescent="0.25">
      <c r="B50" s="13">
        <v>44</v>
      </c>
      <c r="C50" s="20" t="s">
        <v>63</v>
      </c>
      <c r="D50" s="141" t="s">
        <v>91</v>
      </c>
      <c r="E50" s="141"/>
      <c r="F50" s="141"/>
      <c r="G50" s="141"/>
      <c r="H50" s="20" t="s">
        <v>163</v>
      </c>
      <c r="I50" s="20" t="s">
        <v>95</v>
      </c>
      <c r="J50" s="20">
        <v>1685</v>
      </c>
      <c r="K50" s="14">
        <v>2</v>
      </c>
      <c r="L50" s="20" t="s">
        <v>153</v>
      </c>
      <c r="M50" s="14">
        <v>4</v>
      </c>
      <c r="N50" s="15" t="s">
        <v>152</v>
      </c>
    </row>
    <row r="51" spans="2:15" ht="35.1" customHeight="1" x14ac:dyDescent="0.25">
      <c r="B51" s="13">
        <v>45</v>
      </c>
      <c r="C51" s="20" t="s">
        <v>64</v>
      </c>
      <c r="D51" s="141" t="s">
        <v>91</v>
      </c>
      <c r="E51" s="141"/>
      <c r="F51" s="141"/>
      <c r="G51" s="141"/>
      <c r="H51" s="20" t="s">
        <v>163</v>
      </c>
      <c r="I51" s="20" t="s">
        <v>83</v>
      </c>
      <c r="J51" s="20">
        <v>1685</v>
      </c>
      <c r="K51" s="14">
        <v>4</v>
      </c>
      <c r="L51" s="20" t="s">
        <v>152</v>
      </c>
      <c r="M51" s="14">
        <v>2</v>
      </c>
      <c r="N51" s="15" t="s">
        <v>153</v>
      </c>
    </row>
    <row r="52" spans="2:15" ht="35.1" customHeight="1" x14ac:dyDescent="0.25">
      <c r="B52" s="13">
        <v>46</v>
      </c>
      <c r="C52" s="20" t="s">
        <v>65</v>
      </c>
      <c r="D52" s="141" t="s">
        <v>91</v>
      </c>
      <c r="E52" s="141"/>
      <c r="F52" s="141"/>
      <c r="G52" s="141"/>
      <c r="H52" s="20" t="s">
        <v>163</v>
      </c>
      <c r="I52" s="20" t="s">
        <v>96</v>
      </c>
      <c r="J52" s="20">
        <v>385</v>
      </c>
      <c r="K52" s="14">
        <v>7</v>
      </c>
      <c r="L52" s="16" t="s">
        <v>191</v>
      </c>
      <c r="M52" s="14">
        <v>3</v>
      </c>
      <c r="N52" s="15" t="s">
        <v>154</v>
      </c>
    </row>
    <row r="53" spans="2:15" ht="35.1" customHeight="1" x14ac:dyDescent="0.25">
      <c r="B53" s="13">
        <v>47</v>
      </c>
      <c r="C53" s="20" t="s">
        <v>97</v>
      </c>
      <c r="D53" s="141" t="s">
        <v>91</v>
      </c>
      <c r="E53" s="141"/>
      <c r="F53" s="141"/>
      <c r="G53" s="141"/>
      <c r="H53" s="20" t="s">
        <v>163</v>
      </c>
      <c r="I53" s="20" t="s">
        <v>78</v>
      </c>
      <c r="J53" s="20">
        <v>920</v>
      </c>
      <c r="K53" s="14">
        <v>3</v>
      </c>
      <c r="L53" s="20" t="s">
        <v>154</v>
      </c>
      <c r="M53" s="14">
        <v>2</v>
      </c>
      <c r="N53" s="17" t="s">
        <v>145</v>
      </c>
    </row>
    <row r="54" spans="2:15" ht="35.1" customHeight="1" x14ac:dyDescent="0.25">
      <c r="B54" s="13">
        <v>48</v>
      </c>
      <c r="C54" s="20" t="s">
        <v>98</v>
      </c>
      <c r="D54" s="141" t="s">
        <v>71</v>
      </c>
      <c r="E54" s="141"/>
      <c r="F54" s="141"/>
      <c r="G54" s="141"/>
      <c r="H54" s="20" t="s">
        <v>162</v>
      </c>
      <c r="I54" s="20" t="s">
        <v>19</v>
      </c>
      <c r="J54" s="20">
        <v>280</v>
      </c>
      <c r="K54" s="14">
        <v>3</v>
      </c>
      <c r="L54" s="20" t="s">
        <v>146</v>
      </c>
      <c r="M54" s="12">
        <v>10</v>
      </c>
      <c r="N54" s="15" t="s">
        <v>180</v>
      </c>
    </row>
    <row r="55" spans="2:15" ht="35.1" customHeight="1" x14ac:dyDescent="0.25">
      <c r="B55" s="13">
        <v>49</v>
      </c>
      <c r="C55" s="20" t="s">
        <v>66</v>
      </c>
      <c r="D55" s="141" t="s">
        <v>91</v>
      </c>
      <c r="E55" s="141"/>
      <c r="F55" s="141"/>
      <c r="G55" s="141"/>
      <c r="H55" s="20" t="s">
        <v>163</v>
      </c>
      <c r="I55" s="20" t="s">
        <v>19</v>
      </c>
      <c r="J55" s="20">
        <v>820</v>
      </c>
      <c r="K55" s="14">
        <v>8</v>
      </c>
      <c r="L55" s="15" t="s">
        <v>177</v>
      </c>
      <c r="M55" s="14">
        <v>3</v>
      </c>
      <c r="N55" s="17" t="s">
        <v>143</v>
      </c>
    </row>
    <row r="56" spans="2:15" ht="35.1" customHeight="1" x14ac:dyDescent="0.25">
      <c r="B56" s="13">
        <v>50</v>
      </c>
      <c r="C56" s="20" t="s">
        <v>67</v>
      </c>
      <c r="D56" s="141" t="s">
        <v>91</v>
      </c>
      <c r="E56" s="141"/>
      <c r="F56" s="141"/>
      <c r="G56" s="141"/>
      <c r="H56" s="20" t="s">
        <v>163</v>
      </c>
      <c r="I56" s="20" t="s">
        <v>78</v>
      </c>
      <c r="J56" s="20">
        <v>205</v>
      </c>
      <c r="K56" s="14">
        <v>8</v>
      </c>
      <c r="L56" s="15" t="s">
        <v>178</v>
      </c>
      <c r="M56" s="14">
        <v>3</v>
      </c>
      <c r="N56" s="17" t="s">
        <v>143</v>
      </c>
    </row>
    <row r="57" spans="2:15" ht="35.1" customHeight="1" x14ac:dyDescent="0.25">
      <c r="B57" s="13">
        <v>51</v>
      </c>
      <c r="C57" s="20" t="s">
        <v>68</v>
      </c>
      <c r="D57" s="141" t="s">
        <v>91</v>
      </c>
      <c r="E57" s="141"/>
      <c r="F57" s="141"/>
      <c r="G57" s="141"/>
      <c r="H57" s="20" t="s">
        <v>163</v>
      </c>
      <c r="I57" s="20" t="s">
        <v>82</v>
      </c>
      <c r="J57" s="20">
        <v>260</v>
      </c>
      <c r="K57" s="14">
        <v>3</v>
      </c>
      <c r="L57" s="20" t="s">
        <v>143</v>
      </c>
      <c r="M57" s="14">
        <v>8</v>
      </c>
      <c r="N57" s="15" t="s">
        <v>179</v>
      </c>
    </row>
    <row r="58" spans="2:15" ht="35.1" customHeight="1" x14ac:dyDescent="0.25">
      <c r="B58" s="13">
        <v>52</v>
      </c>
      <c r="C58" s="20" t="s">
        <v>69</v>
      </c>
      <c r="D58" s="141" t="s">
        <v>91</v>
      </c>
      <c r="E58" s="141"/>
      <c r="F58" s="141"/>
      <c r="G58" s="141"/>
      <c r="H58" s="20" t="s">
        <v>163</v>
      </c>
      <c r="I58" s="20" t="s">
        <v>82</v>
      </c>
      <c r="J58" s="20">
        <v>1380</v>
      </c>
      <c r="K58" s="14">
        <v>3</v>
      </c>
      <c r="L58" s="20" t="s">
        <v>155</v>
      </c>
      <c r="M58" s="14">
        <v>8</v>
      </c>
      <c r="N58" s="15" t="s">
        <v>181</v>
      </c>
    </row>
    <row r="59" spans="2:15" ht="35.1" customHeight="1" x14ac:dyDescent="0.25">
      <c r="B59" s="13">
        <v>53</v>
      </c>
      <c r="C59" s="20" t="s">
        <v>99</v>
      </c>
      <c r="D59" s="141" t="s">
        <v>91</v>
      </c>
      <c r="E59" s="141"/>
      <c r="F59" s="141"/>
      <c r="G59" s="141"/>
      <c r="H59" s="20" t="s">
        <v>163</v>
      </c>
      <c r="I59" s="20" t="s">
        <v>79</v>
      </c>
      <c r="J59" s="20">
        <v>1375</v>
      </c>
      <c r="K59" s="14">
        <v>3</v>
      </c>
      <c r="L59" s="20" t="s">
        <v>155</v>
      </c>
      <c r="M59" s="14">
        <v>8</v>
      </c>
      <c r="N59" s="15" t="s">
        <v>182</v>
      </c>
      <c r="O59" s="4"/>
    </row>
    <row r="60" spans="2:15" ht="35.1" customHeight="1" x14ac:dyDescent="0.25">
      <c r="B60" s="13">
        <v>54</v>
      </c>
      <c r="C60" s="20" t="s">
        <v>20</v>
      </c>
      <c r="D60" s="141" t="s">
        <v>71</v>
      </c>
      <c r="E60" s="141"/>
      <c r="F60" s="141"/>
      <c r="G60" s="141"/>
      <c r="H60" s="20" t="s">
        <v>162</v>
      </c>
      <c r="I60" s="20" t="s">
        <v>84</v>
      </c>
      <c r="J60" s="20">
        <v>410</v>
      </c>
      <c r="K60" s="12">
        <v>5</v>
      </c>
      <c r="L60" s="20" t="s">
        <v>147</v>
      </c>
      <c r="M60" s="12">
        <v>10</v>
      </c>
      <c r="N60" s="15" t="s">
        <v>172</v>
      </c>
    </row>
    <row r="61" spans="2:15" ht="35.1" customHeight="1" x14ac:dyDescent="0.25">
      <c r="B61" s="13">
        <v>55</v>
      </c>
      <c r="C61" s="20" t="s">
        <v>100</v>
      </c>
      <c r="D61" s="141" t="s">
        <v>91</v>
      </c>
      <c r="E61" s="141"/>
      <c r="F61" s="141"/>
      <c r="G61" s="141"/>
      <c r="H61" s="20" t="s">
        <v>163</v>
      </c>
      <c r="I61" s="20" t="s">
        <v>96</v>
      </c>
      <c r="J61" s="20">
        <v>1685</v>
      </c>
      <c r="K61" s="14">
        <v>4</v>
      </c>
      <c r="L61" s="20" t="s">
        <v>152</v>
      </c>
      <c r="M61" s="14">
        <v>3</v>
      </c>
      <c r="N61" s="15" t="s">
        <v>153</v>
      </c>
    </row>
    <row r="62" spans="2:15" ht="35.1" customHeight="1" x14ac:dyDescent="0.25">
      <c r="B62" s="13">
        <v>56</v>
      </c>
      <c r="C62" s="20" t="s">
        <v>101</v>
      </c>
      <c r="D62" s="141" t="s">
        <v>76</v>
      </c>
      <c r="E62" s="141"/>
      <c r="F62" s="141"/>
      <c r="G62" s="141"/>
      <c r="H62" s="20" t="s">
        <v>159</v>
      </c>
      <c r="I62" s="20" t="s">
        <v>19</v>
      </c>
      <c r="J62" s="20">
        <v>1940</v>
      </c>
      <c r="K62" s="14">
        <v>3</v>
      </c>
      <c r="L62" s="20" t="s">
        <v>156</v>
      </c>
      <c r="M62" s="14">
        <v>8</v>
      </c>
      <c r="N62" s="15" t="s">
        <v>183</v>
      </c>
    </row>
    <row r="63" spans="2:15" ht="35.1" customHeight="1" x14ac:dyDescent="0.25">
      <c r="B63" s="13">
        <v>57</v>
      </c>
      <c r="C63" s="20" t="s">
        <v>102</v>
      </c>
      <c r="D63" s="141" t="s">
        <v>76</v>
      </c>
      <c r="E63" s="141"/>
      <c r="F63" s="141"/>
      <c r="G63" s="141"/>
      <c r="H63" s="20" t="s">
        <v>159</v>
      </c>
      <c r="I63" s="20" t="s">
        <v>19</v>
      </c>
      <c r="J63" s="20">
        <v>2465</v>
      </c>
      <c r="K63" s="14">
        <v>3</v>
      </c>
      <c r="L63" s="20">
        <v>39000040</v>
      </c>
      <c r="M63" s="14">
        <v>8</v>
      </c>
      <c r="N63" s="15" t="s">
        <v>183</v>
      </c>
    </row>
    <row r="64" spans="2:15" ht="35.1" customHeight="1" x14ac:dyDescent="0.25">
      <c r="B64" s="13">
        <v>58</v>
      </c>
      <c r="C64" s="20" t="s">
        <v>103</v>
      </c>
      <c r="D64" s="141" t="s">
        <v>76</v>
      </c>
      <c r="E64" s="141"/>
      <c r="F64" s="141"/>
      <c r="G64" s="141"/>
      <c r="H64" s="20" t="s">
        <v>159</v>
      </c>
      <c r="I64" s="20" t="s">
        <v>88</v>
      </c>
      <c r="J64" s="20">
        <v>1945</v>
      </c>
      <c r="K64" s="14">
        <v>3</v>
      </c>
      <c r="L64" s="20" t="s">
        <v>156</v>
      </c>
      <c r="M64" s="14">
        <v>8</v>
      </c>
      <c r="N64" s="15" t="s">
        <v>184</v>
      </c>
    </row>
    <row r="65" spans="2:14" ht="35.1" customHeight="1" x14ac:dyDescent="0.25">
      <c r="B65" s="13">
        <v>59</v>
      </c>
      <c r="C65" s="20" t="s">
        <v>104</v>
      </c>
      <c r="D65" s="141" t="s">
        <v>76</v>
      </c>
      <c r="E65" s="141"/>
      <c r="F65" s="141"/>
      <c r="G65" s="141"/>
      <c r="H65" s="20" t="s">
        <v>159</v>
      </c>
      <c r="I65" s="20" t="s">
        <v>88</v>
      </c>
      <c r="J65" s="20">
        <v>2480</v>
      </c>
      <c r="K65" s="14">
        <v>8</v>
      </c>
      <c r="L65" s="15" t="s">
        <v>184</v>
      </c>
      <c r="M65" s="14">
        <v>3</v>
      </c>
      <c r="N65" s="15">
        <v>39000040</v>
      </c>
    </row>
    <row r="66" spans="2:14" ht="35.1" customHeight="1" x14ac:dyDescent="0.25">
      <c r="B66" s="13">
        <v>60</v>
      </c>
      <c r="C66" s="20" t="s">
        <v>105</v>
      </c>
      <c r="D66" s="141" t="s">
        <v>91</v>
      </c>
      <c r="E66" s="141"/>
      <c r="F66" s="141"/>
      <c r="G66" s="141"/>
      <c r="H66" s="20" t="s">
        <v>163</v>
      </c>
      <c r="I66" s="20" t="s">
        <v>19</v>
      </c>
      <c r="J66" s="20">
        <v>1685</v>
      </c>
      <c r="K66" s="14">
        <v>4</v>
      </c>
      <c r="L66" s="20" t="s">
        <v>152</v>
      </c>
      <c r="M66" s="14">
        <v>2</v>
      </c>
      <c r="N66" s="15" t="s">
        <v>153</v>
      </c>
    </row>
    <row r="67" spans="2:14" ht="35.1" customHeight="1" x14ac:dyDescent="0.25">
      <c r="B67" s="13">
        <v>61</v>
      </c>
      <c r="C67" s="20" t="s">
        <v>106</v>
      </c>
      <c r="D67" s="141" t="s">
        <v>91</v>
      </c>
      <c r="E67" s="141"/>
      <c r="F67" s="141"/>
      <c r="G67" s="141"/>
      <c r="H67" s="20" t="s">
        <v>163</v>
      </c>
      <c r="I67" s="20" t="s">
        <v>96</v>
      </c>
      <c r="J67" s="20">
        <v>1825</v>
      </c>
      <c r="K67" s="14">
        <v>2</v>
      </c>
      <c r="L67" s="20" t="s">
        <v>145</v>
      </c>
      <c r="M67" s="14">
        <v>8</v>
      </c>
      <c r="N67" s="15" t="s">
        <v>201</v>
      </c>
    </row>
    <row r="68" spans="2:14" ht="35.1" customHeight="1" x14ac:dyDescent="0.25">
      <c r="B68" s="13">
        <v>62</v>
      </c>
      <c r="C68" s="20" t="s">
        <v>107</v>
      </c>
      <c r="D68" s="141" t="s">
        <v>91</v>
      </c>
      <c r="E68" s="141"/>
      <c r="F68" s="141"/>
      <c r="G68" s="141"/>
      <c r="H68" s="20" t="s">
        <v>163</v>
      </c>
      <c r="I68" s="20" t="s">
        <v>88</v>
      </c>
      <c r="J68" s="20">
        <v>1345</v>
      </c>
      <c r="K68" s="14">
        <v>3</v>
      </c>
      <c r="L68" s="20" t="s">
        <v>143</v>
      </c>
      <c r="M68" s="14">
        <v>3</v>
      </c>
      <c r="N68" s="17" t="s">
        <v>143</v>
      </c>
    </row>
    <row r="69" spans="2:14" ht="35.1" customHeight="1" x14ac:dyDescent="0.25">
      <c r="B69" s="13">
        <v>63</v>
      </c>
      <c r="C69" s="20" t="s">
        <v>108</v>
      </c>
      <c r="D69" s="141" t="s">
        <v>91</v>
      </c>
      <c r="E69" s="141"/>
      <c r="F69" s="141"/>
      <c r="G69" s="141"/>
      <c r="H69" s="20" t="s">
        <v>163</v>
      </c>
      <c r="I69" s="20" t="s">
        <v>96</v>
      </c>
      <c r="J69" s="20">
        <v>3010</v>
      </c>
      <c r="K69" s="14">
        <v>3</v>
      </c>
      <c r="L69" s="20" t="s">
        <v>143</v>
      </c>
      <c r="M69" s="14">
        <v>3</v>
      </c>
      <c r="N69" s="17" t="s">
        <v>154</v>
      </c>
    </row>
    <row r="70" spans="2:14" ht="35.1" customHeight="1" x14ac:dyDescent="0.25">
      <c r="B70" s="13">
        <v>64</v>
      </c>
      <c r="C70" s="20" t="s">
        <v>109</v>
      </c>
      <c r="D70" s="141" t="s">
        <v>91</v>
      </c>
      <c r="E70" s="141"/>
      <c r="F70" s="141"/>
      <c r="G70" s="141"/>
      <c r="H70" s="20" t="s">
        <v>163</v>
      </c>
      <c r="I70" s="20" t="s">
        <v>81</v>
      </c>
      <c r="J70" s="20">
        <v>1865</v>
      </c>
      <c r="K70" s="14">
        <v>3.5</v>
      </c>
      <c r="L70" s="20" t="s">
        <v>154</v>
      </c>
      <c r="M70" s="14">
        <v>2</v>
      </c>
      <c r="N70" s="17" t="s">
        <v>145</v>
      </c>
    </row>
    <row r="71" spans="2:14" ht="35.1" customHeight="1" x14ac:dyDescent="0.25">
      <c r="B71" s="13">
        <v>65</v>
      </c>
      <c r="C71" s="20" t="s">
        <v>110</v>
      </c>
      <c r="D71" s="141" t="s">
        <v>91</v>
      </c>
      <c r="E71" s="141"/>
      <c r="F71" s="141"/>
      <c r="G71" s="141"/>
      <c r="H71" s="20" t="s">
        <v>163</v>
      </c>
      <c r="I71" s="20" t="s">
        <v>192</v>
      </c>
      <c r="J71" s="11">
        <v>2550</v>
      </c>
      <c r="K71" s="14">
        <v>5</v>
      </c>
      <c r="L71" s="20" t="s">
        <v>157</v>
      </c>
      <c r="M71" s="14">
        <v>2</v>
      </c>
      <c r="N71" s="15" t="s">
        <v>145</v>
      </c>
    </row>
    <row r="72" spans="2:14" ht="35.1" customHeight="1" x14ac:dyDescent="0.25">
      <c r="B72" s="13">
        <v>66</v>
      </c>
      <c r="C72" s="20" t="s">
        <v>111</v>
      </c>
      <c r="D72" s="141" t="s">
        <v>91</v>
      </c>
      <c r="E72" s="141"/>
      <c r="F72" s="141"/>
      <c r="G72" s="141"/>
      <c r="H72" s="20" t="s">
        <v>163</v>
      </c>
      <c r="I72" s="20" t="s">
        <v>113</v>
      </c>
      <c r="J72" s="20">
        <v>455</v>
      </c>
      <c r="K72" s="14">
        <v>3</v>
      </c>
      <c r="L72" s="20" t="s">
        <v>143</v>
      </c>
      <c r="M72" s="14">
        <v>8</v>
      </c>
      <c r="N72" s="15" t="s">
        <v>202</v>
      </c>
    </row>
    <row r="73" spans="2:14" ht="35.1" customHeight="1" x14ac:dyDescent="0.25">
      <c r="B73" s="13">
        <v>67</v>
      </c>
      <c r="C73" s="20" t="s">
        <v>112</v>
      </c>
      <c r="D73" s="141" t="s">
        <v>91</v>
      </c>
      <c r="E73" s="141"/>
      <c r="F73" s="141"/>
      <c r="G73" s="141"/>
      <c r="H73" s="20" t="s">
        <v>163</v>
      </c>
      <c r="I73" s="20" t="s">
        <v>96</v>
      </c>
      <c r="J73" s="11">
        <v>3890</v>
      </c>
      <c r="K73" s="14">
        <v>8</v>
      </c>
      <c r="L73" s="15" t="s">
        <v>201</v>
      </c>
      <c r="M73" s="14">
        <v>5</v>
      </c>
      <c r="N73" s="15" t="s">
        <v>157</v>
      </c>
    </row>
    <row r="74" spans="2:14" ht="35.1" customHeight="1" x14ac:dyDescent="0.25">
      <c r="B74" s="13">
        <v>68</v>
      </c>
      <c r="C74" s="20" t="s">
        <v>114</v>
      </c>
      <c r="D74" s="141" t="s">
        <v>91</v>
      </c>
      <c r="E74" s="141"/>
      <c r="F74" s="141"/>
      <c r="G74" s="141"/>
      <c r="H74" s="20" t="s">
        <v>163</v>
      </c>
      <c r="I74" s="20" t="s">
        <v>115</v>
      </c>
      <c r="J74" s="20">
        <v>770</v>
      </c>
      <c r="K74" s="14">
        <v>3</v>
      </c>
      <c r="L74" s="20" t="s">
        <v>143</v>
      </c>
      <c r="M74" s="14">
        <v>2</v>
      </c>
      <c r="N74" s="15" t="s">
        <v>145</v>
      </c>
    </row>
    <row r="75" spans="2:14" ht="35.1" customHeight="1" x14ac:dyDescent="0.25">
      <c r="B75" s="13">
        <v>69</v>
      </c>
      <c r="C75" s="20" t="s">
        <v>116</v>
      </c>
      <c r="D75" s="141" t="s">
        <v>91</v>
      </c>
      <c r="E75" s="141"/>
      <c r="F75" s="141"/>
      <c r="G75" s="141"/>
      <c r="H75" s="20" t="s">
        <v>163</v>
      </c>
      <c r="I75" s="20" t="s">
        <v>85</v>
      </c>
      <c r="J75" s="20">
        <v>770</v>
      </c>
      <c r="K75" s="14">
        <v>2</v>
      </c>
      <c r="L75" s="20" t="s">
        <v>145</v>
      </c>
      <c r="M75" s="14">
        <v>3</v>
      </c>
      <c r="N75" s="15" t="s">
        <v>143</v>
      </c>
    </row>
    <row r="76" spans="2:14" ht="35.1" customHeight="1" x14ac:dyDescent="0.25">
      <c r="B76" s="13">
        <v>70</v>
      </c>
      <c r="C76" s="20" t="s">
        <v>117</v>
      </c>
      <c r="D76" s="141" t="s">
        <v>91</v>
      </c>
      <c r="E76" s="141"/>
      <c r="F76" s="141"/>
      <c r="G76" s="141"/>
      <c r="H76" s="20" t="s">
        <v>163</v>
      </c>
      <c r="I76" s="20" t="s">
        <v>122</v>
      </c>
      <c r="J76" s="20">
        <v>1535</v>
      </c>
      <c r="K76" s="14">
        <v>3</v>
      </c>
      <c r="L76" s="20" t="s">
        <v>143</v>
      </c>
      <c r="M76" s="14">
        <v>2</v>
      </c>
      <c r="N76" s="15" t="s">
        <v>145</v>
      </c>
    </row>
    <row r="77" spans="2:14" ht="35.1" customHeight="1" x14ac:dyDescent="0.25">
      <c r="B77" s="13">
        <v>71</v>
      </c>
      <c r="C77" s="20" t="s">
        <v>118</v>
      </c>
      <c r="D77" s="141" t="s">
        <v>91</v>
      </c>
      <c r="E77" s="141"/>
      <c r="F77" s="141"/>
      <c r="G77" s="141"/>
      <c r="H77" s="20" t="s">
        <v>163</v>
      </c>
      <c r="I77" s="20" t="s">
        <v>75</v>
      </c>
      <c r="J77" s="20">
        <v>1535</v>
      </c>
      <c r="K77" s="14">
        <v>2</v>
      </c>
      <c r="L77" s="20" t="s">
        <v>145</v>
      </c>
      <c r="M77" s="14">
        <v>3</v>
      </c>
      <c r="N77" s="15" t="s">
        <v>143</v>
      </c>
    </row>
    <row r="78" spans="2:14" ht="35.1" customHeight="1" x14ac:dyDescent="0.25">
      <c r="B78" s="13">
        <v>72</v>
      </c>
      <c r="C78" s="20" t="s">
        <v>119</v>
      </c>
      <c r="D78" s="141" t="s">
        <v>91</v>
      </c>
      <c r="E78" s="141"/>
      <c r="F78" s="141"/>
      <c r="G78" s="141"/>
      <c r="H78" s="20" t="s">
        <v>163</v>
      </c>
      <c r="I78" s="20" t="s">
        <v>88</v>
      </c>
      <c r="J78" s="20">
        <v>1855</v>
      </c>
      <c r="K78" s="14">
        <v>3</v>
      </c>
      <c r="L78" s="20" t="s">
        <v>143</v>
      </c>
      <c r="M78" s="14">
        <v>2</v>
      </c>
      <c r="N78" s="15" t="s">
        <v>145</v>
      </c>
    </row>
    <row r="79" spans="2:14" ht="35.1" customHeight="1" x14ac:dyDescent="0.25">
      <c r="B79" s="13">
        <v>73</v>
      </c>
      <c r="C79" s="20" t="s">
        <v>120</v>
      </c>
      <c r="D79" s="141" t="s">
        <v>91</v>
      </c>
      <c r="E79" s="141"/>
      <c r="F79" s="141"/>
      <c r="G79" s="141"/>
      <c r="H79" s="20" t="s">
        <v>163</v>
      </c>
      <c r="I79" s="20" t="s">
        <v>96</v>
      </c>
      <c r="J79" s="20">
        <v>1855</v>
      </c>
      <c r="K79" s="14">
        <v>2</v>
      </c>
      <c r="L79" s="20" t="s">
        <v>145</v>
      </c>
      <c r="M79" s="14">
        <v>3</v>
      </c>
      <c r="N79" s="15" t="s">
        <v>143</v>
      </c>
    </row>
    <row r="80" spans="2:14" ht="35.1" customHeight="1" x14ac:dyDescent="0.25">
      <c r="B80" s="13">
        <v>74</v>
      </c>
      <c r="C80" s="20" t="s">
        <v>121</v>
      </c>
      <c r="D80" s="141" t="s">
        <v>91</v>
      </c>
      <c r="E80" s="141"/>
      <c r="F80" s="141"/>
      <c r="G80" s="141"/>
      <c r="H80" s="20" t="s">
        <v>163</v>
      </c>
      <c r="I80" s="20" t="s">
        <v>78</v>
      </c>
      <c r="J80" s="20">
        <v>1175</v>
      </c>
      <c r="K80" s="14">
        <v>2</v>
      </c>
      <c r="L80" s="16" t="s">
        <v>145</v>
      </c>
      <c r="M80" s="14">
        <v>3</v>
      </c>
      <c r="N80" s="15" t="s">
        <v>143</v>
      </c>
    </row>
    <row r="81" spans="1:15" ht="35.1" customHeight="1" x14ac:dyDescent="0.25">
      <c r="B81" s="13">
        <v>75</v>
      </c>
      <c r="C81" s="20" t="s">
        <v>123</v>
      </c>
      <c r="D81" s="141" t="s">
        <v>91</v>
      </c>
      <c r="E81" s="141"/>
      <c r="F81" s="141"/>
      <c r="G81" s="141"/>
      <c r="H81" s="20" t="s">
        <v>163</v>
      </c>
      <c r="I81" s="16" t="s">
        <v>173</v>
      </c>
      <c r="J81" s="20">
        <v>125</v>
      </c>
      <c r="K81" s="14">
        <v>8</v>
      </c>
      <c r="L81" s="16" t="s">
        <v>186</v>
      </c>
      <c r="M81" s="14">
        <v>3</v>
      </c>
      <c r="N81" s="15" t="s">
        <v>143</v>
      </c>
    </row>
    <row r="82" spans="1:15" ht="35.1" customHeight="1" x14ac:dyDescent="0.25">
      <c r="B82" s="13">
        <v>76</v>
      </c>
      <c r="C82" s="20" t="s">
        <v>124</v>
      </c>
      <c r="D82" s="141" t="s">
        <v>91</v>
      </c>
      <c r="E82" s="141"/>
      <c r="F82" s="141"/>
      <c r="G82" s="141"/>
      <c r="H82" s="20" t="s">
        <v>163</v>
      </c>
      <c r="I82" s="16" t="s">
        <v>173</v>
      </c>
      <c r="J82" s="20">
        <v>1090</v>
      </c>
      <c r="K82" s="14">
        <v>2</v>
      </c>
      <c r="L82" s="16" t="s">
        <v>145</v>
      </c>
      <c r="M82" s="14">
        <v>8</v>
      </c>
      <c r="N82" s="15" t="s">
        <v>185</v>
      </c>
    </row>
    <row r="83" spans="1:15" ht="35.1" customHeight="1" x14ac:dyDescent="0.25">
      <c r="B83" s="13">
        <v>77</v>
      </c>
      <c r="C83" s="20" t="s">
        <v>125</v>
      </c>
      <c r="D83" s="141" t="s">
        <v>91</v>
      </c>
      <c r="E83" s="141"/>
      <c r="F83" s="141"/>
      <c r="G83" s="141"/>
      <c r="H83" s="20" t="s">
        <v>163</v>
      </c>
      <c r="I83" s="20" t="s">
        <v>81</v>
      </c>
      <c r="J83" s="20">
        <v>1175</v>
      </c>
      <c r="K83" s="14">
        <v>2</v>
      </c>
      <c r="L83" s="16" t="s">
        <v>145</v>
      </c>
      <c r="M83" s="14">
        <v>3.5</v>
      </c>
      <c r="N83" s="15" t="s">
        <v>143</v>
      </c>
    </row>
    <row r="84" spans="1:15" ht="35.1" customHeight="1" x14ac:dyDescent="0.25">
      <c r="B84" s="13">
        <v>78</v>
      </c>
      <c r="C84" s="20" t="s">
        <v>126</v>
      </c>
      <c r="D84" s="141" t="s">
        <v>91</v>
      </c>
      <c r="E84" s="141"/>
      <c r="F84" s="141"/>
      <c r="G84" s="141"/>
      <c r="H84" s="20" t="s">
        <v>163</v>
      </c>
      <c r="I84" s="20" t="s">
        <v>90</v>
      </c>
      <c r="J84" s="20">
        <v>1030</v>
      </c>
      <c r="K84" s="14">
        <v>4</v>
      </c>
      <c r="L84" s="16" t="s">
        <v>152</v>
      </c>
      <c r="M84" s="14">
        <v>2</v>
      </c>
      <c r="N84" s="15" t="s">
        <v>145</v>
      </c>
    </row>
    <row r="85" spans="1:15" ht="35.1" customHeight="1" x14ac:dyDescent="0.25">
      <c r="B85" s="13">
        <v>79</v>
      </c>
      <c r="C85" s="20" t="s">
        <v>127</v>
      </c>
      <c r="D85" s="141" t="s">
        <v>91</v>
      </c>
      <c r="E85" s="141"/>
      <c r="F85" s="141"/>
      <c r="G85" s="141"/>
      <c r="H85" s="20" t="s">
        <v>163</v>
      </c>
      <c r="I85" s="20" t="s">
        <v>83</v>
      </c>
      <c r="J85" s="20">
        <v>1020</v>
      </c>
      <c r="K85" s="14">
        <v>4</v>
      </c>
      <c r="L85" s="20" t="s">
        <v>152</v>
      </c>
      <c r="M85" s="14">
        <v>2</v>
      </c>
      <c r="N85" s="15" t="s">
        <v>145</v>
      </c>
    </row>
    <row r="86" spans="1:15" ht="35.1" customHeight="1" x14ac:dyDescent="0.25">
      <c r="B86" s="13">
        <v>80</v>
      </c>
      <c r="C86" s="20" t="s">
        <v>128</v>
      </c>
      <c r="D86" s="141" t="s">
        <v>91</v>
      </c>
      <c r="E86" s="141"/>
      <c r="F86" s="141"/>
      <c r="G86" s="141"/>
      <c r="H86" s="20" t="s">
        <v>163</v>
      </c>
      <c r="I86" s="20" t="s">
        <v>94</v>
      </c>
      <c r="J86" s="20">
        <v>1030</v>
      </c>
      <c r="K86" s="14">
        <v>2</v>
      </c>
      <c r="L86" s="16" t="s">
        <v>145</v>
      </c>
      <c r="M86" s="14">
        <v>4</v>
      </c>
      <c r="N86" s="15" t="s">
        <v>152</v>
      </c>
    </row>
    <row r="87" spans="1:15" ht="35.1" customHeight="1" x14ac:dyDescent="0.25">
      <c r="B87" s="13">
        <v>81</v>
      </c>
      <c r="C87" s="20" t="s">
        <v>129</v>
      </c>
      <c r="D87" s="141" t="s">
        <v>91</v>
      </c>
      <c r="E87" s="141"/>
      <c r="F87" s="141"/>
      <c r="G87" s="141"/>
      <c r="H87" s="20" t="s">
        <v>163</v>
      </c>
      <c r="I87" s="20" t="s">
        <v>95</v>
      </c>
      <c r="J87" s="20">
        <v>1030</v>
      </c>
      <c r="K87" s="14">
        <v>4</v>
      </c>
      <c r="L87" s="16" t="s">
        <v>152</v>
      </c>
      <c r="M87" s="14">
        <v>2</v>
      </c>
      <c r="N87" s="15" t="s">
        <v>145</v>
      </c>
    </row>
    <row r="88" spans="1:15" ht="35.1" customHeight="1" x14ac:dyDescent="0.25">
      <c r="B88" s="13">
        <v>82</v>
      </c>
      <c r="C88" s="20" t="s">
        <v>130</v>
      </c>
      <c r="D88" s="141" t="s">
        <v>91</v>
      </c>
      <c r="E88" s="141"/>
      <c r="F88" s="141"/>
      <c r="G88" s="141"/>
      <c r="H88" s="20" t="s">
        <v>163</v>
      </c>
      <c r="I88" s="20" t="s">
        <v>96</v>
      </c>
      <c r="J88" s="20">
        <v>550</v>
      </c>
      <c r="K88" s="14">
        <v>2.5</v>
      </c>
      <c r="L88" s="20" t="s">
        <v>145</v>
      </c>
      <c r="M88" s="14">
        <v>8</v>
      </c>
      <c r="N88" s="15" t="s">
        <v>187</v>
      </c>
    </row>
    <row r="89" spans="1:15" ht="35.1" customHeight="1" x14ac:dyDescent="0.25">
      <c r="A89" s="4"/>
      <c r="B89" s="13">
        <v>83</v>
      </c>
      <c r="C89" s="20" t="s">
        <v>21</v>
      </c>
      <c r="D89" s="141" t="s">
        <v>91</v>
      </c>
      <c r="E89" s="141"/>
      <c r="F89" s="141"/>
      <c r="G89" s="141"/>
      <c r="H89" s="20" t="s">
        <v>163</v>
      </c>
      <c r="I89" s="20" t="s">
        <v>19</v>
      </c>
      <c r="J89" s="20">
        <v>1000</v>
      </c>
      <c r="K89" s="14">
        <v>4</v>
      </c>
      <c r="L89" s="20" t="s">
        <v>152</v>
      </c>
      <c r="M89" s="14">
        <v>2</v>
      </c>
      <c r="N89" s="15" t="s">
        <v>145</v>
      </c>
    </row>
    <row r="90" spans="1:15" ht="35.1" customHeight="1" x14ac:dyDescent="0.25">
      <c r="B90" s="13">
        <v>84</v>
      </c>
      <c r="C90" s="20" t="s">
        <v>22</v>
      </c>
      <c r="D90" s="141" t="s">
        <v>91</v>
      </c>
      <c r="E90" s="141"/>
      <c r="F90" s="141"/>
      <c r="G90" s="141"/>
      <c r="H90" s="20" t="s">
        <v>163</v>
      </c>
      <c r="I90" s="20" t="s">
        <v>96</v>
      </c>
      <c r="J90" s="20">
        <v>450</v>
      </c>
      <c r="K90" s="14">
        <v>4</v>
      </c>
      <c r="L90" s="16" t="s">
        <v>152</v>
      </c>
      <c r="M90" s="14">
        <v>8</v>
      </c>
      <c r="N90" s="15" t="s">
        <v>188</v>
      </c>
    </row>
    <row r="91" spans="1:15" ht="35.1" customHeight="1" x14ac:dyDescent="0.25">
      <c r="B91" s="13">
        <v>85</v>
      </c>
      <c r="C91" s="20" t="s">
        <v>23</v>
      </c>
      <c r="D91" s="141" t="s">
        <v>91</v>
      </c>
      <c r="E91" s="141"/>
      <c r="F91" s="141"/>
      <c r="G91" s="141"/>
      <c r="H91" s="20" t="s">
        <v>163</v>
      </c>
      <c r="I91" s="20" t="s">
        <v>80</v>
      </c>
      <c r="J91" s="20">
        <v>1345</v>
      </c>
      <c r="K91" s="14">
        <v>3</v>
      </c>
      <c r="L91" s="16" t="s">
        <v>143</v>
      </c>
      <c r="M91" s="14">
        <v>3</v>
      </c>
      <c r="N91" s="15" t="s">
        <v>143</v>
      </c>
    </row>
    <row r="92" spans="1:15" ht="35.1" customHeight="1" x14ac:dyDescent="0.25">
      <c r="B92" s="13">
        <v>86</v>
      </c>
      <c r="C92" s="20" t="s">
        <v>24</v>
      </c>
      <c r="D92" s="141" t="s">
        <v>91</v>
      </c>
      <c r="E92" s="141"/>
      <c r="F92" s="141"/>
      <c r="G92" s="141"/>
      <c r="H92" s="20" t="s">
        <v>163</v>
      </c>
      <c r="I92" s="20" t="s">
        <v>95</v>
      </c>
      <c r="J92" s="20">
        <v>1345</v>
      </c>
      <c r="K92" s="14">
        <v>3</v>
      </c>
      <c r="L92" s="20" t="s">
        <v>143</v>
      </c>
      <c r="M92" s="14">
        <v>3</v>
      </c>
      <c r="N92" s="17" t="s">
        <v>143</v>
      </c>
    </row>
    <row r="93" spans="1:15" ht="35.1" customHeight="1" x14ac:dyDescent="0.25">
      <c r="B93" s="13">
        <v>87</v>
      </c>
      <c r="C93" s="20" t="s">
        <v>131</v>
      </c>
      <c r="D93" s="141" t="s">
        <v>91</v>
      </c>
      <c r="E93" s="141"/>
      <c r="F93" s="141"/>
      <c r="G93" s="141"/>
      <c r="H93" s="20" t="s">
        <v>163</v>
      </c>
      <c r="I93" s="20" t="s">
        <v>82</v>
      </c>
      <c r="J93" s="20">
        <v>1345</v>
      </c>
      <c r="K93" s="14">
        <v>3</v>
      </c>
      <c r="L93" s="20" t="s">
        <v>143</v>
      </c>
      <c r="M93" s="14">
        <v>3</v>
      </c>
      <c r="N93" s="15" t="s">
        <v>143</v>
      </c>
    </row>
    <row r="94" spans="1:15" ht="35.1" customHeight="1" x14ac:dyDescent="0.25">
      <c r="B94" s="13">
        <v>88</v>
      </c>
      <c r="C94" s="20" t="s">
        <v>132</v>
      </c>
      <c r="D94" s="141" t="s">
        <v>91</v>
      </c>
      <c r="E94" s="141"/>
      <c r="F94" s="141"/>
      <c r="G94" s="141"/>
      <c r="H94" s="20" t="s">
        <v>163</v>
      </c>
      <c r="I94" s="20" t="s">
        <v>73</v>
      </c>
      <c r="J94" s="20">
        <v>1645</v>
      </c>
      <c r="K94" s="14">
        <v>3</v>
      </c>
      <c r="L94" s="20" t="s">
        <v>148</v>
      </c>
      <c r="M94" s="14">
        <v>3</v>
      </c>
      <c r="N94" s="15" t="s">
        <v>148</v>
      </c>
      <c r="O94" s="4"/>
    </row>
    <row r="95" spans="1:15" ht="35.1" customHeight="1" x14ac:dyDescent="0.25">
      <c r="A95" s="4"/>
      <c r="B95" s="13">
        <v>89</v>
      </c>
      <c r="C95" s="20" t="s">
        <v>133</v>
      </c>
      <c r="D95" s="141" t="s">
        <v>91</v>
      </c>
      <c r="E95" s="141"/>
      <c r="F95" s="141"/>
      <c r="G95" s="141"/>
      <c r="H95" s="20" t="s">
        <v>163</v>
      </c>
      <c r="I95" s="20" t="s">
        <v>193</v>
      </c>
      <c r="J95" s="20">
        <v>2055</v>
      </c>
      <c r="K95" s="14">
        <v>3</v>
      </c>
      <c r="L95" s="20" t="s">
        <v>148</v>
      </c>
      <c r="M95" s="14">
        <v>3</v>
      </c>
      <c r="N95" s="15" t="s">
        <v>148</v>
      </c>
      <c r="O95" s="4"/>
    </row>
    <row r="96" spans="1:15" ht="35.1" customHeight="1" x14ac:dyDescent="0.25">
      <c r="B96" s="13">
        <v>90</v>
      </c>
      <c r="C96" s="20" t="s">
        <v>134</v>
      </c>
      <c r="D96" s="141" t="s">
        <v>91</v>
      </c>
      <c r="E96" s="141"/>
      <c r="F96" s="141"/>
      <c r="G96" s="141"/>
      <c r="H96" s="20" t="s">
        <v>163</v>
      </c>
      <c r="I96" s="20" t="s">
        <v>82</v>
      </c>
      <c r="J96" s="20">
        <v>2200</v>
      </c>
      <c r="K96" s="14">
        <v>8</v>
      </c>
      <c r="L96" s="15" t="s">
        <v>181</v>
      </c>
      <c r="M96" s="14">
        <v>3</v>
      </c>
      <c r="N96" s="15" t="s">
        <v>143</v>
      </c>
    </row>
    <row r="97" spans="1:15" ht="35.1" customHeight="1" x14ac:dyDescent="0.25">
      <c r="B97" s="13">
        <v>91</v>
      </c>
      <c r="C97" s="20" t="s">
        <v>135</v>
      </c>
      <c r="D97" s="141" t="s">
        <v>91</v>
      </c>
      <c r="E97" s="141"/>
      <c r="F97" s="141"/>
      <c r="G97" s="141"/>
      <c r="H97" s="20" t="s">
        <v>163</v>
      </c>
      <c r="I97" s="20" t="s">
        <v>79</v>
      </c>
      <c r="J97" s="20">
        <v>2150</v>
      </c>
      <c r="K97" s="14">
        <v>8</v>
      </c>
      <c r="L97" s="15" t="s">
        <v>168</v>
      </c>
      <c r="M97" s="14">
        <v>3</v>
      </c>
      <c r="N97" s="17" t="s">
        <v>143</v>
      </c>
    </row>
    <row r="98" spans="1:15" ht="35.1" customHeight="1" x14ac:dyDescent="0.25">
      <c r="B98" s="13">
        <v>92</v>
      </c>
      <c r="C98" s="20" t="s">
        <v>136</v>
      </c>
      <c r="D98" s="141" t="s">
        <v>71</v>
      </c>
      <c r="E98" s="141"/>
      <c r="F98" s="141"/>
      <c r="G98" s="141"/>
      <c r="H98" s="20" t="s">
        <v>162</v>
      </c>
      <c r="I98" s="20" t="s">
        <v>84</v>
      </c>
      <c r="J98" s="20">
        <v>1725</v>
      </c>
      <c r="K98" s="12">
        <v>10</v>
      </c>
      <c r="L98" s="16" t="s">
        <v>190</v>
      </c>
      <c r="M98" s="14">
        <v>4</v>
      </c>
      <c r="N98" s="15" t="s">
        <v>158</v>
      </c>
    </row>
    <row r="99" spans="1:15" ht="35.1" customHeight="1" x14ac:dyDescent="0.25">
      <c r="B99" s="13">
        <v>93</v>
      </c>
      <c r="C99" s="20" t="s">
        <v>137</v>
      </c>
      <c r="D99" s="141" t="s">
        <v>91</v>
      </c>
      <c r="E99" s="141"/>
      <c r="F99" s="141"/>
      <c r="G99" s="141"/>
      <c r="H99" s="20" t="s">
        <v>163</v>
      </c>
      <c r="I99" s="20" t="s">
        <v>73</v>
      </c>
      <c r="J99" s="20">
        <v>895</v>
      </c>
      <c r="K99" s="14">
        <v>3</v>
      </c>
      <c r="L99" s="20" t="s">
        <v>148</v>
      </c>
      <c r="M99" s="14">
        <v>3</v>
      </c>
      <c r="N99" s="15" t="s">
        <v>148</v>
      </c>
      <c r="O99" s="4"/>
    </row>
    <row r="100" spans="1:15" ht="35.1" customHeight="1" x14ac:dyDescent="0.25">
      <c r="B100" s="13">
        <v>94</v>
      </c>
      <c r="C100" s="20" t="s">
        <v>138</v>
      </c>
      <c r="D100" s="141" t="s">
        <v>91</v>
      </c>
      <c r="E100" s="141"/>
      <c r="F100" s="141"/>
      <c r="G100" s="141"/>
      <c r="H100" s="20" t="s">
        <v>163</v>
      </c>
      <c r="I100" s="20" t="s">
        <v>192</v>
      </c>
      <c r="J100" s="20">
        <v>4525</v>
      </c>
      <c r="K100" s="14">
        <v>3</v>
      </c>
      <c r="L100" s="20" t="s">
        <v>148</v>
      </c>
      <c r="M100" s="14">
        <v>3</v>
      </c>
      <c r="N100" s="15" t="s">
        <v>148</v>
      </c>
      <c r="O100" s="4"/>
    </row>
    <row r="101" spans="1:15" ht="35.1" customHeight="1" x14ac:dyDescent="0.25">
      <c r="A101" s="4"/>
      <c r="B101" s="13">
        <v>95</v>
      </c>
      <c r="C101" s="20" t="s">
        <v>139</v>
      </c>
      <c r="D101" s="141" t="s">
        <v>91</v>
      </c>
      <c r="E101" s="141"/>
      <c r="F101" s="141"/>
      <c r="G101" s="141"/>
      <c r="H101" s="20" t="s">
        <v>163</v>
      </c>
      <c r="I101" s="20" t="s">
        <v>73</v>
      </c>
      <c r="J101" s="20">
        <v>875</v>
      </c>
      <c r="K101" s="14">
        <v>3</v>
      </c>
      <c r="L101" s="20" t="s">
        <v>148</v>
      </c>
      <c r="M101" s="14">
        <v>3</v>
      </c>
      <c r="N101" s="15" t="s">
        <v>148</v>
      </c>
      <c r="O101" s="4"/>
    </row>
    <row r="102" spans="1:15" ht="35.1" customHeight="1" x14ac:dyDescent="0.25">
      <c r="B102" s="13">
        <v>96</v>
      </c>
      <c r="C102" s="20" t="s">
        <v>140</v>
      </c>
      <c r="D102" s="141" t="s">
        <v>91</v>
      </c>
      <c r="E102" s="141"/>
      <c r="F102" s="141"/>
      <c r="G102" s="141"/>
      <c r="H102" s="20" t="s">
        <v>163</v>
      </c>
      <c r="I102" s="20" t="s">
        <v>193</v>
      </c>
      <c r="J102" s="20">
        <v>3440</v>
      </c>
      <c r="K102" s="14">
        <v>3</v>
      </c>
      <c r="L102" s="20" t="s">
        <v>148</v>
      </c>
      <c r="M102" s="14">
        <v>3</v>
      </c>
      <c r="N102" s="15" t="s">
        <v>145</v>
      </c>
      <c r="O102" s="4"/>
    </row>
    <row r="103" spans="1:15" ht="15.75" customHeight="1" x14ac:dyDescent="0.25">
      <c r="B103" s="149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1"/>
    </row>
    <row r="104" spans="1:15" ht="22.5" customHeight="1" x14ac:dyDescent="0.3">
      <c r="B104" s="142" t="s">
        <v>205</v>
      </c>
      <c r="C104" s="143"/>
      <c r="D104" s="143" t="s">
        <v>203</v>
      </c>
      <c r="E104" s="143"/>
      <c r="F104" s="143"/>
      <c r="G104" s="143"/>
      <c r="H104" s="143"/>
      <c r="I104" s="143"/>
      <c r="J104" s="143"/>
      <c r="K104" s="143"/>
      <c r="L104" s="143"/>
      <c r="M104" s="143" t="s">
        <v>206</v>
      </c>
      <c r="N104" s="145"/>
    </row>
    <row r="105" spans="1:15" ht="22.5" customHeight="1" x14ac:dyDescent="0.25">
      <c r="B105" s="179">
        <v>0</v>
      </c>
      <c r="C105" s="180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8"/>
    </row>
    <row r="106" spans="1:15" ht="22.5" customHeight="1" x14ac:dyDescent="0.25">
      <c r="B106" s="177"/>
      <c r="C106" s="178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8"/>
    </row>
    <row r="107" spans="1:15" ht="22.5" customHeight="1" x14ac:dyDescent="0.25">
      <c r="B107" s="177"/>
      <c r="C107" s="178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8"/>
    </row>
    <row r="108" spans="1:15" ht="32.25" customHeight="1" thickBot="1" x14ac:dyDescent="0.3">
      <c r="B108" s="152" t="s">
        <v>15</v>
      </c>
      <c r="C108" s="153"/>
      <c r="D108" s="153"/>
      <c r="E108" s="153"/>
      <c r="F108" s="153"/>
      <c r="G108" s="153"/>
      <c r="H108" s="154"/>
      <c r="I108" s="155" t="s">
        <v>16</v>
      </c>
      <c r="J108" s="153"/>
      <c r="K108" s="154"/>
      <c r="L108" s="155" t="s">
        <v>17</v>
      </c>
      <c r="M108" s="153"/>
      <c r="N108" s="156"/>
    </row>
    <row r="109" spans="1:15" ht="15.75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</sheetData>
  <mergeCells count="124">
    <mergeCell ref="B107:C107"/>
    <mergeCell ref="D107:L107"/>
    <mergeCell ref="M107:N107"/>
    <mergeCell ref="B108:H108"/>
    <mergeCell ref="I108:K108"/>
    <mergeCell ref="L108:N108"/>
    <mergeCell ref="B105:C105"/>
    <mergeCell ref="D105:L105"/>
    <mergeCell ref="M105:N105"/>
    <mergeCell ref="B106:C106"/>
    <mergeCell ref="D106:L106"/>
    <mergeCell ref="M106:N106"/>
    <mergeCell ref="D99:G99"/>
    <mergeCell ref="D100:G100"/>
    <mergeCell ref="D101:G101"/>
    <mergeCell ref="D102:G102"/>
    <mergeCell ref="B103:N103"/>
    <mergeCell ref="B104:C104"/>
    <mergeCell ref="D104:L104"/>
    <mergeCell ref="M104:N104"/>
    <mergeCell ref="D93:G93"/>
    <mergeCell ref="D94:G94"/>
    <mergeCell ref="D95:G95"/>
    <mergeCell ref="D96:G96"/>
    <mergeCell ref="D97:G97"/>
    <mergeCell ref="D98:G98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27:G27"/>
    <mergeCell ref="D28:G28"/>
    <mergeCell ref="D29:G29"/>
    <mergeCell ref="D30:G30"/>
    <mergeCell ref="D31:G31"/>
    <mergeCell ref="D32:G32"/>
    <mergeCell ref="D21:G21"/>
    <mergeCell ref="D22:G22"/>
    <mergeCell ref="D23:G23"/>
    <mergeCell ref="D24:G24"/>
    <mergeCell ref="D25:G25"/>
    <mergeCell ref="D26:G26"/>
    <mergeCell ref="D15:G15"/>
    <mergeCell ref="D16:G16"/>
    <mergeCell ref="D17:G17"/>
    <mergeCell ref="D18:G18"/>
    <mergeCell ref="D19:G19"/>
    <mergeCell ref="D20:G20"/>
    <mergeCell ref="D9:G9"/>
    <mergeCell ref="D10:G10"/>
    <mergeCell ref="D11:G11"/>
    <mergeCell ref="D12:G12"/>
    <mergeCell ref="D13:G13"/>
    <mergeCell ref="D14:G14"/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37" orientation="landscape" r:id="rId1"/>
  <headerFooter scaleWithDoc="0" alignWithMargins="0">
    <firstFooter>&amp;RPage :1 of 2</firstFooter>
  </headerFooter>
  <rowBreaks count="1" manualBreakCount="1">
    <brk id="96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09"/>
  <sheetViews>
    <sheetView view="pageBreakPreview" topLeftCell="A88" zoomScale="70" zoomScaleNormal="70" zoomScaleSheetLayoutView="70" workbookViewId="0">
      <selection activeCell="J4" sqref="J4"/>
    </sheetView>
  </sheetViews>
  <sheetFormatPr defaultRowHeight="15" x14ac:dyDescent="0.25"/>
  <cols>
    <col min="1" max="1" width="1" customWidth="1"/>
    <col min="2" max="2" width="6.42578125" customWidth="1"/>
    <col min="3" max="3" width="8.42578125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25">
      <c r="B1" s="117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1:14" ht="28.35" customHeight="1" x14ac:dyDescent="0.25">
      <c r="B2" s="120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2"/>
    </row>
    <row r="3" spans="1:14" ht="15.95" customHeight="1" x14ac:dyDescent="0.25">
      <c r="B3" s="123" t="s">
        <v>2</v>
      </c>
      <c r="C3" s="124"/>
      <c r="D3" s="124"/>
      <c r="E3" s="124"/>
      <c r="F3" s="124"/>
      <c r="G3" s="124"/>
      <c r="H3" s="10" t="s">
        <v>161</v>
      </c>
      <c r="I3" s="8" t="s">
        <v>194</v>
      </c>
      <c r="J3" s="18" t="s">
        <v>204</v>
      </c>
      <c r="K3" s="125" t="s">
        <v>195</v>
      </c>
      <c r="L3" s="126"/>
      <c r="M3" s="125" t="s">
        <v>196</v>
      </c>
      <c r="N3" s="127"/>
    </row>
    <row r="4" spans="1:14" ht="21" customHeight="1" x14ac:dyDescent="0.25">
      <c r="B4" s="123" t="s">
        <v>3</v>
      </c>
      <c r="C4" s="124"/>
      <c r="D4" s="124"/>
      <c r="E4" s="124"/>
      <c r="F4" s="124"/>
      <c r="G4" s="124"/>
      <c r="H4" s="18" t="s">
        <v>4</v>
      </c>
      <c r="I4" s="9" t="s">
        <v>197</v>
      </c>
      <c r="J4" s="18">
        <v>1</v>
      </c>
      <c r="K4" s="128" t="s">
        <v>198</v>
      </c>
      <c r="L4" s="129"/>
      <c r="M4" s="124" t="s">
        <v>200</v>
      </c>
      <c r="N4" s="130"/>
    </row>
    <row r="5" spans="1:14" ht="21" customHeight="1" x14ac:dyDescent="0.25">
      <c r="B5" s="123" t="s">
        <v>5</v>
      </c>
      <c r="C5" s="124"/>
      <c r="D5" s="124"/>
      <c r="E5" s="124"/>
      <c r="F5" s="124"/>
      <c r="G5" s="124"/>
      <c r="H5" s="18" t="s">
        <v>18</v>
      </c>
      <c r="I5" s="9" t="s">
        <v>199</v>
      </c>
      <c r="J5" s="21">
        <v>45812</v>
      </c>
      <c r="K5" s="136" t="s">
        <v>6</v>
      </c>
      <c r="L5" s="137"/>
      <c r="M5" s="138" t="s">
        <v>7</v>
      </c>
      <c r="N5" s="139"/>
    </row>
    <row r="6" spans="1:14" ht="56.25" customHeight="1" x14ac:dyDescent="0.25">
      <c r="B6" s="7" t="s">
        <v>160</v>
      </c>
      <c r="C6" s="5" t="s">
        <v>8</v>
      </c>
      <c r="D6" s="140" t="s">
        <v>9</v>
      </c>
      <c r="E6" s="140"/>
      <c r="F6" s="140"/>
      <c r="G6" s="140"/>
      <c r="H6" s="2" t="s">
        <v>10</v>
      </c>
      <c r="I6" s="19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13">
        <v>1</v>
      </c>
      <c r="C7" s="20" t="s">
        <v>25</v>
      </c>
      <c r="D7" s="141" t="s">
        <v>71</v>
      </c>
      <c r="E7" s="141"/>
      <c r="F7" s="141"/>
      <c r="G7" s="141"/>
      <c r="H7" s="20" t="s">
        <v>162</v>
      </c>
      <c r="I7" s="20" t="s">
        <v>19</v>
      </c>
      <c r="J7" s="20">
        <v>1220</v>
      </c>
      <c r="K7" s="14">
        <v>4</v>
      </c>
      <c r="L7" s="20" t="s">
        <v>72</v>
      </c>
      <c r="M7" s="48">
        <v>8.5</v>
      </c>
      <c r="N7" s="15" t="s">
        <v>164</v>
      </c>
    </row>
    <row r="8" spans="1:14" ht="35.1" customHeight="1" x14ac:dyDescent="0.25">
      <c r="B8" s="40">
        <v>2</v>
      </c>
      <c r="C8" s="37" t="s">
        <v>26</v>
      </c>
      <c r="D8" s="135" t="s">
        <v>71</v>
      </c>
      <c r="E8" s="135"/>
      <c r="F8" s="135"/>
      <c r="G8" s="135"/>
      <c r="H8" s="37" t="s">
        <v>162</v>
      </c>
      <c r="I8" s="37" t="s">
        <v>73</v>
      </c>
      <c r="J8" s="37">
        <v>830</v>
      </c>
      <c r="K8" s="39">
        <v>10</v>
      </c>
      <c r="L8" s="41" t="s">
        <v>165</v>
      </c>
      <c r="M8" s="42">
        <v>4</v>
      </c>
      <c r="N8" s="43" t="s">
        <v>72</v>
      </c>
    </row>
    <row r="9" spans="1:14" ht="35.1" customHeight="1" x14ac:dyDescent="0.25">
      <c r="B9" s="40">
        <v>3</v>
      </c>
      <c r="C9" s="37" t="s">
        <v>74</v>
      </c>
      <c r="D9" s="135" t="s">
        <v>91</v>
      </c>
      <c r="E9" s="135"/>
      <c r="F9" s="135"/>
      <c r="G9" s="135"/>
      <c r="H9" s="37" t="s">
        <v>163</v>
      </c>
      <c r="I9" s="37" t="s">
        <v>75</v>
      </c>
      <c r="J9" s="37">
        <v>1725</v>
      </c>
      <c r="K9" s="39">
        <v>10</v>
      </c>
      <c r="L9" s="41" t="s">
        <v>165</v>
      </c>
      <c r="M9" s="42">
        <v>3.5</v>
      </c>
      <c r="N9" s="43" t="s">
        <v>141</v>
      </c>
    </row>
    <row r="10" spans="1:14" ht="35.1" customHeight="1" x14ac:dyDescent="0.25">
      <c r="B10" s="13">
        <v>4</v>
      </c>
      <c r="C10" s="20" t="s">
        <v>27</v>
      </c>
      <c r="D10" s="141" t="s">
        <v>76</v>
      </c>
      <c r="E10" s="141"/>
      <c r="F10" s="141"/>
      <c r="G10" s="141"/>
      <c r="H10" s="20" t="s">
        <v>159</v>
      </c>
      <c r="I10" s="20" t="s">
        <v>73</v>
      </c>
      <c r="J10" s="20">
        <v>1950</v>
      </c>
      <c r="K10" s="14">
        <v>2.8</v>
      </c>
      <c r="L10" s="20">
        <v>39000040</v>
      </c>
      <c r="M10" s="39">
        <v>10</v>
      </c>
      <c r="N10" s="15" t="s">
        <v>170</v>
      </c>
    </row>
    <row r="11" spans="1:14" ht="35.1" customHeight="1" x14ac:dyDescent="0.25">
      <c r="B11" s="13">
        <v>5</v>
      </c>
      <c r="C11" s="20" t="s">
        <v>28</v>
      </c>
      <c r="D11" s="141" t="s">
        <v>71</v>
      </c>
      <c r="E11" s="141"/>
      <c r="F11" s="141"/>
      <c r="G11" s="141"/>
      <c r="H11" s="20" t="s">
        <v>162</v>
      </c>
      <c r="I11" s="20" t="s">
        <v>77</v>
      </c>
      <c r="J11" s="20">
        <v>490</v>
      </c>
      <c r="K11" s="14">
        <v>3</v>
      </c>
      <c r="L11" s="20" t="s">
        <v>142</v>
      </c>
      <c r="M11" s="48">
        <v>8.5</v>
      </c>
      <c r="N11" s="15" t="s">
        <v>189</v>
      </c>
    </row>
    <row r="12" spans="1:14" ht="35.1" customHeight="1" x14ac:dyDescent="0.25">
      <c r="B12" s="13">
        <v>6</v>
      </c>
      <c r="C12" s="20" t="s">
        <v>29</v>
      </c>
      <c r="D12" s="141" t="s">
        <v>91</v>
      </c>
      <c r="E12" s="141"/>
      <c r="F12" s="141"/>
      <c r="G12" s="141"/>
      <c r="H12" s="20" t="s">
        <v>163</v>
      </c>
      <c r="I12" s="20" t="s">
        <v>73</v>
      </c>
      <c r="J12" s="20">
        <v>1345</v>
      </c>
      <c r="K12" s="14">
        <v>3</v>
      </c>
      <c r="L12" s="20" t="s">
        <v>143</v>
      </c>
      <c r="M12" s="14">
        <v>3</v>
      </c>
      <c r="N12" s="15" t="s">
        <v>143</v>
      </c>
    </row>
    <row r="13" spans="1:14" ht="35.1" customHeight="1" x14ac:dyDescent="0.25">
      <c r="B13" s="13">
        <v>7</v>
      </c>
      <c r="C13" s="20" t="s">
        <v>30</v>
      </c>
      <c r="D13" s="141" t="s">
        <v>76</v>
      </c>
      <c r="E13" s="141"/>
      <c r="F13" s="141"/>
      <c r="G13" s="141"/>
      <c r="H13" s="20" t="s">
        <v>159</v>
      </c>
      <c r="I13" s="20" t="s">
        <v>78</v>
      </c>
      <c r="J13" s="20">
        <v>1390</v>
      </c>
      <c r="K13" s="14">
        <v>3.8</v>
      </c>
      <c r="L13" s="20" t="s">
        <v>144</v>
      </c>
      <c r="M13" s="47">
        <v>6</v>
      </c>
      <c r="N13" s="15" t="s">
        <v>167</v>
      </c>
    </row>
    <row r="14" spans="1:14" ht="35.1" customHeight="1" x14ac:dyDescent="0.25">
      <c r="B14" s="13">
        <v>8</v>
      </c>
      <c r="C14" s="20" t="s">
        <v>31</v>
      </c>
      <c r="D14" s="141" t="s">
        <v>91</v>
      </c>
      <c r="E14" s="141"/>
      <c r="F14" s="141"/>
      <c r="G14" s="141"/>
      <c r="H14" s="20" t="s">
        <v>163</v>
      </c>
      <c r="I14" s="20" t="s">
        <v>79</v>
      </c>
      <c r="J14" s="20">
        <v>1020</v>
      </c>
      <c r="K14" s="14">
        <v>3</v>
      </c>
      <c r="L14" s="20" t="s">
        <v>145</v>
      </c>
      <c r="M14" s="47">
        <v>6</v>
      </c>
      <c r="N14" s="15" t="s">
        <v>168</v>
      </c>
    </row>
    <row r="15" spans="1:14" ht="35.1" customHeight="1" x14ac:dyDescent="0.25">
      <c r="B15" s="13">
        <v>9</v>
      </c>
      <c r="C15" s="20" t="s">
        <v>32</v>
      </c>
      <c r="D15" s="141" t="s">
        <v>91</v>
      </c>
      <c r="E15" s="141"/>
      <c r="F15" s="141"/>
      <c r="G15" s="141"/>
      <c r="H15" s="20" t="s">
        <v>163</v>
      </c>
      <c r="I15" s="20" t="s">
        <v>79</v>
      </c>
      <c r="J15" s="20">
        <v>1400</v>
      </c>
      <c r="K15" s="14">
        <v>3</v>
      </c>
      <c r="L15" s="20" t="s">
        <v>143</v>
      </c>
      <c r="M15" s="14">
        <v>2</v>
      </c>
      <c r="N15" s="15" t="s">
        <v>145</v>
      </c>
    </row>
    <row r="16" spans="1:14" ht="35.1" customHeight="1" x14ac:dyDescent="0.25">
      <c r="A16" s="4"/>
      <c r="B16" s="13">
        <v>10</v>
      </c>
      <c r="C16" s="20" t="s">
        <v>33</v>
      </c>
      <c r="D16" s="141" t="s">
        <v>91</v>
      </c>
      <c r="E16" s="141"/>
      <c r="F16" s="141"/>
      <c r="G16" s="141"/>
      <c r="H16" s="20" t="s">
        <v>163</v>
      </c>
      <c r="I16" s="20" t="s">
        <v>80</v>
      </c>
      <c r="J16" s="20">
        <v>1155</v>
      </c>
      <c r="K16" s="14">
        <v>3</v>
      </c>
      <c r="L16" s="20" t="s">
        <v>145</v>
      </c>
      <c r="M16" s="14">
        <v>3</v>
      </c>
      <c r="N16" s="17" t="s">
        <v>143</v>
      </c>
    </row>
    <row r="17" spans="1:15" ht="35.1" customHeight="1" x14ac:dyDescent="0.25">
      <c r="B17" s="13">
        <v>11</v>
      </c>
      <c r="C17" s="20" t="s">
        <v>34</v>
      </c>
      <c r="D17" s="141" t="s">
        <v>71</v>
      </c>
      <c r="E17" s="141"/>
      <c r="F17" s="141"/>
      <c r="G17" s="141"/>
      <c r="H17" s="20" t="s">
        <v>162</v>
      </c>
      <c r="I17" s="20" t="s">
        <v>77</v>
      </c>
      <c r="J17" s="20">
        <v>1205</v>
      </c>
      <c r="K17" s="14">
        <v>4</v>
      </c>
      <c r="L17" s="20" t="s">
        <v>146</v>
      </c>
      <c r="M17" s="14">
        <v>5</v>
      </c>
      <c r="N17" s="17" t="s">
        <v>147</v>
      </c>
    </row>
    <row r="18" spans="1:15" ht="35.1" customHeight="1" x14ac:dyDescent="0.25">
      <c r="B18" s="13">
        <v>12</v>
      </c>
      <c r="C18" s="20" t="s">
        <v>35</v>
      </c>
      <c r="D18" s="141" t="s">
        <v>91</v>
      </c>
      <c r="E18" s="141"/>
      <c r="F18" s="141"/>
      <c r="G18" s="141"/>
      <c r="H18" s="20" t="s">
        <v>163</v>
      </c>
      <c r="I18" s="20" t="s">
        <v>75</v>
      </c>
      <c r="J18" s="20">
        <v>1400</v>
      </c>
      <c r="K18" s="14">
        <v>3</v>
      </c>
      <c r="L18" s="20" t="s">
        <v>145</v>
      </c>
      <c r="M18" s="14">
        <v>3</v>
      </c>
      <c r="N18" s="15" t="s">
        <v>143</v>
      </c>
    </row>
    <row r="19" spans="1:15" ht="35.1" customHeight="1" x14ac:dyDescent="0.25">
      <c r="B19" s="13">
        <v>13</v>
      </c>
      <c r="C19" s="20" t="s">
        <v>36</v>
      </c>
      <c r="D19" s="141" t="s">
        <v>91</v>
      </c>
      <c r="E19" s="141"/>
      <c r="F19" s="141"/>
      <c r="G19" s="141"/>
      <c r="H19" s="20" t="s">
        <v>163</v>
      </c>
      <c r="I19" s="20" t="s">
        <v>81</v>
      </c>
      <c r="J19" s="20">
        <v>1480</v>
      </c>
      <c r="K19" s="14">
        <v>3</v>
      </c>
      <c r="L19" s="20" t="s">
        <v>148</v>
      </c>
      <c r="M19" s="14">
        <v>2</v>
      </c>
      <c r="N19" s="17" t="s">
        <v>145</v>
      </c>
    </row>
    <row r="20" spans="1:15" ht="49.5" customHeight="1" x14ac:dyDescent="0.25">
      <c r="B20" s="13">
        <v>14</v>
      </c>
      <c r="C20" s="20" t="s">
        <v>37</v>
      </c>
      <c r="D20" s="141" t="s">
        <v>91</v>
      </c>
      <c r="E20" s="141"/>
      <c r="F20" s="141"/>
      <c r="G20" s="141"/>
      <c r="H20" s="20" t="s">
        <v>163</v>
      </c>
      <c r="I20" s="20" t="s">
        <v>75</v>
      </c>
      <c r="J20" s="20">
        <v>3170</v>
      </c>
      <c r="K20" s="14">
        <v>3</v>
      </c>
      <c r="L20" s="20" t="s">
        <v>148</v>
      </c>
      <c r="M20" s="14">
        <v>3</v>
      </c>
      <c r="N20" s="17" t="s">
        <v>148</v>
      </c>
      <c r="O20" s="4"/>
    </row>
    <row r="21" spans="1:15" ht="35.1" customHeight="1" x14ac:dyDescent="0.25">
      <c r="B21" s="13">
        <v>15</v>
      </c>
      <c r="C21" s="20" t="s">
        <v>38</v>
      </c>
      <c r="D21" s="141" t="s">
        <v>76</v>
      </c>
      <c r="E21" s="141"/>
      <c r="F21" s="141"/>
      <c r="G21" s="141"/>
      <c r="H21" s="20" t="s">
        <v>159</v>
      </c>
      <c r="I21" s="20" t="s">
        <v>82</v>
      </c>
      <c r="J21" s="20">
        <f>1290+50</f>
        <v>1340</v>
      </c>
      <c r="K21" s="14">
        <v>4</v>
      </c>
      <c r="L21" s="20" t="s">
        <v>144</v>
      </c>
      <c r="M21" s="47">
        <v>6</v>
      </c>
      <c r="N21" s="15" t="s">
        <v>169</v>
      </c>
    </row>
    <row r="22" spans="1:15" s="3" customFormat="1" ht="35.1" customHeight="1" x14ac:dyDescent="0.25">
      <c r="B22" s="13">
        <v>16</v>
      </c>
      <c r="C22" s="20" t="s">
        <v>39</v>
      </c>
      <c r="D22" s="141" t="s">
        <v>71</v>
      </c>
      <c r="E22" s="141"/>
      <c r="F22" s="141"/>
      <c r="G22" s="141"/>
      <c r="H22" s="20" t="s">
        <v>162</v>
      </c>
      <c r="I22" s="20" t="s">
        <v>73</v>
      </c>
      <c r="J22" s="20">
        <v>1145</v>
      </c>
      <c r="K22" s="14">
        <v>3</v>
      </c>
      <c r="L22" s="20" t="s">
        <v>142</v>
      </c>
      <c r="M22" s="32">
        <v>10</v>
      </c>
      <c r="N22" s="15" t="s">
        <v>170</v>
      </c>
    </row>
    <row r="23" spans="1:15" ht="35.1" customHeight="1" x14ac:dyDescent="0.25">
      <c r="A23" s="4"/>
      <c r="B23" s="13">
        <v>17</v>
      </c>
      <c r="C23" s="20" t="s">
        <v>40</v>
      </c>
      <c r="D23" s="141" t="s">
        <v>91</v>
      </c>
      <c r="E23" s="141"/>
      <c r="F23" s="141"/>
      <c r="G23" s="141"/>
      <c r="H23" s="20" t="s">
        <v>163</v>
      </c>
      <c r="I23" s="20" t="s">
        <v>83</v>
      </c>
      <c r="J23" s="20">
        <v>815</v>
      </c>
      <c r="K23" s="14">
        <v>5</v>
      </c>
      <c r="L23" s="20" t="s">
        <v>149</v>
      </c>
      <c r="M23" s="14">
        <v>2</v>
      </c>
      <c r="N23" s="15" t="s">
        <v>145</v>
      </c>
    </row>
    <row r="24" spans="1:15" ht="35.1" customHeight="1" x14ac:dyDescent="0.25">
      <c r="B24" s="13">
        <v>18</v>
      </c>
      <c r="C24" s="20" t="s">
        <v>41</v>
      </c>
      <c r="D24" s="141" t="s">
        <v>71</v>
      </c>
      <c r="E24" s="141"/>
      <c r="F24" s="141"/>
      <c r="G24" s="141"/>
      <c r="H24" s="20" t="s">
        <v>162</v>
      </c>
      <c r="I24" s="20" t="s">
        <v>19</v>
      </c>
      <c r="J24" s="20">
        <v>490</v>
      </c>
      <c r="K24" s="14">
        <v>3</v>
      </c>
      <c r="L24" s="16" t="s">
        <v>142</v>
      </c>
      <c r="M24" s="49">
        <v>8.5</v>
      </c>
      <c r="N24" s="15" t="s">
        <v>166</v>
      </c>
    </row>
    <row r="25" spans="1:15" ht="35.1" customHeight="1" x14ac:dyDescent="0.25">
      <c r="B25" s="13">
        <v>19</v>
      </c>
      <c r="C25" s="20" t="s">
        <v>42</v>
      </c>
      <c r="D25" s="141" t="s">
        <v>76</v>
      </c>
      <c r="E25" s="141"/>
      <c r="F25" s="141"/>
      <c r="G25" s="141"/>
      <c r="H25" s="20" t="s">
        <v>159</v>
      </c>
      <c r="I25" s="20" t="s">
        <v>19</v>
      </c>
      <c r="J25" s="20">
        <v>775</v>
      </c>
      <c r="K25" s="14">
        <v>4</v>
      </c>
      <c r="L25" s="20" t="s">
        <v>144</v>
      </c>
      <c r="M25" s="46">
        <v>6</v>
      </c>
      <c r="N25" s="15" t="s">
        <v>171</v>
      </c>
    </row>
    <row r="26" spans="1:15" ht="35.1" customHeight="1" x14ac:dyDescent="0.25">
      <c r="B26" s="40">
        <v>20</v>
      </c>
      <c r="C26" s="37" t="s">
        <v>43</v>
      </c>
      <c r="D26" s="135" t="s">
        <v>71</v>
      </c>
      <c r="E26" s="135"/>
      <c r="F26" s="135"/>
      <c r="G26" s="135"/>
      <c r="H26" s="37" t="s">
        <v>162</v>
      </c>
      <c r="I26" s="37" t="s">
        <v>84</v>
      </c>
      <c r="J26" s="37">
        <v>2195</v>
      </c>
      <c r="K26" s="48">
        <v>8.5</v>
      </c>
      <c r="L26" s="41" t="s">
        <v>190</v>
      </c>
      <c r="M26" s="42">
        <v>3</v>
      </c>
      <c r="N26" s="43" t="s">
        <v>142</v>
      </c>
    </row>
    <row r="27" spans="1:15" ht="35.1" customHeight="1" x14ac:dyDescent="0.25">
      <c r="A27" s="4"/>
      <c r="B27" s="13">
        <v>21</v>
      </c>
      <c r="C27" s="20" t="s">
        <v>44</v>
      </c>
      <c r="D27" s="141" t="s">
        <v>71</v>
      </c>
      <c r="E27" s="141"/>
      <c r="F27" s="141"/>
      <c r="G27" s="141"/>
      <c r="H27" s="20" t="s">
        <v>162</v>
      </c>
      <c r="I27" s="20" t="s">
        <v>84</v>
      </c>
      <c r="J27" s="20">
        <v>875</v>
      </c>
      <c r="K27" s="14">
        <v>3</v>
      </c>
      <c r="L27" s="20" t="s">
        <v>142</v>
      </c>
      <c r="M27" s="49">
        <v>8.5</v>
      </c>
      <c r="N27" s="15" t="s">
        <v>172</v>
      </c>
    </row>
    <row r="28" spans="1:15" ht="35.1" customHeight="1" x14ac:dyDescent="0.25">
      <c r="B28" s="13">
        <v>22</v>
      </c>
      <c r="C28" s="20" t="s">
        <v>45</v>
      </c>
      <c r="D28" s="141" t="s">
        <v>91</v>
      </c>
      <c r="E28" s="141"/>
      <c r="F28" s="141"/>
      <c r="G28" s="141"/>
      <c r="H28" s="20" t="s">
        <v>163</v>
      </c>
      <c r="I28" s="16" t="s">
        <v>173</v>
      </c>
      <c r="J28" s="20">
        <v>125</v>
      </c>
      <c r="K28" s="14">
        <v>3</v>
      </c>
      <c r="L28" s="20" t="s">
        <v>143</v>
      </c>
      <c r="M28" s="47">
        <v>6</v>
      </c>
      <c r="N28" s="15" t="s">
        <v>174</v>
      </c>
    </row>
    <row r="29" spans="1:15" ht="35.1" customHeight="1" x14ac:dyDescent="0.25">
      <c r="B29" s="13">
        <v>23</v>
      </c>
      <c r="C29" s="20" t="s">
        <v>46</v>
      </c>
      <c r="D29" s="141" t="s">
        <v>91</v>
      </c>
      <c r="E29" s="141"/>
      <c r="F29" s="141"/>
      <c r="G29" s="141"/>
      <c r="H29" s="20" t="s">
        <v>163</v>
      </c>
      <c r="I29" s="20" t="s">
        <v>73</v>
      </c>
      <c r="J29" s="20">
        <v>1150</v>
      </c>
      <c r="K29" s="14">
        <v>2</v>
      </c>
      <c r="L29" s="20" t="s">
        <v>145</v>
      </c>
      <c r="M29" s="14">
        <v>3</v>
      </c>
      <c r="N29" s="15" t="s">
        <v>143</v>
      </c>
    </row>
    <row r="30" spans="1:15" ht="35.1" customHeight="1" x14ac:dyDescent="0.25">
      <c r="B30" s="13">
        <v>24</v>
      </c>
      <c r="C30" s="20" t="s">
        <v>47</v>
      </c>
      <c r="D30" s="141" t="s">
        <v>71</v>
      </c>
      <c r="E30" s="141"/>
      <c r="F30" s="141"/>
      <c r="G30" s="141"/>
      <c r="H30" s="20" t="s">
        <v>162</v>
      </c>
      <c r="I30" s="20" t="s">
        <v>85</v>
      </c>
      <c r="J30" s="20">
        <v>895</v>
      </c>
      <c r="K30" s="14">
        <v>3</v>
      </c>
      <c r="L30" s="20" t="s">
        <v>142</v>
      </c>
      <c r="M30" s="32">
        <v>10</v>
      </c>
      <c r="N30" s="15" t="s">
        <v>170</v>
      </c>
    </row>
    <row r="31" spans="1:15" ht="35.1" customHeight="1" x14ac:dyDescent="0.25">
      <c r="B31" s="40">
        <v>25</v>
      </c>
      <c r="C31" s="37" t="s">
        <v>48</v>
      </c>
      <c r="D31" s="135" t="s">
        <v>71</v>
      </c>
      <c r="E31" s="135"/>
      <c r="F31" s="135"/>
      <c r="G31" s="135"/>
      <c r="H31" s="37" t="s">
        <v>162</v>
      </c>
      <c r="I31" s="37" t="s">
        <v>73</v>
      </c>
      <c r="J31" s="37">
        <v>895</v>
      </c>
      <c r="K31" s="32">
        <v>10</v>
      </c>
      <c r="L31" s="41" t="s">
        <v>170</v>
      </c>
      <c r="M31" s="42">
        <v>3</v>
      </c>
      <c r="N31" s="44" t="s">
        <v>142</v>
      </c>
    </row>
    <row r="32" spans="1:15" ht="35.1" customHeight="1" x14ac:dyDescent="0.25">
      <c r="B32" s="40">
        <v>26</v>
      </c>
      <c r="C32" s="37" t="s">
        <v>86</v>
      </c>
      <c r="D32" s="135" t="s">
        <v>91</v>
      </c>
      <c r="E32" s="135"/>
      <c r="F32" s="135"/>
      <c r="G32" s="135"/>
      <c r="H32" s="37" t="s">
        <v>163</v>
      </c>
      <c r="I32" s="37" t="s">
        <v>85</v>
      </c>
      <c r="J32" s="37">
        <v>1735</v>
      </c>
      <c r="K32" s="39">
        <v>10</v>
      </c>
      <c r="L32" s="41" t="s">
        <v>165</v>
      </c>
      <c r="M32" s="42">
        <v>3</v>
      </c>
      <c r="N32" s="44" t="s">
        <v>141</v>
      </c>
    </row>
    <row r="33" spans="2:14" ht="35.1" customHeight="1" x14ac:dyDescent="0.25">
      <c r="B33" s="13">
        <v>27</v>
      </c>
      <c r="C33" s="20" t="s">
        <v>87</v>
      </c>
      <c r="D33" s="141" t="s">
        <v>71</v>
      </c>
      <c r="E33" s="141"/>
      <c r="F33" s="141"/>
      <c r="G33" s="141"/>
      <c r="H33" s="20" t="s">
        <v>162</v>
      </c>
      <c r="I33" s="20" t="s">
        <v>88</v>
      </c>
      <c r="J33" s="20">
        <v>280</v>
      </c>
      <c r="K33" s="14">
        <v>4</v>
      </c>
      <c r="L33" s="20" t="s">
        <v>146</v>
      </c>
      <c r="M33" s="47">
        <v>6</v>
      </c>
      <c r="N33" s="15" t="s">
        <v>175</v>
      </c>
    </row>
    <row r="34" spans="2:14" ht="35.1" customHeight="1" x14ac:dyDescent="0.25">
      <c r="B34" s="13">
        <v>28</v>
      </c>
      <c r="C34" s="20" t="s">
        <v>89</v>
      </c>
      <c r="D34" s="141" t="s">
        <v>91</v>
      </c>
      <c r="E34" s="141"/>
      <c r="F34" s="141"/>
      <c r="G34" s="141"/>
      <c r="H34" s="20" t="s">
        <v>163</v>
      </c>
      <c r="I34" s="20" t="s">
        <v>82</v>
      </c>
      <c r="J34" s="20">
        <v>1010</v>
      </c>
      <c r="K34" s="14">
        <v>2</v>
      </c>
      <c r="L34" s="20" t="s">
        <v>145</v>
      </c>
      <c r="M34" s="47">
        <v>6</v>
      </c>
      <c r="N34" s="15" t="s">
        <v>176</v>
      </c>
    </row>
    <row r="35" spans="2:14" ht="35.1" customHeight="1" x14ac:dyDescent="0.25">
      <c r="B35" s="13">
        <v>29</v>
      </c>
      <c r="C35" s="20" t="s">
        <v>49</v>
      </c>
      <c r="D35" s="141" t="s">
        <v>91</v>
      </c>
      <c r="E35" s="141"/>
      <c r="F35" s="141"/>
      <c r="G35" s="141"/>
      <c r="H35" s="20" t="s">
        <v>163</v>
      </c>
      <c r="I35" s="20" t="s">
        <v>82</v>
      </c>
      <c r="J35" s="20">
        <v>1580</v>
      </c>
      <c r="K35" s="14">
        <v>3.5</v>
      </c>
      <c r="L35" s="20" t="s">
        <v>150</v>
      </c>
      <c r="M35" s="47">
        <v>6</v>
      </c>
      <c r="N35" s="15" t="s">
        <v>169</v>
      </c>
    </row>
    <row r="36" spans="2:14" ht="35.1" customHeight="1" x14ac:dyDescent="0.25">
      <c r="B36" s="13">
        <v>30</v>
      </c>
      <c r="C36" s="20" t="s">
        <v>50</v>
      </c>
      <c r="D36" s="141" t="s">
        <v>91</v>
      </c>
      <c r="E36" s="141"/>
      <c r="F36" s="141"/>
      <c r="G36" s="141"/>
      <c r="H36" s="20" t="s">
        <v>163</v>
      </c>
      <c r="I36" s="20" t="s">
        <v>78</v>
      </c>
      <c r="J36" s="20">
        <v>1640</v>
      </c>
      <c r="K36" s="14">
        <v>3.5</v>
      </c>
      <c r="L36" s="20" t="s">
        <v>150</v>
      </c>
      <c r="M36" s="47">
        <v>6</v>
      </c>
      <c r="N36" s="15" t="s">
        <v>167</v>
      </c>
    </row>
    <row r="37" spans="2:14" ht="35.1" customHeight="1" x14ac:dyDescent="0.25">
      <c r="B37" s="13">
        <v>31</v>
      </c>
      <c r="C37" s="20" t="s">
        <v>51</v>
      </c>
      <c r="D37" s="141" t="s">
        <v>91</v>
      </c>
      <c r="E37" s="141"/>
      <c r="F37" s="141"/>
      <c r="G37" s="141"/>
      <c r="H37" s="20" t="s">
        <v>163</v>
      </c>
      <c r="I37" s="20" t="s">
        <v>19</v>
      </c>
      <c r="J37" s="20">
        <v>1020</v>
      </c>
      <c r="K37" s="14">
        <v>3.5</v>
      </c>
      <c r="L37" s="20" t="s">
        <v>150</v>
      </c>
      <c r="M37" s="47">
        <v>6</v>
      </c>
      <c r="N37" s="15" t="s">
        <v>171</v>
      </c>
    </row>
    <row r="38" spans="2:14" ht="35.1" customHeight="1" x14ac:dyDescent="0.25">
      <c r="B38" s="40">
        <v>32</v>
      </c>
      <c r="C38" s="37" t="s">
        <v>52</v>
      </c>
      <c r="D38" s="135" t="s">
        <v>91</v>
      </c>
      <c r="E38" s="135"/>
      <c r="F38" s="135"/>
      <c r="G38" s="135"/>
      <c r="H38" s="37" t="s">
        <v>163</v>
      </c>
      <c r="I38" s="37" t="s">
        <v>19</v>
      </c>
      <c r="J38" s="37">
        <v>1450</v>
      </c>
      <c r="K38" s="47">
        <v>6</v>
      </c>
      <c r="L38" s="44" t="s">
        <v>177</v>
      </c>
      <c r="M38" s="42">
        <v>3</v>
      </c>
      <c r="N38" s="44" t="s">
        <v>143</v>
      </c>
    </row>
    <row r="39" spans="2:14" ht="35.1" customHeight="1" x14ac:dyDescent="0.25">
      <c r="B39" s="40">
        <v>33</v>
      </c>
      <c r="C39" s="37" t="s">
        <v>53</v>
      </c>
      <c r="D39" s="135" t="s">
        <v>91</v>
      </c>
      <c r="E39" s="135"/>
      <c r="F39" s="135"/>
      <c r="G39" s="135"/>
      <c r="H39" s="37" t="s">
        <v>163</v>
      </c>
      <c r="I39" s="37" t="s">
        <v>78</v>
      </c>
      <c r="J39" s="37">
        <v>1210</v>
      </c>
      <c r="K39" s="47">
        <v>6</v>
      </c>
      <c r="L39" s="44" t="s">
        <v>178</v>
      </c>
      <c r="M39" s="42">
        <v>3</v>
      </c>
      <c r="N39" s="43" t="s">
        <v>143</v>
      </c>
    </row>
    <row r="40" spans="2:14" ht="35.1" customHeight="1" x14ac:dyDescent="0.25">
      <c r="B40" s="40">
        <v>34</v>
      </c>
      <c r="C40" s="37" t="s">
        <v>54</v>
      </c>
      <c r="D40" s="135" t="s">
        <v>91</v>
      </c>
      <c r="E40" s="135"/>
      <c r="F40" s="135"/>
      <c r="G40" s="135"/>
      <c r="H40" s="37" t="s">
        <v>163</v>
      </c>
      <c r="I40" s="37" t="s">
        <v>82</v>
      </c>
      <c r="J40" s="37">
        <v>1140</v>
      </c>
      <c r="K40" s="47">
        <v>6</v>
      </c>
      <c r="L40" s="44" t="s">
        <v>179</v>
      </c>
      <c r="M40" s="42">
        <v>3</v>
      </c>
      <c r="N40" s="44" t="s">
        <v>143</v>
      </c>
    </row>
    <row r="41" spans="2:14" ht="35.1" customHeight="1" x14ac:dyDescent="0.25">
      <c r="B41" s="13">
        <v>35</v>
      </c>
      <c r="C41" s="20" t="s">
        <v>55</v>
      </c>
      <c r="D41" s="141" t="s">
        <v>91</v>
      </c>
      <c r="E41" s="141"/>
      <c r="F41" s="141"/>
      <c r="G41" s="141"/>
      <c r="H41" s="20" t="s">
        <v>163</v>
      </c>
      <c r="I41" s="20" t="s">
        <v>80</v>
      </c>
      <c r="J41" s="20">
        <v>1000</v>
      </c>
      <c r="K41" s="14">
        <v>5</v>
      </c>
      <c r="L41" s="20" t="s">
        <v>149</v>
      </c>
      <c r="M41" s="14">
        <v>2</v>
      </c>
      <c r="N41" s="15" t="s">
        <v>145</v>
      </c>
    </row>
    <row r="42" spans="2:14" ht="35.1" customHeight="1" x14ac:dyDescent="0.25">
      <c r="B42" s="13">
        <v>36</v>
      </c>
      <c r="C42" s="20" t="s">
        <v>56</v>
      </c>
      <c r="D42" s="141" t="s">
        <v>91</v>
      </c>
      <c r="E42" s="141"/>
      <c r="F42" s="141"/>
      <c r="G42" s="141"/>
      <c r="H42" s="20" t="s">
        <v>163</v>
      </c>
      <c r="I42" s="16" t="s">
        <v>173</v>
      </c>
      <c r="J42" s="20">
        <v>1000</v>
      </c>
      <c r="K42" s="14">
        <v>2</v>
      </c>
      <c r="L42" s="20" t="s">
        <v>145</v>
      </c>
      <c r="M42" s="14">
        <v>5</v>
      </c>
      <c r="N42" s="15" t="s">
        <v>149</v>
      </c>
    </row>
    <row r="43" spans="2:14" ht="35.1" customHeight="1" x14ac:dyDescent="0.25">
      <c r="B43" s="13">
        <v>37</v>
      </c>
      <c r="C43" s="20" t="s">
        <v>57</v>
      </c>
      <c r="D43" s="141" t="s">
        <v>91</v>
      </c>
      <c r="E43" s="141"/>
      <c r="F43" s="141"/>
      <c r="G43" s="141"/>
      <c r="H43" s="20" t="s">
        <v>163</v>
      </c>
      <c r="I43" s="20" t="s">
        <v>82</v>
      </c>
      <c r="J43" s="20">
        <v>1270</v>
      </c>
      <c r="K43" s="14">
        <v>3</v>
      </c>
      <c r="L43" s="20" t="s">
        <v>143</v>
      </c>
      <c r="M43" s="14">
        <v>2</v>
      </c>
      <c r="N43" s="15" t="s">
        <v>145</v>
      </c>
    </row>
    <row r="44" spans="2:14" ht="35.1" customHeight="1" x14ac:dyDescent="0.25">
      <c r="B44" s="13">
        <v>38</v>
      </c>
      <c r="C44" s="20" t="s">
        <v>58</v>
      </c>
      <c r="D44" s="141" t="s">
        <v>91</v>
      </c>
      <c r="E44" s="141"/>
      <c r="F44" s="141"/>
      <c r="G44" s="141"/>
      <c r="H44" s="20" t="s">
        <v>163</v>
      </c>
      <c r="I44" s="20" t="s">
        <v>90</v>
      </c>
      <c r="J44" s="20">
        <v>1270</v>
      </c>
      <c r="K44" s="14">
        <v>2</v>
      </c>
      <c r="L44" s="20" t="s">
        <v>145</v>
      </c>
      <c r="M44" s="14">
        <v>3</v>
      </c>
      <c r="N44" s="15" t="s">
        <v>143</v>
      </c>
    </row>
    <row r="45" spans="2:14" ht="35.1" customHeight="1" x14ac:dyDescent="0.25">
      <c r="B45" s="13">
        <v>39</v>
      </c>
      <c r="C45" s="20" t="s">
        <v>70</v>
      </c>
      <c r="D45" s="141" t="s">
        <v>91</v>
      </c>
      <c r="E45" s="141"/>
      <c r="F45" s="141"/>
      <c r="G45" s="141"/>
      <c r="H45" s="20" t="s">
        <v>163</v>
      </c>
      <c r="I45" s="20" t="s">
        <v>81</v>
      </c>
      <c r="J45" s="20">
        <v>1400</v>
      </c>
      <c r="K45" s="14">
        <v>3</v>
      </c>
      <c r="L45" s="20" t="s">
        <v>143</v>
      </c>
      <c r="M45" s="14">
        <v>2</v>
      </c>
      <c r="N45" s="15" t="s">
        <v>145</v>
      </c>
    </row>
    <row r="46" spans="2:14" ht="35.1" customHeight="1" x14ac:dyDescent="0.25">
      <c r="B46" s="13">
        <v>40</v>
      </c>
      <c r="C46" s="20" t="s">
        <v>59</v>
      </c>
      <c r="D46" s="141" t="s">
        <v>91</v>
      </c>
      <c r="E46" s="141"/>
      <c r="F46" s="141"/>
      <c r="G46" s="141"/>
      <c r="H46" s="20" t="s">
        <v>163</v>
      </c>
      <c r="I46" s="20" t="s">
        <v>92</v>
      </c>
      <c r="J46" s="20">
        <v>820</v>
      </c>
      <c r="K46" s="14">
        <v>5</v>
      </c>
      <c r="L46" s="20" t="s">
        <v>151</v>
      </c>
      <c r="M46" s="14">
        <v>2</v>
      </c>
      <c r="N46" s="15" t="s">
        <v>145</v>
      </c>
    </row>
    <row r="47" spans="2:14" ht="35.1" customHeight="1" x14ac:dyDescent="0.25">
      <c r="B47" s="13">
        <v>41</v>
      </c>
      <c r="C47" s="20" t="s">
        <v>60</v>
      </c>
      <c r="D47" s="141" t="s">
        <v>91</v>
      </c>
      <c r="E47" s="141"/>
      <c r="F47" s="141"/>
      <c r="G47" s="141"/>
      <c r="H47" s="20" t="s">
        <v>163</v>
      </c>
      <c r="I47" s="20" t="s">
        <v>93</v>
      </c>
      <c r="J47" s="20">
        <v>820</v>
      </c>
      <c r="K47" s="14">
        <v>2</v>
      </c>
      <c r="L47" s="20" t="s">
        <v>145</v>
      </c>
      <c r="M47" s="14">
        <v>5</v>
      </c>
      <c r="N47" s="15" t="s">
        <v>149</v>
      </c>
    </row>
    <row r="48" spans="2:14" ht="35.1" customHeight="1" x14ac:dyDescent="0.25">
      <c r="B48" s="13">
        <v>42</v>
      </c>
      <c r="C48" s="20" t="s">
        <v>61</v>
      </c>
      <c r="D48" s="141" t="s">
        <v>91</v>
      </c>
      <c r="E48" s="141"/>
      <c r="F48" s="141"/>
      <c r="G48" s="141"/>
      <c r="H48" s="20" t="s">
        <v>163</v>
      </c>
      <c r="I48" s="20" t="s">
        <v>90</v>
      </c>
      <c r="J48" s="20">
        <v>1685</v>
      </c>
      <c r="K48" s="14">
        <v>4</v>
      </c>
      <c r="L48" s="20" t="s">
        <v>152</v>
      </c>
      <c r="M48" s="14">
        <v>2</v>
      </c>
      <c r="N48" s="15" t="s">
        <v>153</v>
      </c>
    </row>
    <row r="49" spans="2:15" ht="35.1" customHeight="1" x14ac:dyDescent="0.25">
      <c r="B49" s="13">
        <v>43</v>
      </c>
      <c r="C49" s="20" t="s">
        <v>62</v>
      </c>
      <c r="D49" s="141" t="s">
        <v>91</v>
      </c>
      <c r="E49" s="141"/>
      <c r="F49" s="141"/>
      <c r="G49" s="141"/>
      <c r="H49" s="20" t="s">
        <v>163</v>
      </c>
      <c r="I49" s="20" t="s">
        <v>94</v>
      </c>
      <c r="J49" s="20">
        <v>1685</v>
      </c>
      <c r="K49" s="14">
        <v>2</v>
      </c>
      <c r="L49" s="20" t="s">
        <v>153</v>
      </c>
      <c r="M49" s="14">
        <v>4</v>
      </c>
      <c r="N49" s="15" t="s">
        <v>152</v>
      </c>
    </row>
    <row r="50" spans="2:15" ht="35.1" customHeight="1" x14ac:dyDescent="0.25">
      <c r="B50" s="13">
        <v>44</v>
      </c>
      <c r="C50" s="20" t="s">
        <v>63</v>
      </c>
      <c r="D50" s="141" t="s">
        <v>91</v>
      </c>
      <c r="E50" s="141"/>
      <c r="F50" s="141"/>
      <c r="G50" s="141"/>
      <c r="H50" s="20" t="s">
        <v>163</v>
      </c>
      <c r="I50" s="20" t="s">
        <v>95</v>
      </c>
      <c r="J50" s="20">
        <v>1685</v>
      </c>
      <c r="K50" s="14">
        <v>2</v>
      </c>
      <c r="L50" s="20" t="s">
        <v>153</v>
      </c>
      <c r="M50" s="14">
        <v>4</v>
      </c>
      <c r="N50" s="15" t="s">
        <v>152</v>
      </c>
    </row>
    <row r="51" spans="2:15" ht="35.1" customHeight="1" x14ac:dyDescent="0.25">
      <c r="B51" s="13">
        <v>45</v>
      </c>
      <c r="C51" s="20" t="s">
        <v>64</v>
      </c>
      <c r="D51" s="141" t="s">
        <v>91</v>
      </c>
      <c r="E51" s="141"/>
      <c r="F51" s="141"/>
      <c r="G51" s="141"/>
      <c r="H51" s="20" t="s">
        <v>163</v>
      </c>
      <c r="I51" s="20" t="s">
        <v>83</v>
      </c>
      <c r="J51" s="20">
        <v>1685</v>
      </c>
      <c r="K51" s="14">
        <v>4</v>
      </c>
      <c r="L51" s="20" t="s">
        <v>152</v>
      </c>
      <c r="M51" s="14">
        <v>2</v>
      </c>
      <c r="N51" s="15" t="s">
        <v>153</v>
      </c>
    </row>
    <row r="52" spans="2:15" ht="35.1" customHeight="1" x14ac:dyDescent="0.25">
      <c r="B52" s="40">
        <v>46</v>
      </c>
      <c r="C52" s="37" t="s">
        <v>65</v>
      </c>
      <c r="D52" s="135" t="s">
        <v>91</v>
      </c>
      <c r="E52" s="135"/>
      <c r="F52" s="135"/>
      <c r="G52" s="135"/>
      <c r="H52" s="37" t="s">
        <v>163</v>
      </c>
      <c r="I52" s="37" t="s">
        <v>96</v>
      </c>
      <c r="J52" s="37">
        <v>385</v>
      </c>
      <c r="K52" s="47">
        <v>6</v>
      </c>
      <c r="L52" s="41" t="s">
        <v>191</v>
      </c>
      <c r="M52" s="42">
        <v>3</v>
      </c>
      <c r="N52" s="44" t="s">
        <v>154</v>
      </c>
    </row>
    <row r="53" spans="2:15" ht="35.1" customHeight="1" x14ac:dyDescent="0.25">
      <c r="B53" s="13">
        <v>47</v>
      </c>
      <c r="C53" s="20" t="s">
        <v>97</v>
      </c>
      <c r="D53" s="141" t="s">
        <v>91</v>
      </c>
      <c r="E53" s="141"/>
      <c r="F53" s="141"/>
      <c r="G53" s="141"/>
      <c r="H53" s="20" t="s">
        <v>163</v>
      </c>
      <c r="I53" s="20" t="s">
        <v>78</v>
      </c>
      <c r="J53" s="20">
        <v>920</v>
      </c>
      <c r="K53" s="14">
        <v>3</v>
      </c>
      <c r="L53" s="20" t="s">
        <v>154</v>
      </c>
      <c r="M53" s="14">
        <v>2</v>
      </c>
      <c r="N53" s="17" t="s">
        <v>145</v>
      </c>
    </row>
    <row r="54" spans="2:15" ht="35.1" customHeight="1" x14ac:dyDescent="0.25">
      <c r="B54" s="13">
        <v>48</v>
      </c>
      <c r="C54" s="20" t="s">
        <v>98</v>
      </c>
      <c r="D54" s="141" t="s">
        <v>71</v>
      </c>
      <c r="E54" s="141"/>
      <c r="F54" s="141"/>
      <c r="G54" s="141"/>
      <c r="H54" s="20" t="s">
        <v>162</v>
      </c>
      <c r="I54" s="20" t="s">
        <v>19</v>
      </c>
      <c r="J54" s="20">
        <v>280</v>
      </c>
      <c r="K54" s="14">
        <v>3</v>
      </c>
      <c r="L54" s="20" t="s">
        <v>146</v>
      </c>
      <c r="M54" s="46">
        <v>6</v>
      </c>
      <c r="N54" s="15" t="s">
        <v>180</v>
      </c>
    </row>
    <row r="55" spans="2:15" ht="35.1" customHeight="1" x14ac:dyDescent="0.25">
      <c r="B55" s="40">
        <v>49</v>
      </c>
      <c r="C55" s="37" t="s">
        <v>66</v>
      </c>
      <c r="D55" s="135" t="s">
        <v>91</v>
      </c>
      <c r="E55" s="135"/>
      <c r="F55" s="135"/>
      <c r="G55" s="135"/>
      <c r="H55" s="37" t="s">
        <v>163</v>
      </c>
      <c r="I55" s="37" t="s">
        <v>19</v>
      </c>
      <c r="J55" s="37">
        <v>820</v>
      </c>
      <c r="K55" s="47">
        <v>6</v>
      </c>
      <c r="L55" s="44" t="s">
        <v>177</v>
      </c>
      <c r="M55" s="42">
        <v>3</v>
      </c>
      <c r="N55" s="43" t="s">
        <v>143</v>
      </c>
    </row>
    <row r="56" spans="2:15" ht="35.1" customHeight="1" x14ac:dyDescent="0.25">
      <c r="B56" s="40">
        <v>50</v>
      </c>
      <c r="C56" s="37" t="s">
        <v>67</v>
      </c>
      <c r="D56" s="135" t="s">
        <v>91</v>
      </c>
      <c r="E56" s="135"/>
      <c r="F56" s="135"/>
      <c r="G56" s="135"/>
      <c r="H56" s="37" t="s">
        <v>163</v>
      </c>
      <c r="I56" s="37" t="s">
        <v>78</v>
      </c>
      <c r="J56" s="37">
        <v>205</v>
      </c>
      <c r="K56" s="47">
        <v>6</v>
      </c>
      <c r="L56" s="44" t="s">
        <v>178</v>
      </c>
      <c r="M56" s="42">
        <v>3</v>
      </c>
      <c r="N56" s="43" t="s">
        <v>143</v>
      </c>
    </row>
    <row r="57" spans="2:15" ht="35.1" customHeight="1" x14ac:dyDescent="0.25">
      <c r="B57" s="13">
        <v>51</v>
      </c>
      <c r="C57" s="20" t="s">
        <v>68</v>
      </c>
      <c r="D57" s="141" t="s">
        <v>91</v>
      </c>
      <c r="E57" s="141"/>
      <c r="F57" s="141"/>
      <c r="G57" s="141"/>
      <c r="H57" s="20" t="s">
        <v>163</v>
      </c>
      <c r="I57" s="20" t="s">
        <v>82</v>
      </c>
      <c r="J57" s="20">
        <v>260</v>
      </c>
      <c r="K57" s="14">
        <v>3</v>
      </c>
      <c r="L57" s="20" t="s">
        <v>143</v>
      </c>
      <c r="M57" s="47">
        <v>6</v>
      </c>
      <c r="N57" s="15" t="s">
        <v>179</v>
      </c>
    </row>
    <row r="58" spans="2:15" ht="35.1" customHeight="1" x14ac:dyDescent="0.25">
      <c r="B58" s="13">
        <v>52</v>
      </c>
      <c r="C58" s="20" t="s">
        <v>69</v>
      </c>
      <c r="D58" s="141" t="s">
        <v>91</v>
      </c>
      <c r="E58" s="141"/>
      <c r="F58" s="141"/>
      <c r="G58" s="141"/>
      <c r="H58" s="20" t="s">
        <v>163</v>
      </c>
      <c r="I58" s="20" t="s">
        <v>82</v>
      </c>
      <c r="J58" s="20">
        <v>1380</v>
      </c>
      <c r="K58" s="14">
        <v>3</v>
      </c>
      <c r="L58" s="20" t="s">
        <v>155</v>
      </c>
      <c r="M58" s="47">
        <v>6</v>
      </c>
      <c r="N58" s="15" t="s">
        <v>181</v>
      </c>
    </row>
    <row r="59" spans="2:15" ht="35.1" customHeight="1" x14ac:dyDescent="0.25">
      <c r="B59" s="13">
        <v>53</v>
      </c>
      <c r="C59" s="20" t="s">
        <v>99</v>
      </c>
      <c r="D59" s="141" t="s">
        <v>91</v>
      </c>
      <c r="E59" s="141"/>
      <c r="F59" s="141"/>
      <c r="G59" s="141"/>
      <c r="H59" s="20" t="s">
        <v>163</v>
      </c>
      <c r="I59" s="20" t="s">
        <v>79</v>
      </c>
      <c r="J59" s="20">
        <v>1375</v>
      </c>
      <c r="K59" s="14">
        <v>3</v>
      </c>
      <c r="L59" s="20" t="s">
        <v>155</v>
      </c>
      <c r="M59" s="47">
        <v>6</v>
      </c>
      <c r="N59" s="15" t="s">
        <v>182</v>
      </c>
      <c r="O59" s="4"/>
    </row>
    <row r="60" spans="2:15" ht="35.1" customHeight="1" x14ac:dyDescent="0.25">
      <c r="B60" s="13">
        <v>54</v>
      </c>
      <c r="C60" s="20" t="s">
        <v>20</v>
      </c>
      <c r="D60" s="141" t="s">
        <v>71</v>
      </c>
      <c r="E60" s="141"/>
      <c r="F60" s="141"/>
      <c r="G60" s="141"/>
      <c r="H60" s="20" t="s">
        <v>162</v>
      </c>
      <c r="I60" s="20" t="s">
        <v>84</v>
      </c>
      <c r="J60" s="20">
        <v>410</v>
      </c>
      <c r="K60" s="12">
        <v>5</v>
      </c>
      <c r="L60" s="20" t="s">
        <v>147</v>
      </c>
      <c r="M60" s="48">
        <v>8.5</v>
      </c>
      <c r="N60" s="15" t="s">
        <v>172</v>
      </c>
    </row>
    <row r="61" spans="2:15" ht="35.1" customHeight="1" x14ac:dyDescent="0.25">
      <c r="B61" s="13">
        <v>55</v>
      </c>
      <c r="C61" s="20" t="s">
        <v>100</v>
      </c>
      <c r="D61" s="141" t="s">
        <v>91</v>
      </c>
      <c r="E61" s="141"/>
      <c r="F61" s="141"/>
      <c r="G61" s="141"/>
      <c r="H61" s="20" t="s">
        <v>163</v>
      </c>
      <c r="I61" s="20" t="s">
        <v>96</v>
      </c>
      <c r="J61" s="20">
        <v>1685</v>
      </c>
      <c r="K61" s="14">
        <v>4</v>
      </c>
      <c r="L61" s="20" t="s">
        <v>152</v>
      </c>
      <c r="M61" s="14">
        <v>3</v>
      </c>
      <c r="N61" s="15" t="s">
        <v>153</v>
      </c>
    </row>
    <row r="62" spans="2:15" ht="35.1" customHeight="1" x14ac:dyDescent="0.25">
      <c r="B62" s="13">
        <v>56</v>
      </c>
      <c r="C62" s="20" t="s">
        <v>101</v>
      </c>
      <c r="D62" s="141" t="s">
        <v>76</v>
      </c>
      <c r="E62" s="141"/>
      <c r="F62" s="141"/>
      <c r="G62" s="141"/>
      <c r="H62" s="20" t="s">
        <v>159</v>
      </c>
      <c r="I62" s="20" t="s">
        <v>19</v>
      </c>
      <c r="J62" s="20">
        <v>1940</v>
      </c>
      <c r="K62" s="14">
        <v>3</v>
      </c>
      <c r="L62" s="20" t="s">
        <v>156</v>
      </c>
      <c r="M62" s="47">
        <v>6</v>
      </c>
      <c r="N62" s="15" t="s">
        <v>183</v>
      </c>
    </row>
    <row r="63" spans="2:15" ht="35.1" customHeight="1" x14ac:dyDescent="0.25">
      <c r="B63" s="13">
        <v>57</v>
      </c>
      <c r="C63" s="20" t="s">
        <v>102</v>
      </c>
      <c r="D63" s="141" t="s">
        <v>76</v>
      </c>
      <c r="E63" s="141"/>
      <c r="F63" s="141"/>
      <c r="G63" s="141"/>
      <c r="H63" s="20" t="s">
        <v>159</v>
      </c>
      <c r="I63" s="20" t="s">
        <v>19</v>
      </c>
      <c r="J63" s="20">
        <v>2465</v>
      </c>
      <c r="K63" s="14">
        <v>3</v>
      </c>
      <c r="L63" s="20">
        <v>39000040</v>
      </c>
      <c r="M63" s="47">
        <v>6</v>
      </c>
      <c r="N63" s="15" t="s">
        <v>183</v>
      </c>
    </row>
    <row r="64" spans="2:15" ht="35.1" customHeight="1" x14ac:dyDescent="0.25">
      <c r="B64" s="13">
        <v>58</v>
      </c>
      <c r="C64" s="20" t="s">
        <v>103</v>
      </c>
      <c r="D64" s="141" t="s">
        <v>76</v>
      </c>
      <c r="E64" s="141"/>
      <c r="F64" s="141"/>
      <c r="G64" s="141"/>
      <c r="H64" s="20" t="s">
        <v>159</v>
      </c>
      <c r="I64" s="20" t="s">
        <v>88</v>
      </c>
      <c r="J64" s="20">
        <v>1945</v>
      </c>
      <c r="K64" s="14">
        <v>3</v>
      </c>
      <c r="L64" s="20" t="s">
        <v>156</v>
      </c>
      <c r="M64" s="47">
        <v>6</v>
      </c>
      <c r="N64" s="15" t="s">
        <v>184</v>
      </c>
    </row>
    <row r="65" spans="2:14" ht="35.1" customHeight="1" x14ac:dyDescent="0.25">
      <c r="B65" s="40">
        <v>59</v>
      </c>
      <c r="C65" s="37" t="s">
        <v>104</v>
      </c>
      <c r="D65" s="135" t="s">
        <v>76</v>
      </c>
      <c r="E65" s="135"/>
      <c r="F65" s="135"/>
      <c r="G65" s="135"/>
      <c r="H65" s="37" t="s">
        <v>159</v>
      </c>
      <c r="I65" s="37" t="s">
        <v>88</v>
      </c>
      <c r="J65" s="37">
        <v>2480</v>
      </c>
      <c r="K65" s="47">
        <v>6</v>
      </c>
      <c r="L65" s="44" t="s">
        <v>184</v>
      </c>
      <c r="M65" s="42">
        <v>3</v>
      </c>
      <c r="N65" s="44">
        <v>39000040</v>
      </c>
    </row>
    <row r="66" spans="2:14" ht="35.1" customHeight="1" x14ac:dyDescent="0.25">
      <c r="B66" s="13">
        <v>60</v>
      </c>
      <c r="C66" s="20" t="s">
        <v>105</v>
      </c>
      <c r="D66" s="141" t="s">
        <v>91</v>
      </c>
      <c r="E66" s="141"/>
      <c r="F66" s="141"/>
      <c r="G66" s="141"/>
      <c r="H66" s="20" t="s">
        <v>163</v>
      </c>
      <c r="I66" s="20" t="s">
        <v>19</v>
      </c>
      <c r="J66" s="20">
        <v>1685</v>
      </c>
      <c r="K66" s="14">
        <v>4</v>
      </c>
      <c r="L66" s="20" t="s">
        <v>152</v>
      </c>
      <c r="M66" s="14">
        <v>2</v>
      </c>
      <c r="N66" s="15" t="s">
        <v>153</v>
      </c>
    </row>
    <row r="67" spans="2:14" ht="35.1" customHeight="1" x14ac:dyDescent="0.25">
      <c r="B67" s="13">
        <v>61</v>
      </c>
      <c r="C67" s="20" t="s">
        <v>106</v>
      </c>
      <c r="D67" s="141" t="s">
        <v>91</v>
      </c>
      <c r="E67" s="141"/>
      <c r="F67" s="141"/>
      <c r="G67" s="141"/>
      <c r="H67" s="20" t="s">
        <v>163</v>
      </c>
      <c r="I67" s="20" t="s">
        <v>96</v>
      </c>
      <c r="J67" s="20">
        <v>1825</v>
      </c>
      <c r="K67" s="14">
        <v>2</v>
      </c>
      <c r="L67" s="20" t="s">
        <v>145</v>
      </c>
      <c r="M67" s="47">
        <v>6</v>
      </c>
      <c r="N67" s="15" t="s">
        <v>201</v>
      </c>
    </row>
    <row r="68" spans="2:14" ht="35.1" customHeight="1" x14ac:dyDescent="0.25">
      <c r="B68" s="13">
        <v>62</v>
      </c>
      <c r="C68" s="20" t="s">
        <v>107</v>
      </c>
      <c r="D68" s="141" t="s">
        <v>91</v>
      </c>
      <c r="E68" s="141"/>
      <c r="F68" s="141"/>
      <c r="G68" s="141"/>
      <c r="H68" s="20" t="s">
        <v>163</v>
      </c>
      <c r="I68" s="20" t="s">
        <v>88</v>
      </c>
      <c r="J68" s="20">
        <v>1345</v>
      </c>
      <c r="K68" s="14">
        <v>3</v>
      </c>
      <c r="L68" s="20" t="s">
        <v>143</v>
      </c>
      <c r="M68" s="14">
        <v>3</v>
      </c>
      <c r="N68" s="17" t="s">
        <v>143</v>
      </c>
    </row>
    <row r="69" spans="2:14" ht="35.1" customHeight="1" x14ac:dyDescent="0.25">
      <c r="B69" s="13">
        <v>63</v>
      </c>
      <c r="C69" s="20" t="s">
        <v>108</v>
      </c>
      <c r="D69" s="141" t="s">
        <v>91</v>
      </c>
      <c r="E69" s="141"/>
      <c r="F69" s="141"/>
      <c r="G69" s="141"/>
      <c r="H69" s="20" t="s">
        <v>163</v>
      </c>
      <c r="I69" s="20" t="s">
        <v>96</v>
      </c>
      <c r="J69" s="20">
        <v>3010</v>
      </c>
      <c r="K69" s="14">
        <v>3</v>
      </c>
      <c r="L69" s="20" t="s">
        <v>143</v>
      </c>
      <c r="M69" s="14">
        <v>3</v>
      </c>
      <c r="N69" s="17" t="s">
        <v>154</v>
      </c>
    </row>
    <row r="70" spans="2:14" ht="35.1" customHeight="1" x14ac:dyDescent="0.25">
      <c r="B70" s="13">
        <v>64</v>
      </c>
      <c r="C70" s="20" t="s">
        <v>109</v>
      </c>
      <c r="D70" s="141" t="s">
        <v>91</v>
      </c>
      <c r="E70" s="141"/>
      <c r="F70" s="141"/>
      <c r="G70" s="141"/>
      <c r="H70" s="20" t="s">
        <v>163</v>
      </c>
      <c r="I70" s="20" t="s">
        <v>81</v>
      </c>
      <c r="J70" s="20">
        <v>1865</v>
      </c>
      <c r="K70" s="14">
        <v>3.5</v>
      </c>
      <c r="L70" s="20" t="s">
        <v>154</v>
      </c>
      <c r="M70" s="14">
        <v>2</v>
      </c>
      <c r="N70" s="17" t="s">
        <v>145</v>
      </c>
    </row>
    <row r="71" spans="2:14" ht="35.1" customHeight="1" x14ac:dyDescent="0.25">
      <c r="B71" s="13">
        <v>65</v>
      </c>
      <c r="C71" s="20" t="s">
        <v>110</v>
      </c>
      <c r="D71" s="165" t="s">
        <v>207</v>
      </c>
      <c r="E71" s="165"/>
      <c r="F71" s="165"/>
      <c r="G71" s="165"/>
      <c r="H71" s="22" t="s">
        <v>208</v>
      </c>
      <c r="I71" s="20" t="s">
        <v>192</v>
      </c>
      <c r="J71" s="11">
        <v>2550</v>
      </c>
      <c r="K71" s="14">
        <v>5</v>
      </c>
      <c r="L71" s="22" t="s">
        <v>209</v>
      </c>
      <c r="M71" s="14">
        <v>2</v>
      </c>
      <c r="N71" s="15" t="s">
        <v>145</v>
      </c>
    </row>
    <row r="72" spans="2:14" ht="35.1" customHeight="1" x14ac:dyDescent="0.25">
      <c r="B72" s="13">
        <v>66</v>
      </c>
      <c r="C72" s="20" t="s">
        <v>111</v>
      </c>
      <c r="D72" s="135" t="s">
        <v>91</v>
      </c>
      <c r="E72" s="135"/>
      <c r="F72" s="135"/>
      <c r="G72" s="135"/>
      <c r="H72" s="24" t="s">
        <v>163</v>
      </c>
      <c r="I72" s="20" t="s">
        <v>113</v>
      </c>
      <c r="J72" s="20">
        <v>455</v>
      </c>
      <c r="K72" s="14">
        <v>3</v>
      </c>
      <c r="L72" s="20" t="s">
        <v>143</v>
      </c>
      <c r="M72" s="47">
        <v>6</v>
      </c>
      <c r="N72" s="15" t="s">
        <v>202</v>
      </c>
    </row>
    <row r="73" spans="2:14" ht="35.1" customHeight="1" x14ac:dyDescent="0.25">
      <c r="B73" s="40">
        <v>67</v>
      </c>
      <c r="C73" s="37" t="s">
        <v>112</v>
      </c>
      <c r="D73" s="135" t="s">
        <v>207</v>
      </c>
      <c r="E73" s="135"/>
      <c r="F73" s="135"/>
      <c r="G73" s="135"/>
      <c r="H73" s="37" t="s">
        <v>208</v>
      </c>
      <c r="I73" s="37" t="s">
        <v>96</v>
      </c>
      <c r="J73" s="45">
        <v>3890</v>
      </c>
      <c r="K73" s="47">
        <v>6</v>
      </c>
      <c r="L73" s="44" t="s">
        <v>201</v>
      </c>
      <c r="M73" s="42">
        <v>5</v>
      </c>
      <c r="N73" s="44" t="s">
        <v>209</v>
      </c>
    </row>
    <row r="74" spans="2:14" ht="35.1" customHeight="1" x14ac:dyDescent="0.25">
      <c r="B74" s="13">
        <v>68</v>
      </c>
      <c r="C74" s="20" t="s">
        <v>114</v>
      </c>
      <c r="D74" s="141" t="s">
        <v>91</v>
      </c>
      <c r="E74" s="141"/>
      <c r="F74" s="141"/>
      <c r="G74" s="141"/>
      <c r="H74" s="20" t="s">
        <v>163</v>
      </c>
      <c r="I74" s="20" t="s">
        <v>115</v>
      </c>
      <c r="J74" s="20">
        <v>770</v>
      </c>
      <c r="K74" s="14">
        <v>3</v>
      </c>
      <c r="L74" s="20" t="s">
        <v>143</v>
      </c>
      <c r="M74" s="14">
        <v>2</v>
      </c>
      <c r="N74" s="15" t="s">
        <v>145</v>
      </c>
    </row>
    <row r="75" spans="2:14" ht="35.1" customHeight="1" x14ac:dyDescent="0.25">
      <c r="B75" s="13">
        <v>69</v>
      </c>
      <c r="C75" s="20" t="s">
        <v>116</v>
      </c>
      <c r="D75" s="141" t="s">
        <v>91</v>
      </c>
      <c r="E75" s="141"/>
      <c r="F75" s="141"/>
      <c r="G75" s="141"/>
      <c r="H75" s="20" t="s">
        <v>163</v>
      </c>
      <c r="I75" s="20" t="s">
        <v>85</v>
      </c>
      <c r="J75" s="20">
        <v>770</v>
      </c>
      <c r="K75" s="14">
        <v>2</v>
      </c>
      <c r="L75" s="20" t="s">
        <v>145</v>
      </c>
      <c r="M75" s="14">
        <v>3</v>
      </c>
      <c r="N75" s="15" t="s">
        <v>143</v>
      </c>
    </row>
    <row r="76" spans="2:14" ht="35.1" customHeight="1" x14ac:dyDescent="0.25">
      <c r="B76" s="13">
        <v>70</v>
      </c>
      <c r="C76" s="20" t="s">
        <v>117</v>
      </c>
      <c r="D76" s="141" t="s">
        <v>91</v>
      </c>
      <c r="E76" s="141"/>
      <c r="F76" s="141"/>
      <c r="G76" s="141"/>
      <c r="H76" s="20" t="s">
        <v>163</v>
      </c>
      <c r="I76" s="20" t="s">
        <v>122</v>
      </c>
      <c r="J76" s="20">
        <v>1535</v>
      </c>
      <c r="K76" s="14">
        <v>3</v>
      </c>
      <c r="L76" s="20" t="s">
        <v>143</v>
      </c>
      <c r="M76" s="14">
        <v>2</v>
      </c>
      <c r="N76" s="15" t="s">
        <v>145</v>
      </c>
    </row>
    <row r="77" spans="2:14" ht="35.1" customHeight="1" x14ac:dyDescent="0.25">
      <c r="B77" s="13">
        <v>71</v>
      </c>
      <c r="C77" s="20" t="s">
        <v>118</v>
      </c>
      <c r="D77" s="141" t="s">
        <v>91</v>
      </c>
      <c r="E77" s="141"/>
      <c r="F77" s="141"/>
      <c r="G77" s="141"/>
      <c r="H77" s="20" t="s">
        <v>163</v>
      </c>
      <c r="I77" s="20" t="s">
        <v>75</v>
      </c>
      <c r="J77" s="20">
        <v>1535</v>
      </c>
      <c r="K77" s="14">
        <v>2</v>
      </c>
      <c r="L77" s="20" t="s">
        <v>145</v>
      </c>
      <c r="M77" s="14">
        <v>3</v>
      </c>
      <c r="N77" s="15" t="s">
        <v>143</v>
      </c>
    </row>
    <row r="78" spans="2:14" ht="35.1" customHeight="1" x14ac:dyDescent="0.25">
      <c r="B78" s="13">
        <v>72</v>
      </c>
      <c r="C78" s="20" t="s">
        <v>119</v>
      </c>
      <c r="D78" s="141" t="s">
        <v>91</v>
      </c>
      <c r="E78" s="141"/>
      <c r="F78" s="141"/>
      <c r="G78" s="141"/>
      <c r="H78" s="20" t="s">
        <v>163</v>
      </c>
      <c r="I78" s="20" t="s">
        <v>88</v>
      </c>
      <c r="J78" s="20">
        <v>1855</v>
      </c>
      <c r="K78" s="14">
        <v>3</v>
      </c>
      <c r="L78" s="20" t="s">
        <v>143</v>
      </c>
      <c r="M78" s="14">
        <v>2</v>
      </c>
      <c r="N78" s="15" t="s">
        <v>145</v>
      </c>
    </row>
    <row r="79" spans="2:14" ht="35.1" customHeight="1" x14ac:dyDescent="0.25">
      <c r="B79" s="13">
        <v>73</v>
      </c>
      <c r="C79" s="20" t="s">
        <v>120</v>
      </c>
      <c r="D79" s="141" t="s">
        <v>91</v>
      </c>
      <c r="E79" s="141"/>
      <c r="F79" s="141"/>
      <c r="G79" s="141"/>
      <c r="H79" s="20" t="s">
        <v>163</v>
      </c>
      <c r="I79" s="20" t="s">
        <v>96</v>
      </c>
      <c r="J79" s="20">
        <v>1855</v>
      </c>
      <c r="K79" s="14">
        <v>2</v>
      </c>
      <c r="L79" s="20" t="s">
        <v>145</v>
      </c>
      <c r="M79" s="14">
        <v>3</v>
      </c>
      <c r="N79" s="15" t="s">
        <v>143</v>
      </c>
    </row>
    <row r="80" spans="2:14" ht="35.1" customHeight="1" x14ac:dyDescent="0.25">
      <c r="B80" s="13">
        <v>74</v>
      </c>
      <c r="C80" s="20" t="s">
        <v>121</v>
      </c>
      <c r="D80" s="141" t="s">
        <v>91</v>
      </c>
      <c r="E80" s="141"/>
      <c r="F80" s="141"/>
      <c r="G80" s="141"/>
      <c r="H80" s="20" t="s">
        <v>163</v>
      </c>
      <c r="I80" s="20" t="s">
        <v>78</v>
      </c>
      <c r="J80" s="20">
        <v>1175</v>
      </c>
      <c r="K80" s="14">
        <v>2</v>
      </c>
      <c r="L80" s="16" t="s">
        <v>145</v>
      </c>
      <c r="M80" s="14">
        <v>3</v>
      </c>
      <c r="N80" s="15" t="s">
        <v>143</v>
      </c>
    </row>
    <row r="81" spans="1:15" ht="35.1" customHeight="1" x14ac:dyDescent="0.25">
      <c r="B81" s="40">
        <v>75</v>
      </c>
      <c r="C81" s="37" t="s">
        <v>123</v>
      </c>
      <c r="D81" s="135" t="s">
        <v>91</v>
      </c>
      <c r="E81" s="135"/>
      <c r="F81" s="135"/>
      <c r="G81" s="135"/>
      <c r="H81" s="37" t="s">
        <v>163</v>
      </c>
      <c r="I81" s="41" t="s">
        <v>173</v>
      </c>
      <c r="J81" s="37">
        <v>125</v>
      </c>
      <c r="K81" s="47">
        <v>6</v>
      </c>
      <c r="L81" s="41" t="s">
        <v>186</v>
      </c>
      <c r="M81" s="42">
        <v>3</v>
      </c>
      <c r="N81" s="44" t="s">
        <v>143</v>
      </c>
    </row>
    <row r="82" spans="1:15" ht="35.1" customHeight="1" x14ac:dyDescent="0.25">
      <c r="B82" s="13">
        <v>76</v>
      </c>
      <c r="C82" s="20" t="s">
        <v>124</v>
      </c>
      <c r="D82" s="141" t="s">
        <v>91</v>
      </c>
      <c r="E82" s="141"/>
      <c r="F82" s="141"/>
      <c r="G82" s="141"/>
      <c r="H82" s="20" t="s">
        <v>163</v>
      </c>
      <c r="I82" s="16" t="s">
        <v>173</v>
      </c>
      <c r="J82" s="20">
        <v>1090</v>
      </c>
      <c r="K82" s="14">
        <v>2</v>
      </c>
      <c r="L82" s="16" t="s">
        <v>145</v>
      </c>
      <c r="M82" s="47">
        <v>6</v>
      </c>
      <c r="N82" s="15" t="s">
        <v>185</v>
      </c>
    </row>
    <row r="83" spans="1:15" ht="35.1" customHeight="1" x14ac:dyDescent="0.25">
      <c r="B83" s="13">
        <v>77</v>
      </c>
      <c r="C83" s="20" t="s">
        <v>125</v>
      </c>
      <c r="D83" s="141" t="s">
        <v>91</v>
      </c>
      <c r="E83" s="141"/>
      <c r="F83" s="141"/>
      <c r="G83" s="141"/>
      <c r="H83" s="20" t="s">
        <v>163</v>
      </c>
      <c r="I83" s="20" t="s">
        <v>81</v>
      </c>
      <c r="J83" s="20">
        <v>1175</v>
      </c>
      <c r="K83" s="14">
        <v>2</v>
      </c>
      <c r="L83" s="16" t="s">
        <v>145</v>
      </c>
      <c r="M83" s="14">
        <v>3.5</v>
      </c>
      <c r="N83" s="15" t="s">
        <v>143</v>
      </c>
    </row>
    <row r="84" spans="1:15" ht="35.1" customHeight="1" x14ac:dyDescent="0.25">
      <c r="B84" s="13">
        <v>78</v>
      </c>
      <c r="C84" s="20" t="s">
        <v>126</v>
      </c>
      <c r="D84" s="141" t="s">
        <v>91</v>
      </c>
      <c r="E84" s="141"/>
      <c r="F84" s="141"/>
      <c r="G84" s="141"/>
      <c r="H84" s="20" t="s">
        <v>163</v>
      </c>
      <c r="I84" s="20" t="s">
        <v>90</v>
      </c>
      <c r="J84" s="20">
        <v>1030</v>
      </c>
      <c r="K84" s="14">
        <v>4</v>
      </c>
      <c r="L84" s="16" t="s">
        <v>152</v>
      </c>
      <c r="M84" s="14">
        <v>2</v>
      </c>
      <c r="N84" s="15" t="s">
        <v>145</v>
      </c>
    </row>
    <row r="85" spans="1:15" ht="35.1" customHeight="1" x14ac:dyDescent="0.25">
      <c r="B85" s="13">
        <v>79</v>
      </c>
      <c r="C85" s="20" t="s">
        <v>127</v>
      </c>
      <c r="D85" s="141" t="s">
        <v>91</v>
      </c>
      <c r="E85" s="141"/>
      <c r="F85" s="141"/>
      <c r="G85" s="141"/>
      <c r="H85" s="20" t="s">
        <v>163</v>
      </c>
      <c r="I85" s="20" t="s">
        <v>83</v>
      </c>
      <c r="J85" s="20">
        <v>1020</v>
      </c>
      <c r="K85" s="14">
        <v>4</v>
      </c>
      <c r="L85" s="20" t="s">
        <v>152</v>
      </c>
      <c r="M85" s="14">
        <v>2</v>
      </c>
      <c r="N85" s="15" t="s">
        <v>145</v>
      </c>
    </row>
    <row r="86" spans="1:15" ht="35.1" customHeight="1" x14ac:dyDescent="0.25">
      <c r="B86" s="13">
        <v>80</v>
      </c>
      <c r="C86" s="20" t="s">
        <v>128</v>
      </c>
      <c r="D86" s="141" t="s">
        <v>91</v>
      </c>
      <c r="E86" s="141"/>
      <c r="F86" s="141"/>
      <c r="G86" s="141"/>
      <c r="H86" s="20" t="s">
        <v>163</v>
      </c>
      <c r="I86" s="20" t="s">
        <v>94</v>
      </c>
      <c r="J86" s="20">
        <v>1030</v>
      </c>
      <c r="K86" s="14">
        <v>2</v>
      </c>
      <c r="L86" s="16" t="s">
        <v>145</v>
      </c>
      <c r="M86" s="14">
        <v>4</v>
      </c>
      <c r="N86" s="15" t="s">
        <v>152</v>
      </c>
    </row>
    <row r="87" spans="1:15" ht="35.1" customHeight="1" x14ac:dyDescent="0.25">
      <c r="B87" s="13">
        <v>81</v>
      </c>
      <c r="C87" s="20" t="s">
        <v>129</v>
      </c>
      <c r="D87" s="141" t="s">
        <v>91</v>
      </c>
      <c r="E87" s="141"/>
      <c r="F87" s="141"/>
      <c r="G87" s="141"/>
      <c r="H87" s="20" t="s">
        <v>163</v>
      </c>
      <c r="I87" s="20" t="s">
        <v>95</v>
      </c>
      <c r="J87" s="20">
        <v>1030</v>
      </c>
      <c r="K87" s="14">
        <v>4</v>
      </c>
      <c r="L87" s="16" t="s">
        <v>152</v>
      </c>
      <c r="M87" s="14">
        <v>2</v>
      </c>
      <c r="N87" s="15" t="s">
        <v>145</v>
      </c>
    </row>
    <row r="88" spans="1:15" ht="35.1" customHeight="1" x14ac:dyDescent="0.25">
      <c r="B88" s="13">
        <v>82</v>
      </c>
      <c r="C88" s="20" t="s">
        <v>130</v>
      </c>
      <c r="D88" s="141" t="s">
        <v>91</v>
      </c>
      <c r="E88" s="141"/>
      <c r="F88" s="141"/>
      <c r="G88" s="141"/>
      <c r="H88" s="20" t="s">
        <v>163</v>
      </c>
      <c r="I88" s="20" t="s">
        <v>96</v>
      </c>
      <c r="J88" s="20">
        <v>550</v>
      </c>
      <c r="K88" s="14">
        <v>2.5</v>
      </c>
      <c r="L88" s="20" t="s">
        <v>145</v>
      </c>
      <c r="M88" s="47">
        <v>6</v>
      </c>
      <c r="N88" s="15" t="s">
        <v>187</v>
      </c>
    </row>
    <row r="89" spans="1:15" ht="35.1" customHeight="1" x14ac:dyDescent="0.25">
      <c r="A89" s="4"/>
      <c r="B89" s="13">
        <v>83</v>
      </c>
      <c r="C89" s="20" t="s">
        <v>21</v>
      </c>
      <c r="D89" s="141" t="s">
        <v>91</v>
      </c>
      <c r="E89" s="141"/>
      <c r="F89" s="141"/>
      <c r="G89" s="141"/>
      <c r="H89" s="20" t="s">
        <v>163</v>
      </c>
      <c r="I89" s="20" t="s">
        <v>19</v>
      </c>
      <c r="J89" s="20">
        <v>1000</v>
      </c>
      <c r="K89" s="14">
        <v>4</v>
      </c>
      <c r="L89" s="20" t="s">
        <v>152</v>
      </c>
      <c r="M89" s="14">
        <v>2</v>
      </c>
      <c r="N89" s="15" t="s">
        <v>145</v>
      </c>
    </row>
    <row r="90" spans="1:15" ht="35.1" customHeight="1" x14ac:dyDescent="0.25">
      <c r="B90" s="13">
        <v>84</v>
      </c>
      <c r="C90" s="20" t="s">
        <v>22</v>
      </c>
      <c r="D90" s="141" t="s">
        <v>91</v>
      </c>
      <c r="E90" s="141"/>
      <c r="F90" s="141"/>
      <c r="G90" s="141"/>
      <c r="H90" s="20" t="s">
        <v>163</v>
      </c>
      <c r="I90" s="20" t="s">
        <v>96</v>
      </c>
      <c r="J90" s="20">
        <v>450</v>
      </c>
      <c r="K90" s="14">
        <v>4</v>
      </c>
      <c r="L90" s="16" t="s">
        <v>152</v>
      </c>
      <c r="M90" s="47">
        <v>6</v>
      </c>
      <c r="N90" s="15" t="s">
        <v>188</v>
      </c>
    </row>
    <row r="91" spans="1:15" ht="35.1" customHeight="1" x14ac:dyDescent="0.25">
      <c r="B91" s="13">
        <v>85</v>
      </c>
      <c r="C91" s="20" t="s">
        <v>23</v>
      </c>
      <c r="D91" s="141" t="s">
        <v>91</v>
      </c>
      <c r="E91" s="141"/>
      <c r="F91" s="141"/>
      <c r="G91" s="141"/>
      <c r="H91" s="20" t="s">
        <v>163</v>
      </c>
      <c r="I91" s="20" t="s">
        <v>80</v>
      </c>
      <c r="J91" s="20">
        <v>1345</v>
      </c>
      <c r="K91" s="14">
        <v>3</v>
      </c>
      <c r="L91" s="16" t="s">
        <v>143</v>
      </c>
      <c r="M91" s="14">
        <v>3</v>
      </c>
      <c r="N91" s="15" t="s">
        <v>143</v>
      </c>
    </row>
    <row r="92" spans="1:15" ht="35.1" customHeight="1" x14ac:dyDescent="0.25">
      <c r="B92" s="13">
        <v>86</v>
      </c>
      <c r="C92" s="20" t="s">
        <v>24</v>
      </c>
      <c r="D92" s="141" t="s">
        <v>91</v>
      </c>
      <c r="E92" s="141"/>
      <c r="F92" s="141"/>
      <c r="G92" s="141"/>
      <c r="H92" s="20" t="s">
        <v>163</v>
      </c>
      <c r="I92" s="20" t="s">
        <v>95</v>
      </c>
      <c r="J92" s="20">
        <v>1345</v>
      </c>
      <c r="K92" s="14">
        <v>3</v>
      </c>
      <c r="L92" s="20" t="s">
        <v>143</v>
      </c>
      <c r="M92" s="14">
        <v>3</v>
      </c>
      <c r="N92" s="17" t="s">
        <v>143</v>
      </c>
    </row>
    <row r="93" spans="1:15" ht="35.1" customHeight="1" x14ac:dyDescent="0.25">
      <c r="B93" s="13">
        <v>87</v>
      </c>
      <c r="C93" s="20" t="s">
        <v>131</v>
      </c>
      <c r="D93" s="141" t="s">
        <v>91</v>
      </c>
      <c r="E93" s="141"/>
      <c r="F93" s="141"/>
      <c r="G93" s="141"/>
      <c r="H93" s="20" t="s">
        <v>163</v>
      </c>
      <c r="I93" s="20" t="s">
        <v>82</v>
      </c>
      <c r="J93" s="20">
        <v>1345</v>
      </c>
      <c r="K93" s="14">
        <v>3</v>
      </c>
      <c r="L93" s="20" t="s">
        <v>143</v>
      </c>
      <c r="M93" s="14">
        <v>3</v>
      </c>
      <c r="N93" s="15" t="s">
        <v>143</v>
      </c>
    </row>
    <row r="94" spans="1:15" ht="35.1" customHeight="1" x14ac:dyDescent="0.25">
      <c r="B94" s="13">
        <v>88</v>
      </c>
      <c r="C94" s="20" t="s">
        <v>132</v>
      </c>
      <c r="D94" s="141" t="s">
        <v>91</v>
      </c>
      <c r="E94" s="141"/>
      <c r="F94" s="141"/>
      <c r="G94" s="141"/>
      <c r="H94" s="20" t="s">
        <v>163</v>
      </c>
      <c r="I94" s="20" t="s">
        <v>73</v>
      </c>
      <c r="J94" s="20">
        <v>1645</v>
      </c>
      <c r="K94" s="14">
        <v>3</v>
      </c>
      <c r="L94" s="20" t="s">
        <v>148</v>
      </c>
      <c r="M94" s="14">
        <v>3</v>
      </c>
      <c r="N94" s="15" t="s">
        <v>148</v>
      </c>
      <c r="O94" s="4"/>
    </row>
    <row r="95" spans="1:15" ht="35.1" customHeight="1" x14ac:dyDescent="0.25">
      <c r="A95" s="4"/>
      <c r="B95" s="13">
        <v>89</v>
      </c>
      <c r="C95" s="20" t="s">
        <v>133</v>
      </c>
      <c r="D95" s="141" t="s">
        <v>91</v>
      </c>
      <c r="E95" s="141"/>
      <c r="F95" s="141"/>
      <c r="G95" s="141"/>
      <c r="H95" s="20" t="s">
        <v>163</v>
      </c>
      <c r="I95" s="20" t="s">
        <v>193</v>
      </c>
      <c r="J95" s="20">
        <v>2055</v>
      </c>
      <c r="K95" s="14">
        <v>3</v>
      </c>
      <c r="L95" s="20" t="s">
        <v>148</v>
      </c>
      <c r="M95" s="14">
        <v>3</v>
      </c>
      <c r="N95" s="15" t="s">
        <v>148</v>
      </c>
      <c r="O95" s="4"/>
    </row>
    <row r="96" spans="1:15" ht="35.1" customHeight="1" x14ac:dyDescent="0.25">
      <c r="B96" s="40">
        <v>90</v>
      </c>
      <c r="C96" s="37" t="s">
        <v>134</v>
      </c>
      <c r="D96" s="135" t="s">
        <v>91</v>
      </c>
      <c r="E96" s="135"/>
      <c r="F96" s="135"/>
      <c r="G96" s="135"/>
      <c r="H96" s="37" t="s">
        <v>163</v>
      </c>
      <c r="I96" s="37" t="s">
        <v>82</v>
      </c>
      <c r="J96" s="37">
        <v>2200</v>
      </c>
      <c r="K96" s="47">
        <v>6</v>
      </c>
      <c r="L96" s="44" t="s">
        <v>181</v>
      </c>
      <c r="M96" s="42">
        <v>3</v>
      </c>
      <c r="N96" s="44" t="s">
        <v>143</v>
      </c>
    </row>
    <row r="97" spans="1:15" ht="35.1" customHeight="1" x14ac:dyDescent="0.25">
      <c r="B97" s="40">
        <v>91</v>
      </c>
      <c r="C97" s="37" t="s">
        <v>135</v>
      </c>
      <c r="D97" s="135" t="s">
        <v>91</v>
      </c>
      <c r="E97" s="135"/>
      <c r="F97" s="135"/>
      <c r="G97" s="135"/>
      <c r="H97" s="37" t="s">
        <v>163</v>
      </c>
      <c r="I97" s="37" t="s">
        <v>79</v>
      </c>
      <c r="J97" s="37">
        <v>2150</v>
      </c>
      <c r="K97" s="47">
        <v>6</v>
      </c>
      <c r="L97" s="44" t="s">
        <v>168</v>
      </c>
      <c r="M97" s="42">
        <v>3</v>
      </c>
      <c r="N97" s="43" t="s">
        <v>143</v>
      </c>
    </row>
    <row r="98" spans="1:15" ht="35.1" customHeight="1" x14ac:dyDescent="0.25">
      <c r="B98" s="40">
        <v>92</v>
      </c>
      <c r="C98" s="37" t="s">
        <v>136</v>
      </c>
      <c r="D98" s="135" t="s">
        <v>71</v>
      </c>
      <c r="E98" s="135"/>
      <c r="F98" s="135"/>
      <c r="G98" s="135"/>
      <c r="H98" s="37" t="s">
        <v>162</v>
      </c>
      <c r="I98" s="37" t="s">
        <v>84</v>
      </c>
      <c r="J98" s="37">
        <v>1725</v>
      </c>
      <c r="K98" s="48">
        <v>8.5</v>
      </c>
      <c r="L98" s="41" t="s">
        <v>190</v>
      </c>
      <c r="M98" s="42">
        <v>4</v>
      </c>
      <c r="N98" s="44" t="s">
        <v>158</v>
      </c>
    </row>
    <row r="99" spans="1:15" ht="35.1" customHeight="1" x14ac:dyDescent="0.25">
      <c r="B99" s="13">
        <v>93</v>
      </c>
      <c r="C99" s="20" t="s">
        <v>137</v>
      </c>
      <c r="D99" s="141" t="s">
        <v>91</v>
      </c>
      <c r="E99" s="141"/>
      <c r="F99" s="141"/>
      <c r="G99" s="141"/>
      <c r="H99" s="20" t="s">
        <v>163</v>
      </c>
      <c r="I99" s="20" t="s">
        <v>73</v>
      </c>
      <c r="J99" s="20">
        <v>895</v>
      </c>
      <c r="K99" s="14">
        <v>3</v>
      </c>
      <c r="L99" s="20" t="s">
        <v>148</v>
      </c>
      <c r="M99" s="14">
        <v>3</v>
      </c>
      <c r="N99" s="15" t="s">
        <v>148</v>
      </c>
      <c r="O99" s="4"/>
    </row>
    <row r="100" spans="1:15" ht="35.1" customHeight="1" x14ac:dyDescent="0.25">
      <c r="B100" s="13">
        <v>94</v>
      </c>
      <c r="C100" s="20" t="s">
        <v>138</v>
      </c>
      <c r="D100" s="141" t="s">
        <v>91</v>
      </c>
      <c r="E100" s="141"/>
      <c r="F100" s="141"/>
      <c r="G100" s="141"/>
      <c r="H100" s="20" t="s">
        <v>163</v>
      </c>
      <c r="I100" s="20" t="s">
        <v>192</v>
      </c>
      <c r="J100" s="20">
        <v>4525</v>
      </c>
      <c r="K100" s="14">
        <v>3</v>
      </c>
      <c r="L100" s="20" t="s">
        <v>148</v>
      </c>
      <c r="M100" s="14">
        <v>3</v>
      </c>
      <c r="N100" s="15" t="s">
        <v>148</v>
      </c>
      <c r="O100" s="4"/>
    </row>
    <row r="101" spans="1:15" ht="35.1" customHeight="1" x14ac:dyDescent="0.25">
      <c r="A101" s="4"/>
      <c r="B101" s="13">
        <v>95</v>
      </c>
      <c r="C101" s="20" t="s">
        <v>139</v>
      </c>
      <c r="D101" s="141" t="s">
        <v>91</v>
      </c>
      <c r="E101" s="141"/>
      <c r="F101" s="141"/>
      <c r="G101" s="141"/>
      <c r="H101" s="20" t="s">
        <v>163</v>
      </c>
      <c r="I101" s="20" t="s">
        <v>73</v>
      </c>
      <c r="J101" s="20">
        <v>875</v>
      </c>
      <c r="K101" s="14">
        <v>3</v>
      </c>
      <c r="L101" s="20" t="s">
        <v>148</v>
      </c>
      <c r="M101" s="14">
        <v>3</v>
      </c>
      <c r="N101" s="15" t="s">
        <v>148</v>
      </c>
      <c r="O101" s="4"/>
    </row>
    <row r="102" spans="1:15" ht="35.1" customHeight="1" x14ac:dyDescent="0.25">
      <c r="B102" s="13">
        <v>96</v>
      </c>
      <c r="C102" s="20" t="s">
        <v>140</v>
      </c>
      <c r="D102" s="141" t="s">
        <v>91</v>
      </c>
      <c r="E102" s="141"/>
      <c r="F102" s="141"/>
      <c r="G102" s="141"/>
      <c r="H102" s="20" t="s">
        <v>163</v>
      </c>
      <c r="I102" s="20" t="s">
        <v>193</v>
      </c>
      <c r="J102" s="20">
        <v>3440</v>
      </c>
      <c r="K102" s="14">
        <v>3</v>
      </c>
      <c r="L102" s="20" t="s">
        <v>148</v>
      </c>
      <c r="M102" s="14">
        <v>3</v>
      </c>
      <c r="N102" s="15" t="s">
        <v>145</v>
      </c>
      <c r="O102" s="4"/>
    </row>
    <row r="103" spans="1:15" ht="15.75" customHeight="1" x14ac:dyDescent="0.25">
      <c r="B103" s="149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1"/>
    </row>
    <row r="104" spans="1:15" ht="22.5" customHeight="1" x14ac:dyDescent="0.3">
      <c r="B104" s="142" t="s">
        <v>205</v>
      </c>
      <c r="C104" s="143"/>
      <c r="D104" s="143" t="s">
        <v>203</v>
      </c>
      <c r="E104" s="143"/>
      <c r="F104" s="143"/>
      <c r="G104" s="143"/>
      <c r="H104" s="143"/>
      <c r="I104" s="143"/>
      <c r="J104" s="143"/>
      <c r="K104" s="143"/>
      <c r="L104" s="143"/>
      <c r="M104" s="143" t="s">
        <v>206</v>
      </c>
      <c r="N104" s="145"/>
    </row>
    <row r="105" spans="1:15" ht="22.5" customHeight="1" x14ac:dyDescent="0.25">
      <c r="B105" s="179" t="s">
        <v>204</v>
      </c>
      <c r="C105" s="180"/>
      <c r="D105" s="141" t="s">
        <v>210</v>
      </c>
      <c r="E105" s="141"/>
      <c r="F105" s="141"/>
      <c r="G105" s="141"/>
      <c r="H105" s="141"/>
      <c r="I105" s="141"/>
      <c r="J105" s="141"/>
      <c r="K105" s="141"/>
      <c r="L105" s="141"/>
      <c r="M105" s="147">
        <v>45812</v>
      </c>
      <c r="N105" s="148"/>
    </row>
    <row r="106" spans="1:15" ht="22.5" customHeight="1" x14ac:dyDescent="0.25">
      <c r="B106" s="181"/>
      <c r="C106" s="182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8"/>
    </row>
    <row r="107" spans="1:15" ht="22.5" customHeight="1" x14ac:dyDescent="0.25">
      <c r="B107" s="177"/>
      <c r="C107" s="178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8"/>
    </row>
    <row r="108" spans="1:15" ht="32.25" customHeight="1" thickBot="1" x14ac:dyDescent="0.3">
      <c r="B108" s="152" t="s">
        <v>15</v>
      </c>
      <c r="C108" s="153"/>
      <c r="D108" s="153"/>
      <c r="E108" s="153"/>
      <c r="F108" s="153"/>
      <c r="G108" s="153"/>
      <c r="H108" s="154"/>
      <c r="I108" s="155" t="s">
        <v>16</v>
      </c>
      <c r="J108" s="153"/>
      <c r="K108" s="154"/>
      <c r="L108" s="155" t="s">
        <v>17</v>
      </c>
      <c r="M108" s="153"/>
      <c r="N108" s="156"/>
    </row>
    <row r="109" spans="1:15" ht="15.75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</sheetData>
  <mergeCells count="124">
    <mergeCell ref="B104:C104"/>
    <mergeCell ref="D104:L104"/>
    <mergeCell ref="M104:N104"/>
    <mergeCell ref="B103:N103"/>
    <mergeCell ref="D105:L105"/>
    <mergeCell ref="D106:L106"/>
    <mergeCell ref="D107:L107"/>
    <mergeCell ref="M105:N105"/>
    <mergeCell ref="M106:N106"/>
    <mergeCell ref="M107:N107"/>
    <mergeCell ref="B105:C105"/>
    <mergeCell ref="B106:C106"/>
    <mergeCell ref="B107:C107"/>
    <mergeCell ref="B1:N1"/>
    <mergeCell ref="B2:N2"/>
    <mergeCell ref="B3:G3"/>
    <mergeCell ref="B4:G4"/>
    <mergeCell ref="B5:G5"/>
    <mergeCell ref="K4:L4"/>
    <mergeCell ref="M4:N4"/>
    <mergeCell ref="K5:L5"/>
    <mergeCell ref="M5:N5"/>
    <mergeCell ref="K3:L3"/>
    <mergeCell ref="M3:N3"/>
    <mergeCell ref="D6:G6"/>
    <mergeCell ref="D10:G10"/>
    <mergeCell ref="D11:G11"/>
    <mergeCell ref="D12:G12"/>
    <mergeCell ref="D13:G13"/>
    <mergeCell ref="D14:G14"/>
    <mergeCell ref="D15:G15"/>
    <mergeCell ref="D16:G16"/>
    <mergeCell ref="D7:G7"/>
    <mergeCell ref="D8:G8"/>
    <mergeCell ref="D9:G9"/>
    <mergeCell ref="D17:G17"/>
    <mergeCell ref="D18:G18"/>
    <mergeCell ref="D19:G19"/>
    <mergeCell ref="D97:G97"/>
    <mergeCell ref="D20:G20"/>
    <mergeCell ref="D22:G22"/>
    <mergeCell ref="D23:G23"/>
    <mergeCell ref="D24:G24"/>
    <mergeCell ref="D25:G25"/>
    <mergeCell ref="D26:G26"/>
    <mergeCell ref="D27:G27"/>
    <mergeCell ref="D64:G64"/>
    <mergeCell ref="D33:G33"/>
    <mergeCell ref="D34:G34"/>
    <mergeCell ref="D35:G35"/>
    <mergeCell ref="D36:G36"/>
    <mergeCell ref="D37:G37"/>
    <mergeCell ref="D28:G28"/>
    <mergeCell ref="D29:G29"/>
    <mergeCell ref="D30:G30"/>
    <mergeCell ref="D31:G31"/>
    <mergeCell ref="D32:G32"/>
    <mergeCell ref="D43:G43"/>
    <mergeCell ref="D44:G44"/>
    <mergeCell ref="D45:G45"/>
    <mergeCell ref="D46:G46"/>
    <mergeCell ref="D38:G38"/>
    <mergeCell ref="D39:G39"/>
    <mergeCell ref="D40:G40"/>
    <mergeCell ref="D41:G41"/>
    <mergeCell ref="D42:G42"/>
    <mergeCell ref="D52:G52"/>
    <mergeCell ref="D53:G53"/>
    <mergeCell ref="D54:G54"/>
    <mergeCell ref="D55:G55"/>
    <mergeCell ref="D56:G56"/>
    <mergeCell ref="D47:G47"/>
    <mergeCell ref="D48:G48"/>
    <mergeCell ref="D49:G49"/>
    <mergeCell ref="D50:G50"/>
    <mergeCell ref="D51:G51"/>
    <mergeCell ref="D62:G62"/>
    <mergeCell ref="D63:G63"/>
    <mergeCell ref="D65:G65"/>
    <mergeCell ref="D66:G66"/>
    <mergeCell ref="D67:G67"/>
    <mergeCell ref="D57:G57"/>
    <mergeCell ref="D58:G58"/>
    <mergeCell ref="D59:G59"/>
    <mergeCell ref="D60:G60"/>
    <mergeCell ref="D61:G61"/>
    <mergeCell ref="D69:G69"/>
    <mergeCell ref="D102:G102"/>
    <mergeCell ref="D84:G84"/>
    <mergeCell ref="D85:G85"/>
    <mergeCell ref="D86:G86"/>
    <mergeCell ref="D87:G87"/>
    <mergeCell ref="D78:G78"/>
    <mergeCell ref="D79:G79"/>
    <mergeCell ref="D80:G80"/>
    <mergeCell ref="D81:G81"/>
    <mergeCell ref="D82:G82"/>
    <mergeCell ref="D70:G70"/>
    <mergeCell ref="D71:G71"/>
    <mergeCell ref="D72:G72"/>
    <mergeCell ref="I108:K108"/>
    <mergeCell ref="L108:N108"/>
    <mergeCell ref="B108:H108"/>
    <mergeCell ref="D21:G21"/>
    <mergeCell ref="D98:G98"/>
    <mergeCell ref="D99:G99"/>
    <mergeCell ref="D100:G100"/>
    <mergeCell ref="D101:G101"/>
    <mergeCell ref="D93:G93"/>
    <mergeCell ref="D94:G94"/>
    <mergeCell ref="D95:G95"/>
    <mergeCell ref="D96:G96"/>
    <mergeCell ref="D88:G88"/>
    <mergeCell ref="D89:G89"/>
    <mergeCell ref="D90:G90"/>
    <mergeCell ref="D91:G91"/>
    <mergeCell ref="D92:G92"/>
    <mergeCell ref="D83:G83"/>
    <mergeCell ref="D73:G73"/>
    <mergeCell ref="D74:G74"/>
    <mergeCell ref="D75:G75"/>
    <mergeCell ref="D76:G76"/>
    <mergeCell ref="D77:G77"/>
    <mergeCell ref="D68:G68"/>
  </mergeCells>
  <phoneticPr fontId="10" type="noConversion"/>
  <printOptions horizontalCentered="1" verticalCentered="1"/>
  <pageMargins left="0" right="0" top="0" bottom="0" header="0" footer="0"/>
  <pageSetup paperSize="9" scale="70" orientation="landscape" r:id="rId1"/>
  <headerFooter scaleWithDoc="0" alignWithMargins="0">
    <firstFooter>&amp;RPage :1 of 2</firstFooter>
  </headerFooter>
  <rowBreaks count="1" manualBreakCount="1">
    <brk id="96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09"/>
  <sheetViews>
    <sheetView view="pageBreakPreview" topLeftCell="A94" zoomScale="70" zoomScaleNormal="70" zoomScaleSheetLayoutView="70" workbookViewId="0">
      <selection activeCell="J112" sqref="J112"/>
    </sheetView>
  </sheetViews>
  <sheetFormatPr defaultRowHeight="15" x14ac:dyDescent="0.25"/>
  <cols>
    <col min="1" max="1" width="1" customWidth="1"/>
    <col min="2" max="2" width="6.42578125" customWidth="1"/>
    <col min="3" max="3" width="9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25">
      <c r="B1" s="117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1:14" ht="28.35" customHeight="1" x14ac:dyDescent="0.25">
      <c r="B2" s="120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2"/>
    </row>
    <row r="3" spans="1:14" ht="15.95" customHeight="1" x14ac:dyDescent="0.25">
      <c r="B3" s="123" t="s">
        <v>2</v>
      </c>
      <c r="C3" s="124"/>
      <c r="D3" s="124"/>
      <c r="E3" s="124"/>
      <c r="F3" s="124"/>
      <c r="G3" s="124"/>
      <c r="H3" s="10" t="s">
        <v>161</v>
      </c>
      <c r="I3" s="8" t="s">
        <v>194</v>
      </c>
      <c r="J3" s="25" t="s">
        <v>211</v>
      </c>
      <c r="K3" s="125" t="s">
        <v>195</v>
      </c>
      <c r="L3" s="126"/>
      <c r="M3" s="125" t="s">
        <v>196</v>
      </c>
      <c r="N3" s="127"/>
    </row>
    <row r="4" spans="1:14" ht="21" customHeight="1" x14ac:dyDescent="0.25">
      <c r="B4" s="123" t="s">
        <v>3</v>
      </c>
      <c r="C4" s="124"/>
      <c r="D4" s="124"/>
      <c r="E4" s="124"/>
      <c r="F4" s="124"/>
      <c r="G4" s="124"/>
      <c r="H4" s="25" t="s">
        <v>4</v>
      </c>
      <c r="I4" s="9" t="s">
        <v>197</v>
      </c>
      <c r="J4" s="25">
        <v>2</v>
      </c>
      <c r="K4" s="128" t="s">
        <v>198</v>
      </c>
      <c r="L4" s="129"/>
      <c r="M4" s="124" t="s">
        <v>200</v>
      </c>
      <c r="N4" s="130"/>
    </row>
    <row r="5" spans="1:14" ht="21" customHeight="1" x14ac:dyDescent="0.25">
      <c r="B5" s="123" t="s">
        <v>5</v>
      </c>
      <c r="C5" s="124"/>
      <c r="D5" s="124"/>
      <c r="E5" s="124"/>
      <c r="F5" s="124"/>
      <c r="G5" s="124"/>
      <c r="H5" s="25" t="s">
        <v>18</v>
      </c>
      <c r="I5" s="9" t="s">
        <v>199</v>
      </c>
      <c r="J5" s="21">
        <v>45818</v>
      </c>
      <c r="K5" s="136" t="s">
        <v>6</v>
      </c>
      <c r="L5" s="137"/>
      <c r="M5" s="138" t="s">
        <v>7</v>
      </c>
      <c r="N5" s="139"/>
    </row>
    <row r="6" spans="1:14" ht="56.25" customHeight="1" x14ac:dyDescent="0.25">
      <c r="B6" s="7" t="s">
        <v>160</v>
      </c>
      <c r="C6" s="5" t="s">
        <v>8</v>
      </c>
      <c r="D6" s="140" t="s">
        <v>9</v>
      </c>
      <c r="E6" s="140"/>
      <c r="F6" s="140"/>
      <c r="G6" s="140"/>
      <c r="H6" s="2" t="s">
        <v>10</v>
      </c>
      <c r="I6" s="26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13">
        <v>1</v>
      </c>
      <c r="C7" s="27" t="s">
        <v>25</v>
      </c>
      <c r="D7" s="141" t="s">
        <v>71</v>
      </c>
      <c r="E7" s="141"/>
      <c r="F7" s="141"/>
      <c r="G7" s="141"/>
      <c r="H7" s="27" t="s">
        <v>162</v>
      </c>
      <c r="I7" s="27" t="s">
        <v>19</v>
      </c>
      <c r="J7" s="27">
        <v>1220</v>
      </c>
      <c r="K7" s="14">
        <v>4</v>
      </c>
      <c r="L7" s="27" t="s">
        <v>72</v>
      </c>
      <c r="M7" s="12">
        <v>10</v>
      </c>
      <c r="N7" s="15" t="s">
        <v>164</v>
      </c>
    </row>
    <row r="8" spans="1:14" ht="35.1" customHeight="1" x14ac:dyDescent="0.25">
      <c r="B8" s="13">
        <v>2</v>
      </c>
      <c r="C8" s="27" t="s">
        <v>26</v>
      </c>
      <c r="D8" s="141" t="s">
        <v>71</v>
      </c>
      <c r="E8" s="141"/>
      <c r="F8" s="141"/>
      <c r="G8" s="141"/>
      <c r="H8" s="27" t="s">
        <v>162</v>
      </c>
      <c r="I8" s="27" t="s">
        <v>73</v>
      </c>
      <c r="J8" s="27">
        <v>830</v>
      </c>
      <c r="K8" s="12">
        <v>10</v>
      </c>
      <c r="L8" s="16" t="s">
        <v>165</v>
      </c>
      <c r="M8" s="14">
        <v>4</v>
      </c>
      <c r="N8" s="28" t="s">
        <v>72</v>
      </c>
    </row>
    <row r="9" spans="1:14" ht="35.1" customHeight="1" x14ac:dyDescent="0.25">
      <c r="B9" s="13">
        <v>3</v>
      </c>
      <c r="C9" s="27" t="s">
        <v>74</v>
      </c>
      <c r="D9" s="141" t="s">
        <v>91</v>
      </c>
      <c r="E9" s="141"/>
      <c r="F9" s="141"/>
      <c r="G9" s="141"/>
      <c r="H9" s="27" t="s">
        <v>163</v>
      </c>
      <c r="I9" s="27" t="s">
        <v>75</v>
      </c>
      <c r="J9" s="27">
        <v>1725</v>
      </c>
      <c r="K9" s="14">
        <v>8</v>
      </c>
      <c r="L9" s="16" t="s">
        <v>165</v>
      </c>
      <c r="M9" s="14">
        <v>3.5</v>
      </c>
      <c r="N9" s="28" t="s">
        <v>141</v>
      </c>
    </row>
    <row r="10" spans="1:14" ht="35.1" customHeight="1" x14ac:dyDescent="0.25">
      <c r="B10" s="13">
        <v>4</v>
      </c>
      <c r="C10" s="27" t="s">
        <v>27</v>
      </c>
      <c r="D10" s="141" t="s">
        <v>76</v>
      </c>
      <c r="E10" s="141"/>
      <c r="F10" s="141"/>
      <c r="G10" s="141"/>
      <c r="H10" s="27" t="s">
        <v>159</v>
      </c>
      <c r="I10" s="27" t="s">
        <v>73</v>
      </c>
      <c r="J10" s="27">
        <v>1950</v>
      </c>
      <c r="K10" s="14">
        <v>2.8</v>
      </c>
      <c r="L10" s="27">
        <v>39000040</v>
      </c>
      <c r="M10" s="12">
        <v>10</v>
      </c>
      <c r="N10" s="15" t="s">
        <v>170</v>
      </c>
    </row>
    <row r="11" spans="1:14" ht="35.1" customHeight="1" x14ac:dyDescent="0.25">
      <c r="B11" s="13">
        <v>5</v>
      </c>
      <c r="C11" s="27" t="s">
        <v>28</v>
      </c>
      <c r="D11" s="141" t="s">
        <v>71</v>
      </c>
      <c r="E11" s="141"/>
      <c r="F11" s="141"/>
      <c r="G11" s="141"/>
      <c r="H11" s="27" t="s">
        <v>162</v>
      </c>
      <c r="I11" s="27" t="s">
        <v>77</v>
      </c>
      <c r="J11" s="27">
        <v>490</v>
      </c>
      <c r="K11" s="14">
        <v>3</v>
      </c>
      <c r="L11" s="27" t="s">
        <v>142</v>
      </c>
      <c r="M11" s="14">
        <v>10</v>
      </c>
      <c r="N11" s="15" t="s">
        <v>189</v>
      </c>
    </row>
    <row r="12" spans="1:14" ht="35.1" customHeight="1" x14ac:dyDescent="0.25">
      <c r="B12" s="13">
        <v>6</v>
      </c>
      <c r="C12" s="27" t="s">
        <v>29</v>
      </c>
      <c r="D12" s="141" t="s">
        <v>91</v>
      </c>
      <c r="E12" s="141"/>
      <c r="F12" s="141"/>
      <c r="G12" s="141"/>
      <c r="H12" s="27" t="s">
        <v>163</v>
      </c>
      <c r="I12" s="27" t="s">
        <v>73</v>
      </c>
      <c r="J12" s="27">
        <v>1345</v>
      </c>
      <c r="K12" s="14">
        <v>3</v>
      </c>
      <c r="L12" s="27" t="s">
        <v>143</v>
      </c>
      <c r="M12" s="14">
        <v>3</v>
      </c>
      <c r="N12" s="15" t="s">
        <v>143</v>
      </c>
    </row>
    <row r="13" spans="1:14" ht="35.1" customHeight="1" x14ac:dyDescent="0.25">
      <c r="B13" s="13">
        <v>7</v>
      </c>
      <c r="C13" s="27" t="s">
        <v>30</v>
      </c>
      <c r="D13" s="141" t="s">
        <v>76</v>
      </c>
      <c r="E13" s="141"/>
      <c r="F13" s="141"/>
      <c r="G13" s="141"/>
      <c r="H13" s="27" t="s">
        <v>159</v>
      </c>
      <c r="I13" s="27" t="s">
        <v>78</v>
      </c>
      <c r="J13" s="27">
        <v>1390</v>
      </c>
      <c r="K13" s="14">
        <v>3.8</v>
      </c>
      <c r="L13" s="27" t="s">
        <v>144</v>
      </c>
      <c r="M13" s="14">
        <v>8</v>
      </c>
      <c r="N13" s="15" t="s">
        <v>167</v>
      </c>
    </row>
    <row r="14" spans="1:14" ht="35.1" customHeight="1" x14ac:dyDescent="0.25">
      <c r="B14" s="13">
        <v>8</v>
      </c>
      <c r="C14" s="27" t="s">
        <v>31</v>
      </c>
      <c r="D14" s="141" t="s">
        <v>91</v>
      </c>
      <c r="E14" s="141"/>
      <c r="F14" s="141"/>
      <c r="G14" s="141"/>
      <c r="H14" s="27" t="s">
        <v>163</v>
      </c>
      <c r="I14" s="27" t="s">
        <v>79</v>
      </c>
      <c r="J14" s="27">
        <v>1020</v>
      </c>
      <c r="K14" s="14">
        <v>3</v>
      </c>
      <c r="L14" s="27" t="s">
        <v>145</v>
      </c>
      <c r="M14" s="14">
        <v>8</v>
      </c>
      <c r="N14" s="15" t="s">
        <v>168</v>
      </c>
    </row>
    <row r="15" spans="1:14" ht="35.1" customHeight="1" x14ac:dyDescent="0.25">
      <c r="B15" s="13">
        <v>9</v>
      </c>
      <c r="C15" s="27" t="s">
        <v>32</v>
      </c>
      <c r="D15" s="141" t="s">
        <v>91</v>
      </c>
      <c r="E15" s="141"/>
      <c r="F15" s="141"/>
      <c r="G15" s="141"/>
      <c r="H15" s="27" t="s">
        <v>163</v>
      </c>
      <c r="I15" s="27" t="s">
        <v>79</v>
      </c>
      <c r="J15" s="27">
        <v>1400</v>
      </c>
      <c r="K15" s="14">
        <v>3</v>
      </c>
      <c r="L15" s="27" t="s">
        <v>143</v>
      </c>
      <c r="M15" s="14">
        <v>2</v>
      </c>
      <c r="N15" s="15" t="s">
        <v>145</v>
      </c>
    </row>
    <row r="16" spans="1:14" ht="35.1" customHeight="1" x14ac:dyDescent="0.25">
      <c r="A16" s="4"/>
      <c r="B16" s="13">
        <v>10</v>
      </c>
      <c r="C16" s="27" t="s">
        <v>33</v>
      </c>
      <c r="D16" s="141" t="s">
        <v>91</v>
      </c>
      <c r="E16" s="141"/>
      <c r="F16" s="141"/>
      <c r="G16" s="141"/>
      <c r="H16" s="27" t="s">
        <v>163</v>
      </c>
      <c r="I16" s="27" t="s">
        <v>80</v>
      </c>
      <c r="J16" s="27">
        <v>1155</v>
      </c>
      <c r="K16" s="14">
        <v>3</v>
      </c>
      <c r="L16" s="27" t="s">
        <v>145</v>
      </c>
      <c r="M16" s="14">
        <v>3</v>
      </c>
      <c r="N16" s="28" t="s">
        <v>143</v>
      </c>
    </row>
    <row r="17" spans="1:15" ht="35.1" customHeight="1" x14ac:dyDescent="0.25">
      <c r="B17" s="13">
        <v>11</v>
      </c>
      <c r="C17" s="27" t="s">
        <v>34</v>
      </c>
      <c r="D17" s="141" t="s">
        <v>71</v>
      </c>
      <c r="E17" s="141"/>
      <c r="F17" s="141"/>
      <c r="G17" s="141"/>
      <c r="H17" s="27" t="s">
        <v>162</v>
      </c>
      <c r="I17" s="27" t="s">
        <v>77</v>
      </c>
      <c r="J17" s="27">
        <v>1205</v>
      </c>
      <c r="K17" s="14">
        <v>4</v>
      </c>
      <c r="L17" s="27" t="s">
        <v>146</v>
      </c>
      <c r="M17" s="14">
        <v>5</v>
      </c>
      <c r="N17" s="28" t="s">
        <v>147</v>
      </c>
    </row>
    <row r="18" spans="1:15" ht="35.1" customHeight="1" x14ac:dyDescent="0.25">
      <c r="B18" s="13">
        <v>12</v>
      </c>
      <c r="C18" s="27" t="s">
        <v>35</v>
      </c>
      <c r="D18" s="141" t="s">
        <v>91</v>
      </c>
      <c r="E18" s="141"/>
      <c r="F18" s="141"/>
      <c r="G18" s="141"/>
      <c r="H18" s="27" t="s">
        <v>163</v>
      </c>
      <c r="I18" s="27" t="s">
        <v>75</v>
      </c>
      <c r="J18" s="27">
        <v>1400</v>
      </c>
      <c r="K18" s="14">
        <v>3</v>
      </c>
      <c r="L18" s="27" t="s">
        <v>145</v>
      </c>
      <c r="M18" s="14">
        <v>3</v>
      </c>
      <c r="N18" s="15" t="s">
        <v>143</v>
      </c>
    </row>
    <row r="19" spans="1:15" ht="35.1" customHeight="1" x14ac:dyDescent="0.25">
      <c r="B19" s="13">
        <v>13</v>
      </c>
      <c r="C19" s="27" t="s">
        <v>36</v>
      </c>
      <c r="D19" s="141" t="s">
        <v>91</v>
      </c>
      <c r="E19" s="141"/>
      <c r="F19" s="141"/>
      <c r="G19" s="141"/>
      <c r="H19" s="27" t="s">
        <v>163</v>
      </c>
      <c r="I19" s="27" t="s">
        <v>81</v>
      </c>
      <c r="J19" s="27">
        <v>1480</v>
      </c>
      <c r="K19" s="14">
        <v>3</v>
      </c>
      <c r="L19" s="27" t="s">
        <v>148</v>
      </c>
      <c r="M19" s="14">
        <v>2</v>
      </c>
      <c r="N19" s="28" t="s">
        <v>145</v>
      </c>
    </row>
    <row r="20" spans="1:15" ht="49.5" customHeight="1" x14ac:dyDescent="0.25">
      <c r="B20" s="13">
        <v>14</v>
      </c>
      <c r="C20" s="27" t="s">
        <v>37</v>
      </c>
      <c r="D20" s="141" t="s">
        <v>91</v>
      </c>
      <c r="E20" s="141"/>
      <c r="F20" s="141"/>
      <c r="G20" s="141"/>
      <c r="H20" s="27" t="s">
        <v>163</v>
      </c>
      <c r="I20" s="27" t="s">
        <v>75</v>
      </c>
      <c r="J20" s="27">
        <v>3170</v>
      </c>
      <c r="K20" s="14">
        <v>3</v>
      </c>
      <c r="L20" s="27" t="s">
        <v>148</v>
      </c>
      <c r="M20" s="14">
        <v>3</v>
      </c>
      <c r="N20" s="28" t="s">
        <v>148</v>
      </c>
      <c r="O20" s="4"/>
    </row>
    <row r="21" spans="1:15" ht="35.1" customHeight="1" x14ac:dyDescent="0.25">
      <c r="B21" s="13">
        <v>15</v>
      </c>
      <c r="C21" s="27" t="s">
        <v>38</v>
      </c>
      <c r="D21" s="141" t="s">
        <v>76</v>
      </c>
      <c r="E21" s="141"/>
      <c r="F21" s="141"/>
      <c r="G21" s="141"/>
      <c r="H21" s="27" t="s">
        <v>159</v>
      </c>
      <c r="I21" s="27" t="s">
        <v>82</v>
      </c>
      <c r="J21" s="27">
        <f>1290+50</f>
        <v>1340</v>
      </c>
      <c r="K21" s="14">
        <v>4</v>
      </c>
      <c r="L21" s="27" t="s">
        <v>144</v>
      </c>
      <c r="M21" s="14">
        <v>8</v>
      </c>
      <c r="N21" s="15" t="s">
        <v>169</v>
      </c>
    </row>
    <row r="22" spans="1:15" s="3" customFormat="1" ht="35.1" customHeight="1" x14ac:dyDescent="0.25">
      <c r="B22" s="13">
        <v>16</v>
      </c>
      <c r="C22" s="27" t="s">
        <v>39</v>
      </c>
      <c r="D22" s="141" t="s">
        <v>71</v>
      </c>
      <c r="E22" s="141"/>
      <c r="F22" s="141"/>
      <c r="G22" s="141"/>
      <c r="H22" s="27" t="s">
        <v>162</v>
      </c>
      <c r="I22" s="27" t="s">
        <v>73</v>
      </c>
      <c r="J22" s="27">
        <v>1145</v>
      </c>
      <c r="K22" s="14">
        <v>3</v>
      </c>
      <c r="L22" s="27" t="s">
        <v>142</v>
      </c>
      <c r="M22" s="14">
        <v>10</v>
      </c>
      <c r="N22" s="15" t="s">
        <v>170</v>
      </c>
    </row>
    <row r="23" spans="1:15" ht="35.1" customHeight="1" x14ac:dyDescent="0.25">
      <c r="A23" s="4"/>
      <c r="B23" s="13">
        <v>17</v>
      </c>
      <c r="C23" s="27" t="s">
        <v>40</v>
      </c>
      <c r="D23" s="141" t="s">
        <v>91</v>
      </c>
      <c r="E23" s="141"/>
      <c r="F23" s="141"/>
      <c r="G23" s="141"/>
      <c r="H23" s="27" t="s">
        <v>163</v>
      </c>
      <c r="I23" s="27" t="s">
        <v>83</v>
      </c>
      <c r="J23" s="27">
        <v>815</v>
      </c>
      <c r="K23" s="14">
        <v>5</v>
      </c>
      <c r="L23" s="27" t="s">
        <v>149</v>
      </c>
      <c r="M23" s="14">
        <v>2</v>
      </c>
      <c r="N23" s="15" t="s">
        <v>145</v>
      </c>
    </row>
    <row r="24" spans="1:15" ht="35.1" customHeight="1" x14ac:dyDescent="0.25">
      <c r="B24" s="13">
        <v>18</v>
      </c>
      <c r="C24" s="27" t="s">
        <v>41</v>
      </c>
      <c r="D24" s="141" t="s">
        <v>71</v>
      </c>
      <c r="E24" s="141"/>
      <c r="F24" s="141"/>
      <c r="G24" s="141"/>
      <c r="H24" s="27" t="s">
        <v>162</v>
      </c>
      <c r="I24" s="27" t="s">
        <v>19</v>
      </c>
      <c r="J24" s="27">
        <v>490</v>
      </c>
      <c r="K24" s="14">
        <v>3</v>
      </c>
      <c r="L24" s="16" t="s">
        <v>142</v>
      </c>
      <c r="M24" s="14">
        <v>10</v>
      </c>
      <c r="N24" s="15" t="s">
        <v>166</v>
      </c>
    </row>
    <row r="25" spans="1:15" ht="35.1" customHeight="1" x14ac:dyDescent="0.25">
      <c r="B25" s="13">
        <v>19</v>
      </c>
      <c r="C25" s="27" t="s">
        <v>42</v>
      </c>
      <c r="D25" s="141" t="s">
        <v>76</v>
      </c>
      <c r="E25" s="141"/>
      <c r="F25" s="141"/>
      <c r="G25" s="141"/>
      <c r="H25" s="27" t="s">
        <v>159</v>
      </c>
      <c r="I25" s="27" t="s">
        <v>19</v>
      </c>
      <c r="J25" s="27">
        <v>775</v>
      </c>
      <c r="K25" s="14">
        <v>4</v>
      </c>
      <c r="L25" s="27" t="s">
        <v>144</v>
      </c>
      <c r="M25" s="12">
        <v>7</v>
      </c>
      <c r="N25" s="15" t="s">
        <v>171</v>
      </c>
    </row>
    <row r="26" spans="1:15" ht="35.1" customHeight="1" x14ac:dyDescent="0.25">
      <c r="B26" s="13">
        <v>20</v>
      </c>
      <c r="C26" s="27" t="s">
        <v>43</v>
      </c>
      <c r="D26" s="141" t="s">
        <v>71</v>
      </c>
      <c r="E26" s="141"/>
      <c r="F26" s="141"/>
      <c r="G26" s="141"/>
      <c r="H26" s="27" t="s">
        <v>162</v>
      </c>
      <c r="I26" s="27" t="s">
        <v>84</v>
      </c>
      <c r="J26" s="27">
        <v>2195</v>
      </c>
      <c r="K26" s="12">
        <v>10</v>
      </c>
      <c r="L26" s="16" t="s">
        <v>190</v>
      </c>
      <c r="M26" s="14">
        <v>3</v>
      </c>
      <c r="N26" s="28" t="s">
        <v>142</v>
      </c>
    </row>
    <row r="27" spans="1:15" ht="35.1" customHeight="1" x14ac:dyDescent="0.25">
      <c r="A27" s="4"/>
      <c r="B27" s="13">
        <v>21</v>
      </c>
      <c r="C27" s="27" t="s">
        <v>44</v>
      </c>
      <c r="D27" s="141" t="s">
        <v>71</v>
      </c>
      <c r="E27" s="141"/>
      <c r="F27" s="141"/>
      <c r="G27" s="141"/>
      <c r="H27" s="27" t="s">
        <v>162</v>
      </c>
      <c r="I27" s="27" t="s">
        <v>84</v>
      </c>
      <c r="J27" s="27">
        <v>875</v>
      </c>
      <c r="K27" s="14">
        <v>3</v>
      </c>
      <c r="L27" s="27" t="s">
        <v>142</v>
      </c>
      <c r="M27" s="14">
        <v>10</v>
      </c>
      <c r="N27" s="15" t="s">
        <v>172</v>
      </c>
    </row>
    <row r="28" spans="1:15" ht="35.1" customHeight="1" x14ac:dyDescent="0.25">
      <c r="B28" s="13">
        <v>22</v>
      </c>
      <c r="C28" s="27" t="s">
        <v>45</v>
      </c>
      <c r="D28" s="141" t="s">
        <v>91</v>
      </c>
      <c r="E28" s="141"/>
      <c r="F28" s="141"/>
      <c r="G28" s="141"/>
      <c r="H28" s="27" t="s">
        <v>163</v>
      </c>
      <c r="I28" s="16" t="s">
        <v>173</v>
      </c>
      <c r="J28" s="27">
        <v>125</v>
      </c>
      <c r="K28" s="14">
        <v>3</v>
      </c>
      <c r="L28" s="27" t="s">
        <v>143</v>
      </c>
      <c r="M28" s="14">
        <v>8</v>
      </c>
      <c r="N28" s="15" t="s">
        <v>174</v>
      </c>
    </row>
    <row r="29" spans="1:15" ht="35.1" customHeight="1" x14ac:dyDescent="0.25">
      <c r="B29" s="13">
        <v>23</v>
      </c>
      <c r="C29" s="27" t="s">
        <v>46</v>
      </c>
      <c r="D29" s="141" t="s">
        <v>91</v>
      </c>
      <c r="E29" s="141"/>
      <c r="F29" s="141"/>
      <c r="G29" s="141"/>
      <c r="H29" s="27" t="s">
        <v>163</v>
      </c>
      <c r="I29" s="27" t="s">
        <v>73</v>
      </c>
      <c r="J29" s="27">
        <v>1150</v>
      </c>
      <c r="K29" s="14">
        <v>2</v>
      </c>
      <c r="L29" s="27" t="s">
        <v>145</v>
      </c>
      <c r="M29" s="14">
        <v>3</v>
      </c>
      <c r="N29" s="15" t="s">
        <v>143</v>
      </c>
    </row>
    <row r="30" spans="1:15" ht="35.1" customHeight="1" x14ac:dyDescent="0.25">
      <c r="B30" s="13">
        <v>24</v>
      </c>
      <c r="C30" s="27" t="s">
        <v>47</v>
      </c>
      <c r="D30" s="141" t="s">
        <v>71</v>
      </c>
      <c r="E30" s="141"/>
      <c r="F30" s="141"/>
      <c r="G30" s="141"/>
      <c r="H30" s="27" t="s">
        <v>162</v>
      </c>
      <c r="I30" s="27" t="s">
        <v>85</v>
      </c>
      <c r="J30" s="27">
        <v>895</v>
      </c>
      <c r="K30" s="14">
        <v>3</v>
      </c>
      <c r="L30" s="27" t="s">
        <v>142</v>
      </c>
      <c r="M30" s="14">
        <v>10</v>
      </c>
      <c r="N30" s="15" t="s">
        <v>170</v>
      </c>
    </row>
    <row r="31" spans="1:15" ht="35.1" customHeight="1" x14ac:dyDescent="0.25">
      <c r="B31" s="13">
        <v>25</v>
      </c>
      <c r="C31" s="27" t="s">
        <v>48</v>
      </c>
      <c r="D31" s="141" t="s">
        <v>71</v>
      </c>
      <c r="E31" s="141"/>
      <c r="F31" s="141"/>
      <c r="G31" s="141"/>
      <c r="H31" s="27" t="s">
        <v>162</v>
      </c>
      <c r="I31" s="27" t="s">
        <v>73</v>
      </c>
      <c r="J31" s="27">
        <v>895</v>
      </c>
      <c r="K31" s="14">
        <v>8</v>
      </c>
      <c r="L31" s="16" t="s">
        <v>170</v>
      </c>
      <c r="M31" s="14">
        <v>3</v>
      </c>
      <c r="N31" s="15" t="s">
        <v>142</v>
      </c>
    </row>
    <row r="32" spans="1:15" ht="35.1" customHeight="1" x14ac:dyDescent="0.25">
      <c r="B32" s="13">
        <v>26</v>
      </c>
      <c r="C32" s="27" t="s">
        <v>86</v>
      </c>
      <c r="D32" s="141" t="s">
        <v>91</v>
      </c>
      <c r="E32" s="141"/>
      <c r="F32" s="141"/>
      <c r="G32" s="141"/>
      <c r="H32" s="27" t="s">
        <v>163</v>
      </c>
      <c r="I32" s="27" t="s">
        <v>85</v>
      </c>
      <c r="J32" s="27">
        <v>1735</v>
      </c>
      <c r="K32" s="12">
        <v>10</v>
      </c>
      <c r="L32" s="16" t="s">
        <v>165</v>
      </c>
      <c r="M32" s="14">
        <v>3</v>
      </c>
      <c r="N32" s="15" t="s">
        <v>141</v>
      </c>
    </row>
    <row r="33" spans="2:14" ht="35.1" customHeight="1" x14ac:dyDescent="0.25">
      <c r="B33" s="13">
        <v>27</v>
      </c>
      <c r="C33" s="27" t="s">
        <v>87</v>
      </c>
      <c r="D33" s="141" t="s">
        <v>71</v>
      </c>
      <c r="E33" s="141"/>
      <c r="F33" s="141"/>
      <c r="G33" s="141"/>
      <c r="H33" s="27" t="s">
        <v>162</v>
      </c>
      <c r="I33" s="27" t="s">
        <v>88</v>
      </c>
      <c r="J33" s="27">
        <v>280</v>
      </c>
      <c r="K33" s="14">
        <v>4</v>
      </c>
      <c r="L33" s="27" t="s">
        <v>146</v>
      </c>
      <c r="M33" s="14">
        <v>10</v>
      </c>
      <c r="N33" s="15" t="s">
        <v>175</v>
      </c>
    </row>
    <row r="34" spans="2:14" ht="35.1" customHeight="1" x14ac:dyDescent="0.25">
      <c r="B34" s="13">
        <v>28</v>
      </c>
      <c r="C34" s="27" t="s">
        <v>89</v>
      </c>
      <c r="D34" s="141" t="s">
        <v>91</v>
      </c>
      <c r="E34" s="141"/>
      <c r="F34" s="141"/>
      <c r="G34" s="141"/>
      <c r="H34" s="27" t="s">
        <v>163</v>
      </c>
      <c r="I34" s="27" t="s">
        <v>82</v>
      </c>
      <c r="J34" s="27">
        <v>1010</v>
      </c>
      <c r="K34" s="14">
        <v>2</v>
      </c>
      <c r="L34" s="27" t="s">
        <v>145</v>
      </c>
      <c r="M34" s="14">
        <v>8</v>
      </c>
      <c r="N34" s="15" t="s">
        <v>176</v>
      </c>
    </row>
    <row r="35" spans="2:14" ht="35.1" customHeight="1" x14ac:dyDescent="0.25">
      <c r="B35" s="13">
        <v>29</v>
      </c>
      <c r="C35" s="27" t="s">
        <v>49</v>
      </c>
      <c r="D35" s="141" t="s">
        <v>91</v>
      </c>
      <c r="E35" s="141"/>
      <c r="F35" s="141"/>
      <c r="G35" s="141"/>
      <c r="H35" s="27" t="s">
        <v>163</v>
      </c>
      <c r="I35" s="27" t="s">
        <v>82</v>
      </c>
      <c r="J35" s="27">
        <v>1580</v>
      </c>
      <c r="K35" s="14">
        <v>3.5</v>
      </c>
      <c r="L35" s="27" t="s">
        <v>150</v>
      </c>
      <c r="M35" s="14">
        <v>8</v>
      </c>
      <c r="N35" s="15" t="s">
        <v>169</v>
      </c>
    </row>
    <row r="36" spans="2:14" ht="35.1" customHeight="1" x14ac:dyDescent="0.25">
      <c r="B36" s="13">
        <v>30</v>
      </c>
      <c r="C36" s="27" t="s">
        <v>50</v>
      </c>
      <c r="D36" s="141" t="s">
        <v>91</v>
      </c>
      <c r="E36" s="141"/>
      <c r="F36" s="141"/>
      <c r="G36" s="141"/>
      <c r="H36" s="27" t="s">
        <v>163</v>
      </c>
      <c r="I36" s="27" t="s">
        <v>78</v>
      </c>
      <c r="J36" s="27">
        <v>1640</v>
      </c>
      <c r="K36" s="14">
        <v>3.5</v>
      </c>
      <c r="L36" s="27" t="s">
        <v>150</v>
      </c>
      <c r="M36" s="14">
        <v>8</v>
      </c>
      <c r="N36" s="15" t="s">
        <v>167</v>
      </c>
    </row>
    <row r="37" spans="2:14" ht="35.1" customHeight="1" x14ac:dyDescent="0.25">
      <c r="B37" s="13">
        <v>31</v>
      </c>
      <c r="C37" s="27" t="s">
        <v>51</v>
      </c>
      <c r="D37" s="141" t="s">
        <v>91</v>
      </c>
      <c r="E37" s="141"/>
      <c r="F37" s="141"/>
      <c r="G37" s="141"/>
      <c r="H37" s="27" t="s">
        <v>163</v>
      </c>
      <c r="I37" s="27" t="s">
        <v>19</v>
      </c>
      <c r="J37" s="27">
        <v>1020</v>
      </c>
      <c r="K37" s="14">
        <v>3.5</v>
      </c>
      <c r="L37" s="27" t="s">
        <v>150</v>
      </c>
      <c r="M37" s="14">
        <v>8</v>
      </c>
      <c r="N37" s="15" t="s">
        <v>171</v>
      </c>
    </row>
    <row r="38" spans="2:14" ht="35.1" customHeight="1" x14ac:dyDescent="0.25">
      <c r="B38" s="13">
        <v>32</v>
      </c>
      <c r="C38" s="27" t="s">
        <v>52</v>
      </c>
      <c r="D38" s="141" t="s">
        <v>91</v>
      </c>
      <c r="E38" s="141"/>
      <c r="F38" s="141"/>
      <c r="G38" s="141"/>
      <c r="H38" s="27" t="s">
        <v>163</v>
      </c>
      <c r="I38" s="27" t="s">
        <v>19</v>
      </c>
      <c r="J38" s="27">
        <v>1450</v>
      </c>
      <c r="K38" s="14">
        <v>8</v>
      </c>
      <c r="L38" s="15" t="s">
        <v>177</v>
      </c>
      <c r="M38" s="14">
        <v>3</v>
      </c>
      <c r="N38" s="15" t="s">
        <v>143</v>
      </c>
    </row>
    <row r="39" spans="2:14" ht="35.1" customHeight="1" x14ac:dyDescent="0.25">
      <c r="B39" s="13">
        <v>33</v>
      </c>
      <c r="C39" s="27" t="s">
        <v>53</v>
      </c>
      <c r="D39" s="141" t="s">
        <v>91</v>
      </c>
      <c r="E39" s="141"/>
      <c r="F39" s="141"/>
      <c r="G39" s="141"/>
      <c r="H39" s="27" t="s">
        <v>163</v>
      </c>
      <c r="I39" s="27" t="s">
        <v>78</v>
      </c>
      <c r="J39" s="27">
        <v>1210</v>
      </c>
      <c r="K39" s="14">
        <v>8</v>
      </c>
      <c r="L39" s="15" t="s">
        <v>178</v>
      </c>
      <c r="M39" s="14">
        <v>3</v>
      </c>
      <c r="N39" s="28" t="s">
        <v>143</v>
      </c>
    </row>
    <row r="40" spans="2:14" ht="35.1" customHeight="1" x14ac:dyDescent="0.25">
      <c r="B40" s="13">
        <v>34</v>
      </c>
      <c r="C40" s="27" t="s">
        <v>54</v>
      </c>
      <c r="D40" s="141" t="s">
        <v>91</v>
      </c>
      <c r="E40" s="141"/>
      <c r="F40" s="141"/>
      <c r="G40" s="141"/>
      <c r="H40" s="27" t="s">
        <v>163</v>
      </c>
      <c r="I40" s="27" t="s">
        <v>82</v>
      </c>
      <c r="J40" s="27">
        <v>1140</v>
      </c>
      <c r="K40" s="14">
        <v>8</v>
      </c>
      <c r="L40" s="15" t="s">
        <v>179</v>
      </c>
      <c r="M40" s="14">
        <v>3</v>
      </c>
      <c r="N40" s="15" t="s">
        <v>143</v>
      </c>
    </row>
    <row r="41" spans="2:14" ht="35.1" customHeight="1" x14ac:dyDescent="0.25">
      <c r="B41" s="13">
        <v>35</v>
      </c>
      <c r="C41" s="27" t="s">
        <v>55</v>
      </c>
      <c r="D41" s="141" t="s">
        <v>91</v>
      </c>
      <c r="E41" s="141"/>
      <c r="F41" s="141"/>
      <c r="G41" s="141"/>
      <c r="H41" s="27" t="s">
        <v>163</v>
      </c>
      <c r="I41" s="27" t="s">
        <v>80</v>
      </c>
      <c r="J41" s="27">
        <v>1000</v>
      </c>
      <c r="K41" s="14">
        <v>5</v>
      </c>
      <c r="L41" s="27" t="s">
        <v>149</v>
      </c>
      <c r="M41" s="14">
        <v>2</v>
      </c>
      <c r="N41" s="15" t="s">
        <v>145</v>
      </c>
    </row>
    <row r="42" spans="2:14" ht="35.1" customHeight="1" x14ac:dyDescent="0.25">
      <c r="B42" s="13">
        <v>36</v>
      </c>
      <c r="C42" s="27" t="s">
        <v>56</v>
      </c>
      <c r="D42" s="141" t="s">
        <v>91</v>
      </c>
      <c r="E42" s="141"/>
      <c r="F42" s="141"/>
      <c r="G42" s="141"/>
      <c r="H42" s="27" t="s">
        <v>163</v>
      </c>
      <c r="I42" s="16" t="s">
        <v>173</v>
      </c>
      <c r="J42" s="27">
        <v>1000</v>
      </c>
      <c r="K42" s="14">
        <v>2</v>
      </c>
      <c r="L42" s="27" t="s">
        <v>145</v>
      </c>
      <c r="M42" s="14">
        <v>5</v>
      </c>
      <c r="N42" s="15" t="s">
        <v>149</v>
      </c>
    </row>
    <row r="43" spans="2:14" ht="35.1" customHeight="1" x14ac:dyDescent="0.25">
      <c r="B43" s="13">
        <v>37</v>
      </c>
      <c r="C43" s="27" t="s">
        <v>57</v>
      </c>
      <c r="D43" s="141" t="s">
        <v>91</v>
      </c>
      <c r="E43" s="141"/>
      <c r="F43" s="141"/>
      <c r="G43" s="141"/>
      <c r="H43" s="27" t="s">
        <v>163</v>
      </c>
      <c r="I43" s="27" t="s">
        <v>82</v>
      </c>
      <c r="J43" s="27">
        <v>1270</v>
      </c>
      <c r="K43" s="14">
        <v>3</v>
      </c>
      <c r="L43" s="27" t="s">
        <v>143</v>
      </c>
      <c r="M43" s="14">
        <v>2</v>
      </c>
      <c r="N43" s="15" t="s">
        <v>145</v>
      </c>
    </row>
    <row r="44" spans="2:14" ht="35.1" customHeight="1" x14ac:dyDescent="0.25">
      <c r="B44" s="13">
        <v>38</v>
      </c>
      <c r="C44" s="27" t="s">
        <v>58</v>
      </c>
      <c r="D44" s="141" t="s">
        <v>91</v>
      </c>
      <c r="E44" s="141"/>
      <c r="F44" s="141"/>
      <c r="G44" s="141"/>
      <c r="H44" s="27" t="s">
        <v>163</v>
      </c>
      <c r="I44" s="27" t="s">
        <v>90</v>
      </c>
      <c r="J44" s="27">
        <v>1270</v>
      </c>
      <c r="K44" s="14">
        <v>2</v>
      </c>
      <c r="L44" s="27" t="s">
        <v>145</v>
      </c>
      <c r="M44" s="14">
        <v>3</v>
      </c>
      <c r="N44" s="15" t="s">
        <v>143</v>
      </c>
    </row>
    <row r="45" spans="2:14" ht="35.1" customHeight="1" x14ac:dyDescent="0.25">
      <c r="B45" s="13">
        <v>39</v>
      </c>
      <c r="C45" s="27" t="s">
        <v>70</v>
      </c>
      <c r="D45" s="141" t="s">
        <v>91</v>
      </c>
      <c r="E45" s="141"/>
      <c r="F45" s="141"/>
      <c r="G45" s="141"/>
      <c r="H45" s="27" t="s">
        <v>163</v>
      </c>
      <c r="I45" s="27" t="s">
        <v>81</v>
      </c>
      <c r="J45" s="27">
        <v>1400</v>
      </c>
      <c r="K45" s="14">
        <v>3</v>
      </c>
      <c r="L45" s="27" t="s">
        <v>143</v>
      </c>
      <c r="M45" s="14">
        <v>2</v>
      </c>
      <c r="N45" s="15" t="s">
        <v>145</v>
      </c>
    </row>
    <row r="46" spans="2:14" ht="35.1" customHeight="1" x14ac:dyDescent="0.25">
      <c r="B46" s="13">
        <v>40</v>
      </c>
      <c r="C46" s="27" t="s">
        <v>59</v>
      </c>
      <c r="D46" s="141" t="s">
        <v>91</v>
      </c>
      <c r="E46" s="141"/>
      <c r="F46" s="141"/>
      <c r="G46" s="141"/>
      <c r="H46" s="27" t="s">
        <v>163</v>
      </c>
      <c r="I46" s="27" t="s">
        <v>92</v>
      </c>
      <c r="J46" s="27">
        <v>820</v>
      </c>
      <c r="K46" s="14">
        <v>5</v>
      </c>
      <c r="L46" s="27" t="s">
        <v>151</v>
      </c>
      <c r="M46" s="14">
        <v>2</v>
      </c>
      <c r="N46" s="15" t="s">
        <v>145</v>
      </c>
    </row>
    <row r="47" spans="2:14" ht="35.1" customHeight="1" x14ac:dyDescent="0.25">
      <c r="B47" s="13">
        <v>41</v>
      </c>
      <c r="C47" s="27" t="s">
        <v>60</v>
      </c>
      <c r="D47" s="141" t="s">
        <v>91</v>
      </c>
      <c r="E47" s="141"/>
      <c r="F47" s="141"/>
      <c r="G47" s="141"/>
      <c r="H47" s="27" t="s">
        <v>163</v>
      </c>
      <c r="I47" s="27" t="s">
        <v>93</v>
      </c>
      <c r="J47" s="27">
        <v>820</v>
      </c>
      <c r="K47" s="14">
        <v>2</v>
      </c>
      <c r="L47" s="27" t="s">
        <v>145</v>
      </c>
      <c r="M47" s="14">
        <v>5</v>
      </c>
      <c r="N47" s="15" t="s">
        <v>149</v>
      </c>
    </row>
    <row r="48" spans="2:14" ht="35.1" customHeight="1" x14ac:dyDescent="0.25">
      <c r="B48" s="13">
        <v>42</v>
      </c>
      <c r="C48" s="31" t="s">
        <v>61</v>
      </c>
      <c r="D48" s="141" t="s">
        <v>91</v>
      </c>
      <c r="E48" s="141"/>
      <c r="F48" s="141"/>
      <c r="G48" s="141"/>
      <c r="H48" s="27" t="s">
        <v>163</v>
      </c>
      <c r="I48" s="27" t="s">
        <v>90</v>
      </c>
      <c r="J48" s="31">
        <f>1685-10</f>
        <v>1675</v>
      </c>
      <c r="K48" s="14">
        <v>4</v>
      </c>
      <c r="L48" s="27" t="s">
        <v>152</v>
      </c>
      <c r="M48" s="14">
        <v>2</v>
      </c>
      <c r="N48" s="15" t="s">
        <v>153</v>
      </c>
    </row>
    <row r="49" spans="2:15" ht="35.1" customHeight="1" x14ac:dyDescent="0.25">
      <c r="B49" s="13">
        <v>43</v>
      </c>
      <c r="C49" s="31" t="s">
        <v>62</v>
      </c>
      <c r="D49" s="141" t="s">
        <v>91</v>
      </c>
      <c r="E49" s="141"/>
      <c r="F49" s="141"/>
      <c r="G49" s="141"/>
      <c r="H49" s="27" t="s">
        <v>163</v>
      </c>
      <c r="I49" s="27" t="s">
        <v>94</v>
      </c>
      <c r="J49" s="31">
        <f>1685-10</f>
        <v>1675</v>
      </c>
      <c r="K49" s="14">
        <v>2</v>
      </c>
      <c r="L49" s="27" t="s">
        <v>153</v>
      </c>
      <c r="M49" s="14">
        <v>4</v>
      </c>
      <c r="N49" s="15" t="s">
        <v>152</v>
      </c>
    </row>
    <row r="50" spans="2:15" ht="35.1" customHeight="1" x14ac:dyDescent="0.25">
      <c r="B50" s="13">
        <v>44</v>
      </c>
      <c r="C50" s="31" t="s">
        <v>63</v>
      </c>
      <c r="D50" s="141" t="s">
        <v>91</v>
      </c>
      <c r="E50" s="141"/>
      <c r="F50" s="141"/>
      <c r="G50" s="141"/>
      <c r="H50" s="27" t="s">
        <v>163</v>
      </c>
      <c r="I50" s="27" t="s">
        <v>95</v>
      </c>
      <c r="J50" s="31">
        <f>1685-10</f>
        <v>1675</v>
      </c>
      <c r="K50" s="14">
        <v>2</v>
      </c>
      <c r="L50" s="27" t="s">
        <v>153</v>
      </c>
      <c r="M50" s="14">
        <v>4</v>
      </c>
      <c r="N50" s="15" t="s">
        <v>152</v>
      </c>
    </row>
    <row r="51" spans="2:15" ht="35.1" customHeight="1" x14ac:dyDescent="0.25">
      <c r="B51" s="13">
        <v>45</v>
      </c>
      <c r="C51" s="31" t="s">
        <v>64</v>
      </c>
      <c r="D51" s="141" t="s">
        <v>91</v>
      </c>
      <c r="E51" s="141"/>
      <c r="F51" s="141"/>
      <c r="G51" s="141"/>
      <c r="H51" s="27" t="s">
        <v>163</v>
      </c>
      <c r="I51" s="27" t="s">
        <v>83</v>
      </c>
      <c r="J51" s="31">
        <f>1685-10</f>
        <v>1675</v>
      </c>
      <c r="K51" s="14">
        <v>4</v>
      </c>
      <c r="L51" s="27" t="s">
        <v>152</v>
      </c>
      <c r="M51" s="14">
        <v>2</v>
      </c>
      <c r="N51" s="15" t="s">
        <v>153</v>
      </c>
    </row>
    <row r="52" spans="2:15" ht="35.1" customHeight="1" x14ac:dyDescent="0.25">
      <c r="B52" s="13">
        <v>46</v>
      </c>
      <c r="C52" s="27" t="s">
        <v>65</v>
      </c>
      <c r="D52" s="141" t="s">
        <v>91</v>
      </c>
      <c r="E52" s="141"/>
      <c r="F52" s="141"/>
      <c r="G52" s="141"/>
      <c r="H52" s="27" t="s">
        <v>163</v>
      </c>
      <c r="I52" s="27" t="s">
        <v>96</v>
      </c>
      <c r="J52" s="27">
        <v>385</v>
      </c>
      <c r="K52" s="14">
        <v>7</v>
      </c>
      <c r="L52" s="16" t="s">
        <v>191</v>
      </c>
      <c r="M52" s="14">
        <v>3</v>
      </c>
      <c r="N52" s="15" t="s">
        <v>154</v>
      </c>
    </row>
    <row r="53" spans="2:15" ht="35.1" customHeight="1" x14ac:dyDescent="0.25">
      <c r="B53" s="13">
        <v>47</v>
      </c>
      <c r="C53" s="27" t="s">
        <v>97</v>
      </c>
      <c r="D53" s="141" t="s">
        <v>91</v>
      </c>
      <c r="E53" s="141"/>
      <c r="F53" s="141"/>
      <c r="G53" s="141"/>
      <c r="H53" s="27" t="s">
        <v>163</v>
      </c>
      <c r="I53" s="27" t="s">
        <v>78</v>
      </c>
      <c r="J53" s="27">
        <v>920</v>
      </c>
      <c r="K53" s="14">
        <v>3</v>
      </c>
      <c r="L53" s="27" t="s">
        <v>154</v>
      </c>
      <c r="M53" s="14">
        <v>2</v>
      </c>
      <c r="N53" s="28" t="s">
        <v>145</v>
      </c>
    </row>
    <row r="54" spans="2:15" ht="35.1" customHeight="1" x14ac:dyDescent="0.25">
      <c r="B54" s="13">
        <v>48</v>
      </c>
      <c r="C54" s="27" t="s">
        <v>98</v>
      </c>
      <c r="D54" s="141" t="s">
        <v>71</v>
      </c>
      <c r="E54" s="141"/>
      <c r="F54" s="141"/>
      <c r="G54" s="141"/>
      <c r="H54" s="27" t="s">
        <v>162</v>
      </c>
      <c r="I54" s="27" t="s">
        <v>19</v>
      </c>
      <c r="J54" s="27">
        <v>280</v>
      </c>
      <c r="K54" s="14">
        <v>3</v>
      </c>
      <c r="L54" s="27" t="s">
        <v>146</v>
      </c>
      <c r="M54" s="12">
        <v>10</v>
      </c>
      <c r="N54" s="15" t="s">
        <v>180</v>
      </c>
    </row>
    <row r="55" spans="2:15" ht="35.1" customHeight="1" x14ac:dyDescent="0.25">
      <c r="B55" s="13">
        <v>49</v>
      </c>
      <c r="C55" s="27" t="s">
        <v>66</v>
      </c>
      <c r="D55" s="141" t="s">
        <v>91</v>
      </c>
      <c r="E55" s="141"/>
      <c r="F55" s="141"/>
      <c r="G55" s="141"/>
      <c r="H55" s="27" t="s">
        <v>163</v>
      </c>
      <c r="I55" s="27" t="s">
        <v>19</v>
      </c>
      <c r="J55" s="27">
        <v>820</v>
      </c>
      <c r="K55" s="14">
        <v>8</v>
      </c>
      <c r="L55" s="15" t="s">
        <v>177</v>
      </c>
      <c r="M55" s="14">
        <v>3</v>
      </c>
      <c r="N55" s="28" t="s">
        <v>143</v>
      </c>
    </row>
    <row r="56" spans="2:15" ht="35.1" customHeight="1" x14ac:dyDescent="0.25">
      <c r="B56" s="13">
        <v>50</v>
      </c>
      <c r="C56" s="27" t="s">
        <v>67</v>
      </c>
      <c r="D56" s="141" t="s">
        <v>91</v>
      </c>
      <c r="E56" s="141"/>
      <c r="F56" s="141"/>
      <c r="G56" s="141"/>
      <c r="H56" s="27" t="s">
        <v>163</v>
      </c>
      <c r="I56" s="27" t="s">
        <v>78</v>
      </c>
      <c r="J56" s="27">
        <v>205</v>
      </c>
      <c r="K56" s="14">
        <v>8</v>
      </c>
      <c r="L56" s="15" t="s">
        <v>178</v>
      </c>
      <c r="M56" s="14">
        <v>3</v>
      </c>
      <c r="N56" s="28" t="s">
        <v>143</v>
      </c>
    </row>
    <row r="57" spans="2:15" ht="35.1" customHeight="1" x14ac:dyDescent="0.25">
      <c r="B57" s="13">
        <v>51</v>
      </c>
      <c r="C57" s="27" t="s">
        <v>68</v>
      </c>
      <c r="D57" s="141" t="s">
        <v>91</v>
      </c>
      <c r="E57" s="141"/>
      <c r="F57" s="141"/>
      <c r="G57" s="141"/>
      <c r="H57" s="27" t="s">
        <v>163</v>
      </c>
      <c r="I57" s="27" t="s">
        <v>82</v>
      </c>
      <c r="J57" s="27">
        <v>260</v>
      </c>
      <c r="K57" s="14">
        <v>3</v>
      </c>
      <c r="L57" s="27" t="s">
        <v>143</v>
      </c>
      <c r="M57" s="14">
        <v>8</v>
      </c>
      <c r="N57" s="15" t="s">
        <v>179</v>
      </c>
    </row>
    <row r="58" spans="2:15" ht="35.1" customHeight="1" x14ac:dyDescent="0.25">
      <c r="B58" s="13">
        <v>52</v>
      </c>
      <c r="C58" s="27" t="s">
        <v>69</v>
      </c>
      <c r="D58" s="141" t="s">
        <v>91</v>
      </c>
      <c r="E58" s="141"/>
      <c r="F58" s="141"/>
      <c r="G58" s="141"/>
      <c r="H58" s="27" t="s">
        <v>163</v>
      </c>
      <c r="I58" s="27" t="s">
        <v>82</v>
      </c>
      <c r="J58" s="27">
        <v>1380</v>
      </c>
      <c r="K58" s="14">
        <v>3</v>
      </c>
      <c r="L58" s="27" t="s">
        <v>155</v>
      </c>
      <c r="M58" s="14">
        <v>8</v>
      </c>
      <c r="N58" s="15" t="s">
        <v>181</v>
      </c>
    </row>
    <row r="59" spans="2:15" ht="35.1" customHeight="1" x14ac:dyDescent="0.25">
      <c r="B59" s="13">
        <v>53</v>
      </c>
      <c r="C59" s="27" t="s">
        <v>99</v>
      </c>
      <c r="D59" s="141" t="s">
        <v>91</v>
      </c>
      <c r="E59" s="141"/>
      <c r="F59" s="141"/>
      <c r="G59" s="141"/>
      <c r="H59" s="27" t="s">
        <v>163</v>
      </c>
      <c r="I59" s="27" t="s">
        <v>79</v>
      </c>
      <c r="J59" s="27">
        <v>1375</v>
      </c>
      <c r="K59" s="14">
        <v>3</v>
      </c>
      <c r="L59" s="27" t="s">
        <v>155</v>
      </c>
      <c r="M59" s="14">
        <v>8</v>
      </c>
      <c r="N59" s="15" t="s">
        <v>182</v>
      </c>
      <c r="O59" s="4"/>
    </row>
    <row r="60" spans="2:15" ht="35.1" customHeight="1" x14ac:dyDescent="0.25">
      <c r="B60" s="13">
        <v>54</v>
      </c>
      <c r="C60" s="27" t="s">
        <v>20</v>
      </c>
      <c r="D60" s="141" t="s">
        <v>71</v>
      </c>
      <c r="E60" s="141"/>
      <c r="F60" s="141"/>
      <c r="G60" s="141"/>
      <c r="H60" s="27" t="s">
        <v>162</v>
      </c>
      <c r="I60" s="27" t="s">
        <v>84</v>
      </c>
      <c r="J60" s="27">
        <v>410</v>
      </c>
      <c r="K60" s="12">
        <v>5</v>
      </c>
      <c r="L60" s="27" t="s">
        <v>147</v>
      </c>
      <c r="M60" s="12">
        <v>10</v>
      </c>
      <c r="N60" s="15" t="s">
        <v>172</v>
      </c>
    </row>
    <row r="61" spans="2:15" ht="35.1" customHeight="1" x14ac:dyDescent="0.25">
      <c r="B61" s="13">
        <v>55</v>
      </c>
      <c r="C61" s="31" t="s">
        <v>100</v>
      </c>
      <c r="D61" s="141" t="s">
        <v>91</v>
      </c>
      <c r="E61" s="141"/>
      <c r="F61" s="141"/>
      <c r="G61" s="141"/>
      <c r="H61" s="27" t="s">
        <v>163</v>
      </c>
      <c r="I61" s="27" t="s">
        <v>96</v>
      </c>
      <c r="J61" s="31">
        <f>1685-10</f>
        <v>1675</v>
      </c>
      <c r="K61" s="14">
        <v>4</v>
      </c>
      <c r="L61" s="27" t="s">
        <v>152</v>
      </c>
      <c r="M61" s="14">
        <v>3</v>
      </c>
      <c r="N61" s="15" t="s">
        <v>153</v>
      </c>
    </row>
    <row r="62" spans="2:15" ht="35.1" customHeight="1" x14ac:dyDescent="0.25">
      <c r="B62" s="13">
        <v>56</v>
      </c>
      <c r="C62" s="27" t="s">
        <v>101</v>
      </c>
      <c r="D62" s="141" t="s">
        <v>76</v>
      </c>
      <c r="E62" s="141"/>
      <c r="F62" s="141"/>
      <c r="G62" s="141"/>
      <c r="H62" s="27" t="s">
        <v>159</v>
      </c>
      <c r="I62" s="27" t="s">
        <v>19</v>
      </c>
      <c r="J62" s="27">
        <v>1940</v>
      </c>
      <c r="K62" s="14">
        <v>3</v>
      </c>
      <c r="L62" s="27" t="s">
        <v>156</v>
      </c>
      <c r="M62" s="14">
        <v>8</v>
      </c>
      <c r="N62" s="15" t="s">
        <v>183</v>
      </c>
    </row>
    <row r="63" spans="2:15" ht="35.1" customHeight="1" x14ac:dyDescent="0.25">
      <c r="B63" s="13">
        <v>57</v>
      </c>
      <c r="C63" s="27" t="s">
        <v>102</v>
      </c>
      <c r="D63" s="141" t="s">
        <v>76</v>
      </c>
      <c r="E63" s="141"/>
      <c r="F63" s="141"/>
      <c r="G63" s="141"/>
      <c r="H63" s="27" t="s">
        <v>159</v>
      </c>
      <c r="I63" s="27" t="s">
        <v>19</v>
      </c>
      <c r="J63" s="27">
        <v>2465</v>
      </c>
      <c r="K63" s="14">
        <v>3</v>
      </c>
      <c r="L63" s="27">
        <v>39000040</v>
      </c>
      <c r="M63" s="14">
        <v>8</v>
      </c>
      <c r="N63" s="15" t="s">
        <v>183</v>
      </c>
    </row>
    <row r="64" spans="2:15" ht="35.1" customHeight="1" x14ac:dyDescent="0.25">
      <c r="B64" s="13">
        <v>58</v>
      </c>
      <c r="C64" s="27" t="s">
        <v>103</v>
      </c>
      <c r="D64" s="141" t="s">
        <v>76</v>
      </c>
      <c r="E64" s="141"/>
      <c r="F64" s="141"/>
      <c r="G64" s="141"/>
      <c r="H64" s="27" t="s">
        <v>159</v>
      </c>
      <c r="I64" s="27" t="s">
        <v>88</v>
      </c>
      <c r="J64" s="27">
        <v>1945</v>
      </c>
      <c r="K64" s="14">
        <v>3</v>
      </c>
      <c r="L64" s="27" t="s">
        <v>156</v>
      </c>
      <c r="M64" s="14">
        <v>8</v>
      </c>
      <c r="N64" s="15" t="s">
        <v>184</v>
      </c>
    </row>
    <row r="65" spans="2:14" ht="35.1" customHeight="1" x14ac:dyDescent="0.25">
      <c r="B65" s="13">
        <v>59</v>
      </c>
      <c r="C65" s="27" t="s">
        <v>104</v>
      </c>
      <c r="D65" s="141" t="s">
        <v>76</v>
      </c>
      <c r="E65" s="141"/>
      <c r="F65" s="141"/>
      <c r="G65" s="141"/>
      <c r="H65" s="27" t="s">
        <v>159</v>
      </c>
      <c r="I65" s="27" t="s">
        <v>88</v>
      </c>
      <c r="J65" s="27">
        <v>2480</v>
      </c>
      <c r="K65" s="14">
        <v>8</v>
      </c>
      <c r="L65" s="15" t="s">
        <v>184</v>
      </c>
      <c r="M65" s="14">
        <v>3</v>
      </c>
      <c r="N65" s="15">
        <v>39000040</v>
      </c>
    </row>
    <row r="66" spans="2:14" ht="35.1" customHeight="1" x14ac:dyDescent="0.25">
      <c r="B66" s="13">
        <v>60</v>
      </c>
      <c r="C66" s="31" t="s">
        <v>105</v>
      </c>
      <c r="D66" s="141" t="s">
        <v>91</v>
      </c>
      <c r="E66" s="141"/>
      <c r="F66" s="141"/>
      <c r="G66" s="141"/>
      <c r="H66" s="27" t="s">
        <v>163</v>
      </c>
      <c r="I66" s="27" t="s">
        <v>19</v>
      </c>
      <c r="J66" s="31">
        <f>1685-10</f>
        <v>1675</v>
      </c>
      <c r="K66" s="14">
        <v>4</v>
      </c>
      <c r="L66" s="27" t="s">
        <v>152</v>
      </c>
      <c r="M66" s="14">
        <v>2</v>
      </c>
      <c r="N66" s="15" t="s">
        <v>153</v>
      </c>
    </row>
    <row r="67" spans="2:14" ht="35.1" customHeight="1" x14ac:dyDescent="0.25">
      <c r="B67" s="13">
        <v>61</v>
      </c>
      <c r="C67" s="27" t="s">
        <v>106</v>
      </c>
      <c r="D67" s="141" t="s">
        <v>91</v>
      </c>
      <c r="E67" s="141"/>
      <c r="F67" s="141"/>
      <c r="G67" s="141"/>
      <c r="H67" s="27" t="s">
        <v>163</v>
      </c>
      <c r="I67" s="27" t="s">
        <v>96</v>
      </c>
      <c r="J67" s="27">
        <v>1825</v>
      </c>
      <c r="K67" s="14">
        <v>2</v>
      </c>
      <c r="L67" s="27" t="s">
        <v>145</v>
      </c>
      <c r="M67" s="14">
        <v>8</v>
      </c>
      <c r="N67" s="15" t="s">
        <v>201</v>
      </c>
    </row>
    <row r="68" spans="2:14" ht="35.1" customHeight="1" x14ac:dyDescent="0.25">
      <c r="B68" s="13">
        <v>62</v>
      </c>
      <c r="C68" s="27" t="s">
        <v>107</v>
      </c>
      <c r="D68" s="141" t="s">
        <v>91</v>
      </c>
      <c r="E68" s="141"/>
      <c r="F68" s="141"/>
      <c r="G68" s="141"/>
      <c r="H68" s="27" t="s">
        <v>163</v>
      </c>
      <c r="I68" s="27" t="s">
        <v>88</v>
      </c>
      <c r="J68" s="27">
        <v>1345</v>
      </c>
      <c r="K68" s="14">
        <v>3</v>
      </c>
      <c r="L68" s="27" t="s">
        <v>143</v>
      </c>
      <c r="M68" s="14">
        <v>3</v>
      </c>
      <c r="N68" s="28" t="s">
        <v>143</v>
      </c>
    </row>
    <row r="69" spans="2:14" ht="35.1" customHeight="1" x14ac:dyDescent="0.25">
      <c r="B69" s="13">
        <v>63</v>
      </c>
      <c r="C69" s="27" t="s">
        <v>108</v>
      </c>
      <c r="D69" s="141" t="s">
        <v>91</v>
      </c>
      <c r="E69" s="141"/>
      <c r="F69" s="141"/>
      <c r="G69" s="141"/>
      <c r="H69" s="27" t="s">
        <v>163</v>
      </c>
      <c r="I69" s="27" t="s">
        <v>96</v>
      </c>
      <c r="J69" s="27">
        <v>3010</v>
      </c>
      <c r="K69" s="14">
        <v>3</v>
      </c>
      <c r="L69" s="27" t="s">
        <v>143</v>
      </c>
      <c r="M69" s="14">
        <v>3</v>
      </c>
      <c r="N69" s="28" t="s">
        <v>154</v>
      </c>
    </row>
    <row r="70" spans="2:14" ht="35.1" customHeight="1" x14ac:dyDescent="0.25">
      <c r="B70" s="13">
        <v>64</v>
      </c>
      <c r="C70" s="27" t="s">
        <v>109</v>
      </c>
      <c r="D70" s="141" t="s">
        <v>91</v>
      </c>
      <c r="E70" s="141"/>
      <c r="F70" s="141"/>
      <c r="G70" s="141"/>
      <c r="H70" s="27" t="s">
        <v>163</v>
      </c>
      <c r="I70" s="27" t="s">
        <v>81</v>
      </c>
      <c r="J70" s="27">
        <v>1865</v>
      </c>
      <c r="K70" s="14">
        <v>3.5</v>
      </c>
      <c r="L70" s="27" t="s">
        <v>154</v>
      </c>
      <c r="M70" s="14">
        <v>2</v>
      </c>
      <c r="N70" s="28" t="s">
        <v>145</v>
      </c>
    </row>
    <row r="71" spans="2:14" ht="35.1" customHeight="1" x14ac:dyDescent="0.25">
      <c r="B71" s="13">
        <v>65</v>
      </c>
      <c r="C71" s="27" t="s">
        <v>110</v>
      </c>
      <c r="D71" s="165" t="s">
        <v>207</v>
      </c>
      <c r="E71" s="165"/>
      <c r="F71" s="165"/>
      <c r="G71" s="165"/>
      <c r="H71" s="29" t="s">
        <v>208</v>
      </c>
      <c r="I71" s="27" t="s">
        <v>192</v>
      </c>
      <c r="J71" s="11">
        <v>2550</v>
      </c>
      <c r="K71" s="32">
        <v>3.8</v>
      </c>
      <c r="L71" s="29" t="s">
        <v>209</v>
      </c>
      <c r="M71" s="14">
        <v>2</v>
      </c>
      <c r="N71" s="15" t="s">
        <v>145</v>
      </c>
    </row>
    <row r="72" spans="2:14" ht="35.1" customHeight="1" x14ac:dyDescent="0.25">
      <c r="B72" s="13">
        <v>66</v>
      </c>
      <c r="C72" s="27" t="s">
        <v>111</v>
      </c>
      <c r="D72" s="135" t="s">
        <v>91</v>
      </c>
      <c r="E72" s="135"/>
      <c r="F72" s="135"/>
      <c r="G72" s="135"/>
      <c r="H72" s="30" t="s">
        <v>163</v>
      </c>
      <c r="I72" s="27" t="s">
        <v>113</v>
      </c>
      <c r="J72" s="27">
        <v>455</v>
      </c>
      <c r="K72" s="14">
        <v>3</v>
      </c>
      <c r="L72" s="27" t="s">
        <v>143</v>
      </c>
      <c r="M72" s="14">
        <v>8</v>
      </c>
      <c r="N72" s="15" t="s">
        <v>202</v>
      </c>
    </row>
    <row r="73" spans="2:14" ht="35.1" customHeight="1" x14ac:dyDescent="0.25">
      <c r="B73" s="13">
        <v>67</v>
      </c>
      <c r="C73" s="27" t="s">
        <v>112</v>
      </c>
      <c r="D73" s="165" t="s">
        <v>207</v>
      </c>
      <c r="E73" s="165"/>
      <c r="F73" s="165"/>
      <c r="G73" s="165"/>
      <c r="H73" s="29" t="s">
        <v>208</v>
      </c>
      <c r="I73" s="27" t="s">
        <v>96</v>
      </c>
      <c r="J73" s="11">
        <v>3890</v>
      </c>
      <c r="K73" s="14">
        <v>8</v>
      </c>
      <c r="L73" s="15" t="s">
        <v>201</v>
      </c>
      <c r="M73" s="32">
        <v>3.8</v>
      </c>
      <c r="N73" s="23" t="s">
        <v>209</v>
      </c>
    </row>
    <row r="74" spans="2:14" ht="35.1" customHeight="1" x14ac:dyDescent="0.25">
      <c r="B74" s="13">
        <v>68</v>
      </c>
      <c r="C74" s="27" t="s">
        <v>114</v>
      </c>
      <c r="D74" s="141" t="s">
        <v>91</v>
      </c>
      <c r="E74" s="141"/>
      <c r="F74" s="141"/>
      <c r="G74" s="141"/>
      <c r="H74" s="27" t="s">
        <v>163</v>
      </c>
      <c r="I74" s="27" t="s">
        <v>115</v>
      </c>
      <c r="J74" s="27">
        <v>770</v>
      </c>
      <c r="K74" s="14">
        <v>3</v>
      </c>
      <c r="L74" s="27" t="s">
        <v>143</v>
      </c>
      <c r="M74" s="14">
        <v>2</v>
      </c>
      <c r="N74" s="15" t="s">
        <v>145</v>
      </c>
    </row>
    <row r="75" spans="2:14" ht="35.1" customHeight="1" x14ac:dyDescent="0.25">
      <c r="B75" s="13">
        <v>69</v>
      </c>
      <c r="C75" s="27" t="s">
        <v>116</v>
      </c>
      <c r="D75" s="141" t="s">
        <v>91</v>
      </c>
      <c r="E75" s="141"/>
      <c r="F75" s="141"/>
      <c r="G75" s="141"/>
      <c r="H75" s="27" t="s">
        <v>163</v>
      </c>
      <c r="I75" s="27" t="s">
        <v>85</v>
      </c>
      <c r="J75" s="27">
        <v>770</v>
      </c>
      <c r="K75" s="14">
        <v>2</v>
      </c>
      <c r="L75" s="27" t="s">
        <v>145</v>
      </c>
      <c r="M75" s="14">
        <v>3</v>
      </c>
      <c r="N75" s="15" t="s">
        <v>143</v>
      </c>
    </row>
    <row r="76" spans="2:14" ht="35.1" customHeight="1" x14ac:dyDescent="0.25">
      <c r="B76" s="13">
        <v>70</v>
      </c>
      <c r="C76" s="27" t="s">
        <v>117</v>
      </c>
      <c r="D76" s="141" t="s">
        <v>91</v>
      </c>
      <c r="E76" s="141"/>
      <c r="F76" s="141"/>
      <c r="G76" s="141"/>
      <c r="H76" s="27" t="s">
        <v>163</v>
      </c>
      <c r="I76" s="27" t="s">
        <v>122</v>
      </c>
      <c r="J76" s="27">
        <v>1535</v>
      </c>
      <c r="K76" s="14">
        <v>3</v>
      </c>
      <c r="L76" s="27" t="s">
        <v>143</v>
      </c>
      <c r="M76" s="14">
        <v>2</v>
      </c>
      <c r="N76" s="15" t="s">
        <v>145</v>
      </c>
    </row>
    <row r="77" spans="2:14" ht="35.1" customHeight="1" x14ac:dyDescent="0.25">
      <c r="B77" s="13">
        <v>71</v>
      </c>
      <c r="C77" s="27" t="s">
        <v>118</v>
      </c>
      <c r="D77" s="141" t="s">
        <v>91</v>
      </c>
      <c r="E77" s="141"/>
      <c r="F77" s="141"/>
      <c r="G77" s="141"/>
      <c r="H77" s="27" t="s">
        <v>163</v>
      </c>
      <c r="I77" s="27" t="s">
        <v>75</v>
      </c>
      <c r="J77" s="27">
        <v>1535</v>
      </c>
      <c r="K77" s="14">
        <v>2</v>
      </c>
      <c r="L77" s="27" t="s">
        <v>145</v>
      </c>
      <c r="M77" s="14">
        <v>3</v>
      </c>
      <c r="N77" s="15" t="s">
        <v>143</v>
      </c>
    </row>
    <row r="78" spans="2:14" ht="35.1" customHeight="1" x14ac:dyDescent="0.25">
      <c r="B78" s="13">
        <v>72</v>
      </c>
      <c r="C78" s="27" t="s">
        <v>119</v>
      </c>
      <c r="D78" s="141" t="s">
        <v>91</v>
      </c>
      <c r="E78" s="141"/>
      <c r="F78" s="141"/>
      <c r="G78" s="141"/>
      <c r="H78" s="27" t="s">
        <v>163</v>
      </c>
      <c r="I78" s="27" t="s">
        <v>88</v>
      </c>
      <c r="J78" s="27">
        <v>1855</v>
      </c>
      <c r="K78" s="14">
        <v>3</v>
      </c>
      <c r="L78" s="27" t="s">
        <v>143</v>
      </c>
      <c r="M78" s="14">
        <v>2</v>
      </c>
      <c r="N78" s="15" t="s">
        <v>145</v>
      </c>
    </row>
    <row r="79" spans="2:14" ht="35.1" customHeight="1" x14ac:dyDescent="0.25">
      <c r="B79" s="13">
        <v>73</v>
      </c>
      <c r="C79" s="27" t="s">
        <v>120</v>
      </c>
      <c r="D79" s="141" t="s">
        <v>91</v>
      </c>
      <c r="E79" s="141"/>
      <c r="F79" s="141"/>
      <c r="G79" s="141"/>
      <c r="H79" s="27" t="s">
        <v>163</v>
      </c>
      <c r="I79" s="27" t="s">
        <v>96</v>
      </c>
      <c r="J79" s="27">
        <v>1855</v>
      </c>
      <c r="K79" s="14">
        <v>2</v>
      </c>
      <c r="L79" s="27" t="s">
        <v>145</v>
      </c>
      <c r="M79" s="14">
        <v>3</v>
      </c>
      <c r="N79" s="15" t="s">
        <v>143</v>
      </c>
    </row>
    <row r="80" spans="2:14" ht="35.1" customHeight="1" x14ac:dyDescent="0.25">
      <c r="B80" s="13">
        <v>74</v>
      </c>
      <c r="C80" s="27" t="s">
        <v>121</v>
      </c>
      <c r="D80" s="141" t="s">
        <v>91</v>
      </c>
      <c r="E80" s="141"/>
      <c r="F80" s="141"/>
      <c r="G80" s="141"/>
      <c r="H80" s="27" t="s">
        <v>163</v>
      </c>
      <c r="I80" s="27" t="s">
        <v>78</v>
      </c>
      <c r="J80" s="27">
        <v>1175</v>
      </c>
      <c r="K80" s="14">
        <v>2</v>
      </c>
      <c r="L80" s="16" t="s">
        <v>145</v>
      </c>
      <c r="M80" s="14">
        <v>3</v>
      </c>
      <c r="N80" s="15" t="s">
        <v>143</v>
      </c>
    </row>
    <row r="81" spans="1:15" ht="35.1" customHeight="1" x14ac:dyDescent="0.25">
      <c r="B81" s="13">
        <v>75</v>
      </c>
      <c r="C81" s="27" t="s">
        <v>123</v>
      </c>
      <c r="D81" s="141" t="s">
        <v>91</v>
      </c>
      <c r="E81" s="141"/>
      <c r="F81" s="141"/>
      <c r="G81" s="141"/>
      <c r="H81" s="27" t="s">
        <v>163</v>
      </c>
      <c r="I81" s="16" t="s">
        <v>173</v>
      </c>
      <c r="J81" s="27">
        <v>125</v>
      </c>
      <c r="K81" s="14">
        <v>8</v>
      </c>
      <c r="L81" s="16" t="s">
        <v>186</v>
      </c>
      <c r="M81" s="14">
        <v>3</v>
      </c>
      <c r="N81" s="15" t="s">
        <v>143</v>
      </c>
    </row>
    <row r="82" spans="1:15" ht="35.1" customHeight="1" x14ac:dyDescent="0.25">
      <c r="B82" s="13">
        <v>76</v>
      </c>
      <c r="C82" s="27" t="s">
        <v>124</v>
      </c>
      <c r="D82" s="141" t="s">
        <v>91</v>
      </c>
      <c r="E82" s="141"/>
      <c r="F82" s="141"/>
      <c r="G82" s="141"/>
      <c r="H82" s="27" t="s">
        <v>163</v>
      </c>
      <c r="I82" s="16" t="s">
        <v>173</v>
      </c>
      <c r="J82" s="27">
        <v>1090</v>
      </c>
      <c r="K82" s="14">
        <v>2</v>
      </c>
      <c r="L82" s="16" t="s">
        <v>145</v>
      </c>
      <c r="M82" s="14">
        <v>8</v>
      </c>
      <c r="N82" s="15" t="s">
        <v>185</v>
      </c>
    </row>
    <row r="83" spans="1:15" ht="35.1" customHeight="1" x14ac:dyDescent="0.25">
      <c r="B83" s="13">
        <v>77</v>
      </c>
      <c r="C83" s="27" t="s">
        <v>125</v>
      </c>
      <c r="D83" s="141" t="s">
        <v>91</v>
      </c>
      <c r="E83" s="141"/>
      <c r="F83" s="141"/>
      <c r="G83" s="141"/>
      <c r="H83" s="27" t="s">
        <v>163</v>
      </c>
      <c r="I83" s="27" t="s">
        <v>81</v>
      </c>
      <c r="J83" s="27">
        <v>1175</v>
      </c>
      <c r="K83" s="14">
        <v>2</v>
      </c>
      <c r="L83" s="16" t="s">
        <v>145</v>
      </c>
      <c r="M83" s="14">
        <v>3.5</v>
      </c>
      <c r="N83" s="15" t="s">
        <v>143</v>
      </c>
    </row>
    <row r="84" spans="1:15" ht="35.1" customHeight="1" x14ac:dyDescent="0.25">
      <c r="B84" s="13">
        <v>78</v>
      </c>
      <c r="C84" s="31" t="s">
        <v>126</v>
      </c>
      <c r="D84" s="141" t="s">
        <v>91</v>
      </c>
      <c r="E84" s="141"/>
      <c r="F84" s="141"/>
      <c r="G84" s="141"/>
      <c r="H84" s="27" t="s">
        <v>163</v>
      </c>
      <c r="I84" s="27" t="s">
        <v>90</v>
      </c>
      <c r="J84" s="31">
        <f>1030-10</f>
        <v>1020</v>
      </c>
      <c r="K84" s="14">
        <v>4</v>
      </c>
      <c r="L84" s="16" t="s">
        <v>152</v>
      </c>
      <c r="M84" s="14">
        <v>2</v>
      </c>
      <c r="N84" s="15" t="s">
        <v>145</v>
      </c>
    </row>
    <row r="85" spans="1:15" ht="35.1" customHeight="1" x14ac:dyDescent="0.25">
      <c r="B85" s="13">
        <v>79</v>
      </c>
      <c r="C85" s="31" t="s">
        <v>127</v>
      </c>
      <c r="D85" s="141" t="s">
        <v>91</v>
      </c>
      <c r="E85" s="141"/>
      <c r="F85" s="141"/>
      <c r="G85" s="141"/>
      <c r="H85" s="27" t="s">
        <v>163</v>
      </c>
      <c r="I85" s="27" t="s">
        <v>83</v>
      </c>
      <c r="J85" s="31">
        <f>1020-10</f>
        <v>1010</v>
      </c>
      <c r="K85" s="14">
        <v>4</v>
      </c>
      <c r="L85" s="27" t="s">
        <v>152</v>
      </c>
      <c r="M85" s="14">
        <v>2</v>
      </c>
      <c r="N85" s="15" t="s">
        <v>145</v>
      </c>
    </row>
    <row r="86" spans="1:15" ht="35.1" customHeight="1" x14ac:dyDescent="0.25">
      <c r="B86" s="13">
        <v>80</v>
      </c>
      <c r="C86" s="31" t="s">
        <v>128</v>
      </c>
      <c r="D86" s="141" t="s">
        <v>91</v>
      </c>
      <c r="E86" s="141"/>
      <c r="F86" s="141"/>
      <c r="G86" s="141"/>
      <c r="H86" s="27" t="s">
        <v>163</v>
      </c>
      <c r="I86" s="27" t="s">
        <v>94</v>
      </c>
      <c r="J86" s="31">
        <f>1030-10</f>
        <v>1020</v>
      </c>
      <c r="K86" s="14">
        <v>2</v>
      </c>
      <c r="L86" s="16" t="s">
        <v>145</v>
      </c>
      <c r="M86" s="14">
        <v>4</v>
      </c>
      <c r="N86" s="15" t="s">
        <v>152</v>
      </c>
    </row>
    <row r="87" spans="1:15" ht="35.1" customHeight="1" x14ac:dyDescent="0.25">
      <c r="B87" s="13">
        <v>81</v>
      </c>
      <c r="C87" s="31" t="s">
        <v>129</v>
      </c>
      <c r="D87" s="141" t="s">
        <v>91</v>
      </c>
      <c r="E87" s="141"/>
      <c r="F87" s="141"/>
      <c r="G87" s="141"/>
      <c r="H87" s="27" t="s">
        <v>163</v>
      </c>
      <c r="I87" s="27" t="s">
        <v>95</v>
      </c>
      <c r="J87" s="31">
        <f>1030-10</f>
        <v>1020</v>
      </c>
      <c r="K87" s="14">
        <v>4</v>
      </c>
      <c r="L87" s="16" t="s">
        <v>152</v>
      </c>
      <c r="M87" s="14">
        <v>2</v>
      </c>
      <c r="N87" s="15" t="s">
        <v>145</v>
      </c>
    </row>
    <row r="88" spans="1:15" ht="35.1" customHeight="1" x14ac:dyDescent="0.25">
      <c r="B88" s="13">
        <v>82</v>
      </c>
      <c r="C88" s="27" t="s">
        <v>130</v>
      </c>
      <c r="D88" s="141" t="s">
        <v>91</v>
      </c>
      <c r="E88" s="141"/>
      <c r="F88" s="141"/>
      <c r="G88" s="141"/>
      <c r="H88" s="27" t="s">
        <v>163</v>
      </c>
      <c r="I88" s="27" t="s">
        <v>96</v>
      </c>
      <c r="J88" s="27">
        <v>550</v>
      </c>
      <c r="K88" s="14">
        <v>2.5</v>
      </c>
      <c r="L88" s="27" t="s">
        <v>145</v>
      </c>
      <c r="M88" s="14">
        <v>8</v>
      </c>
      <c r="N88" s="15" t="s">
        <v>187</v>
      </c>
    </row>
    <row r="89" spans="1:15" ht="35.1" customHeight="1" x14ac:dyDescent="0.25">
      <c r="A89" s="4"/>
      <c r="B89" s="13">
        <v>83</v>
      </c>
      <c r="C89" s="31" t="s">
        <v>21</v>
      </c>
      <c r="D89" s="141" t="s">
        <v>91</v>
      </c>
      <c r="E89" s="141"/>
      <c r="F89" s="141"/>
      <c r="G89" s="141"/>
      <c r="H89" s="27" t="s">
        <v>163</v>
      </c>
      <c r="I89" s="27" t="s">
        <v>19</v>
      </c>
      <c r="J89" s="31">
        <f>1000-10</f>
        <v>990</v>
      </c>
      <c r="K89" s="14">
        <v>4</v>
      </c>
      <c r="L89" s="27" t="s">
        <v>152</v>
      </c>
      <c r="M89" s="14">
        <v>2</v>
      </c>
      <c r="N89" s="15" t="s">
        <v>145</v>
      </c>
    </row>
    <row r="90" spans="1:15" ht="35.1" customHeight="1" x14ac:dyDescent="0.25">
      <c r="B90" s="13">
        <v>84</v>
      </c>
      <c r="C90" s="31" t="s">
        <v>22</v>
      </c>
      <c r="D90" s="141" t="s">
        <v>91</v>
      </c>
      <c r="E90" s="141"/>
      <c r="F90" s="141"/>
      <c r="G90" s="141"/>
      <c r="H90" s="27" t="s">
        <v>163</v>
      </c>
      <c r="I90" s="27" t="s">
        <v>96</v>
      </c>
      <c r="J90" s="31">
        <f>450-10</f>
        <v>440</v>
      </c>
      <c r="K90" s="14">
        <v>4</v>
      </c>
      <c r="L90" s="16" t="s">
        <v>152</v>
      </c>
      <c r="M90" s="14">
        <v>8</v>
      </c>
      <c r="N90" s="15" t="s">
        <v>188</v>
      </c>
    </row>
    <row r="91" spans="1:15" ht="35.1" customHeight="1" x14ac:dyDescent="0.25">
      <c r="B91" s="13">
        <v>85</v>
      </c>
      <c r="C91" s="27" t="s">
        <v>23</v>
      </c>
      <c r="D91" s="141" t="s">
        <v>91</v>
      </c>
      <c r="E91" s="141"/>
      <c r="F91" s="141"/>
      <c r="G91" s="141"/>
      <c r="H91" s="27" t="s">
        <v>163</v>
      </c>
      <c r="I91" s="27" t="s">
        <v>80</v>
      </c>
      <c r="J91" s="27">
        <v>1345</v>
      </c>
      <c r="K91" s="14">
        <v>3</v>
      </c>
      <c r="L91" s="16" t="s">
        <v>143</v>
      </c>
      <c r="M91" s="14">
        <v>3</v>
      </c>
      <c r="N91" s="15" t="s">
        <v>143</v>
      </c>
    </row>
    <row r="92" spans="1:15" ht="35.1" customHeight="1" x14ac:dyDescent="0.25">
      <c r="B92" s="13">
        <v>86</v>
      </c>
      <c r="C92" s="27" t="s">
        <v>24</v>
      </c>
      <c r="D92" s="141" t="s">
        <v>91</v>
      </c>
      <c r="E92" s="141"/>
      <c r="F92" s="141"/>
      <c r="G92" s="141"/>
      <c r="H92" s="27" t="s">
        <v>163</v>
      </c>
      <c r="I92" s="27" t="s">
        <v>95</v>
      </c>
      <c r="J92" s="27">
        <v>1345</v>
      </c>
      <c r="K92" s="14">
        <v>3</v>
      </c>
      <c r="L92" s="27" t="s">
        <v>143</v>
      </c>
      <c r="M92" s="14">
        <v>3</v>
      </c>
      <c r="N92" s="28" t="s">
        <v>143</v>
      </c>
    </row>
    <row r="93" spans="1:15" ht="35.1" customHeight="1" x14ac:dyDescent="0.25">
      <c r="B93" s="13">
        <v>87</v>
      </c>
      <c r="C93" s="27" t="s">
        <v>131</v>
      </c>
      <c r="D93" s="141" t="s">
        <v>91</v>
      </c>
      <c r="E93" s="141"/>
      <c r="F93" s="141"/>
      <c r="G93" s="141"/>
      <c r="H93" s="27" t="s">
        <v>163</v>
      </c>
      <c r="I93" s="27" t="s">
        <v>82</v>
      </c>
      <c r="J93" s="27">
        <v>1345</v>
      </c>
      <c r="K93" s="14">
        <v>3</v>
      </c>
      <c r="L93" s="27" t="s">
        <v>143</v>
      </c>
      <c r="M93" s="14">
        <v>3</v>
      </c>
      <c r="N93" s="15" t="s">
        <v>143</v>
      </c>
    </row>
    <row r="94" spans="1:15" ht="35.1" customHeight="1" x14ac:dyDescent="0.25">
      <c r="B94" s="13">
        <v>88</v>
      </c>
      <c r="C94" s="27" t="s">
        <v>132</v>
      </c>
      <c r="D94" s="141" t="s">
        <v>91</v>
      </c>
      <c r="E94" s="141"/>
      <c r="F94" s="141"/>
      <c r="G94" s="141"/>
      <c r="H94" s="27" t="s">
        <v>163</v>
      </c>
      <c r="I94" s="27" t="s">
        <v>73</v>
      </c>
      <c r="J94" s="27">
        <v>1645</v>
      </c>
      <c r="K94" s="14">
        <v>3</v>
      </c>
      <c r="L94" s="27" t="s">
        <v>148</v>
      </c>
      <c r="M94" s="14">
        <v>3</v>
      </c>
      <c r="N94" s="15" t="s">
        <v>148</v>
      </c>
      <c r="O94" s="4"/>
    </row>
    <row r="95" spans="1:15" ht="35.1" customHeight="1" x14ac:dyDescent="0.25">
      <c r="A95" s="4"/>
      <c r="B95" s="13">
        <v>89</v>
      </c>
      <c r="C95" s="29" t="s">
        <v>133</v>
      </c>
      <c r="D95" s="141" t="s">
        <v>91</v>
      </c>
      <c r="E95" s="141"/>
      <c r="F95" s="141"/>
      <c r="G95" s="141"/>
      <c r="H95" s="27" t="s">
        <v>163</v>
      </c>
      <c r="I95" s="27" t="s">
        <v>193</v>
      </c>
      <c r="J95" s="29">
        <f>2055+50</f>
        <v>2105</v>
      </c>
      <c r="K95" s="14">
        <v>3</v>
      </c>
      <c r="L95" s="27" t="s">
        <v>148</v>
      </c>
      <c r="M95" s="14">
        <v>3</v>
      </c>
      <c r="N95" s="15" t="s">
        <v>148</v>
      </c>
      <c r="O95" s="4"/>
    </row>
    <row r="96" spans="1:15" ht="35.1" customHeight="1" x14ac:dyDescent="0.25">
      <c r="B96" s="13">
        <v>90</v>
      </c>
      <c r="C96" s="27" t="s">
        <v>134</v>
      </c>
      <c r="D96" s="141" t="s">
        <v>91</v>
      </c>
      <c r="E96" s="141"/>
      <c r="F96" s="141"/>
      <c r="G96" s="141"/>
      <c r="H96" s="27" t="s">
        <v>163</v>
      </c>
      <c r="I96" s="27" t="s">
        <v>82</v>
      </c>
      <c r="J96" s="27">
        <v>2200</v>
      </c>
      <c r="K96" s="14">
        <v>8</v>
      </c>
      <c r="L96" s="15" t="s">
        <v>181</v>
      </c>
      <c r="M96" s="14">
        <v>3</v>
      </c>
      <c r="N96" s="15" t="s">
        <v>143</v>
      </c>
    </row>
    <row r="97" spans="1:15" ht="35.1" customHeight="1" x14ac:dyDescent="0.25">
      <c r="B97" s="13">
        <v>91</v>
      </c>
      <c r="C97" s="27" t="s">
        <v>135</v>
      </c>
      <c r="D97" s="141" t="s">
        <v>91</v>
      </c>
      <c r="E97" s="141"/>
      <c r="F97" s="141"/>
      <c r="G97" s="141"/>
      <c r="H97" s="27" t="s">
        <v>163</v>
      </c>
      <c r="I97" s="27" t="s">
        <v>79</v>
      </c>
      <c r="J97" s="27">
        <v>2150</v>
      </c>
      <c r="K97" s="14">
        <v>8</v>
      </c>
      <c r="L97" s="15" t="s">
        <v>168</v>
      </c>
      <c r="M97" s="14">
        <v>3</v>
      </c>
      <c r="N97" s="28" t="s">
        <v>143</v>
      </c>
    </row>
    <row r="98" spans="1:15" ht="35.1" customHeight="1" x14ac:dyDescent="0.25">
      <c r="B98" s="13">
        <v>92</v>
      </c>
      <c r="C98" s="27" t="s">
        <v>136</v>
      </c>
      <c r="D98" s="141" t="s">
        <v>71</v>
      </c>
      <c r="E98" s="141"/>
      <c r="F98" s="141"/>
      <c r="G98" s="141"/>
      <c r="H98" s="27" t="s">
        <v>162</v>
      </c>
      <c r="I98" s="27" t="s">
        <v>84</v>
      </c>
      <c r="J98" s="27">
        <v>1725</v>
      </c>
      <c r="K98" s="12">
        <v>10</v>
      </c>
      <c r="L98" s="16" t="s">
        <v>190</v>
      </c>
      <c r="M98" s="14">
        <v>4</v>
      </c>
      <c r="N98" s="15" t="s">
        <v>158</v>
      </c>
    </row>
    <row r="99" spans="1:15" ht="35.1" customHeight="1" x14ac:dyDescent="0.25">
      <c r="B99" s="13">
        <v>93</v>
      </c>
      <c r="C99" s="29" t="s">
        <v>137</v>
      </c>
      <c r="D99" s="141" t="s">
        <v>91</v>
      </c>
      <c r="E99" s="141"/>
      <c r="F99" s="141"/>
      <c r="G99" s="141"/>
      <c r="H99" s="27" t="s">
        <v>163</v>
      </c>
      <c r="I99" s="27" t="s">
        <v>73</v>
      </c>
      <c r="J99" s="29">
        <f>895-170</f>
        <v>725</v>
      </c>
      <c r="K99" s="14">
        <v>3</v>
      </c>
      <c r="L99" s="27" t="s">
        <v>148</v>
      </c>
      <c r="M99" s="14">
        <v>3</v>
      </c>
      <c r="N99" s="15" t="s">
        <v>148</v>
      </c>
      <c r="O99" s="4"/>
    </row>
    <row r="100" spans="1:15" ht="35.1" customHeight="1" x14ac:dyDescent="0.25">
      <c r="B100" s="13">
        <v>94</v>
      </c>
      <c r="C100" s="29" t="s">
        <v>138</v>
      </c>
      <c r="D100" s="141" t="s">
        <v>91</v>
      </c>
      <c r="E100" s="141"/>
      <c r="F100" s="141"/>
      <c r="G100" s="141"/>
      <c r="H100" s="27" t="s">
        <v>163</v>
      </c>
      <c r="I100" s="27" t="s">
        <v>192</v>
      </c>
      <c r="J100" s="29">
        <f>4525-315</f>
        <v>4210</v>
      </c>
      <c r="K100" s="14">
        <v>3</v>
      </c>
      <c r="L100" s="27" t="s">
        <v>148</v>
      </c>
      <c r="M100" s="14">
        <v>3</v>
      </c>
      <c r="N100" s="15" t="s">
        <v>148</v>
      </c>
      <c r="O100" s="4"/>
    </row>
    <row r="101" spans="1:15" ht="35.1" customHeight="1" x14ac:dyDescent="0.25">
      <c r="A101" s="4"/>
      <c r="B101" s="13">
        <v>95</v>
      </c>
      <c r="C101" s="29" t="s">
        <v>139</v>
      </c>
      <c r="D101" s="141" t="s">
        <v>91</v>
      </c>
      <c r="E101" s="141"/>
      <c r="F101" s="141"/>
      <c r="G101" s="141"/>
      <c r="H101" s="27" t="s">
        <v>163</v>
      </c>
      <c r="I101" s="27" t="s">
        <v>73</v>
      </c>
      <c r="J101" s="29">
        <f>875-100</f>
        <v>775</v>
      </c>
      <c r="K101" s="14">
        <v>3</v>
      </c>
      <c r="L101" s="27" t="s">
        <v>148</v>
      </c>
      <c r="M101" s="14">
        <v>3</v>
      </c>
      <c r="N101" s="15" t="s">
        <v>148</v>
      </c>
      <c r="O101" s="4"/>
    </row>
    <row r="102" spans="1:15" ht="35.1" customHeight="1" x14ac:dyDescent="0.25">
      <c r="B102" s="13">
        <v>96</v>
      </c>
      <c r="C102" s="29" t="s">
        <v>140</v>
      </c>
      <c r="D102" s="141" t="s">
        <v>91</v>
      </c>
      <c r="E102" s="141"/>
      <c r="F102" s="141"/>
      <c r="G102" s="141"/>
      <c r="H102" s="27" t="s">
        <v>163</v>
      </c>
      <c r="I102" s="27" t="s">
        <v>193</v>
      </c>
      <c r="J102" s="29">
        <f>3440-215</f>
        <v>3225</v>
      </c>
      <c r="K102" s="14">
        <v>3</v>
      </c>
      <c r="L102" s="27" t="s">
        <v>148</v>
      </c>
      <c r="M102" s="14">
        <v>3</v>
      </c>
      <c r="N102" s="15" t="s">
        <v>145</v>
      </c>
      <c r="O102" s="4"/>
    </row>
    <row r="103" spans="1:15" ht="15.75" customHeight="1" x14ac:dyDescent="0.25">
      <c r="B103" s="149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1"/>
    </row>
    <row r="104" spans="1:15" ht="22.5" customHeight="1" x14ac:dyDescent="0.3">
      <c r="B104" s="142" t="s">
        <v>205</v>
      </c>
      <c r="C104" s="143"/>
      <c r="D104" s="143" t="s">
        <v>203</v>
      </c>
      <c r="E104" s="143"/>
      <c r="F104" s="143"/>
      <c r="G104" s="143"/>
      <c r="H104" s="143"/>
      <c r="I104" s="143"/>
      <c r="J104" s="143"/>
      <c r="K104" s="143"/>
      <c r="L104" s="143"/>
      <c r="M104" s="143" t="s">
        <v>206</v>
      </c>
      <c r="N104" s="145"/>
    </row>
    <row r="105" spans="1:15" ht="22.5" customHeight="1" x14ac:dyDescent="0.25">
      <c r="B105" s="179" t="s">
        <v>204</v>
      </c>
      <c r="C105" s="180"/>
      <c r="D105" s="141" t="s">
        <v>210</v>
      </c>
      <c r="E105" s="141"/>
      <c r="F105" s="141"/>
      <c r="G105" s="141"/>
      <c r="H105" s="141"/>
      <c r="I105" s="141"/>
      <c r="J105" s="141"/>
      <c r="K105" s="141"/>
      <c r="L105" s="141"/>
      <c r="M105" s="147">
        <v>45812</v>
      </c>
      <c r="N105" s="148"/>
    </row>
    <row r="106" spans="1:15" ht="36.75" customHeight="1" x14ac:dyDescent="0.25">
      <c r="B106" s="183" t="s">
        <v>211</v>
      </c>
      <c r="C106" s="184"/>
      <c r="D106" s="172" t="s">
        <v>216</v>
      </c>
      <c r="E106" s="131"/>
      <c r="F106" s="131"/>
      <c r="G106" s="131"/>
      <c r="H106" s="131"/>
      <c r="I106" s="131"/>
      <c r="J106" s="131"/>
      <c r="K106" s="131"/>
      <c r="L106" s="132"/>
      <c r="M106" s="147">
        <v>45818</v>
      </c>
      <c r="N106" s="148"/>
    </row>
    <row r="107" spans="1:15" ht="22.5" customHeight="1" x14ac:dyDescent="0.25">
      <c r="B107" s="185"/>
      <c r="C107" s="186"/>
      <c r="D107" s="141" t="s">
        <v>214</v>
      </c>
      <c r="E107" s="141"/>
      <c r="F107" s="141"/>
      <c r="G107" s="141"/>
      <c r="H107" s="141"/>
      <c r="I107" s="141"/>
      <c r="J107" s="141"/>
      <c r="K107" s="141"/>
      <c r="L107" s="141"/>
      <c r="M107" s="147">
        <v>45818</v>
      </c>
      <c r="N107" s="148"/>
    </row>
    <row r="108" spans="1:15" ht="32.25" customHeight="1" thickBot="1" x14ac:dyDescent="0.3">
      <c r="B108" s="152" t="s">
        <v>212</v>
      </c>
      <c r="C108" s="153"/>
      <c r="D108" s="153"/>
      <c r="E108" s="153"/>
      <c r="F108" s="153"/>
      <c r="G108" s="153"/>
      <c r="H108" s="154"/>
      <c r="I108" s="155" t="s">
        <v>213</v>
      </c>
      <c r="J108" s="153"/>
      <c r="K108" s="154"/>
      <c r="L108" s="155" t="s">
        <v>215</v>
      </c>
      <c r="M108" s="153"/>
      <c r="N108" s="156"/>
    </row>
    <row r="109" spans="1:15" ht="15.75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</sheetData>
  <mergeCells count="123"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  <mergeCell ref="D15:G15"/>
    <mergeCell ref="D16:G16"/>
    <mergeCell ref="D17:G17"/>
    <mergeCell ref="D18:G18"/>
    <mergeCell ref="D19:G19"/>
    <mergeCell ref="D20:G20"/>
    <mergeCell ref="D9:G9"/>
    <mergeCell ref="D10:G10"/>
    <mergeCell ref="D11:G11"/>
    <mergeCell ref="D12:G12"/>
    <mergeCell ref="D13:G13"/>
    <mergeCell ref="D14:G14"/>
    <mergeCell ref="D27:G27"/>
    <mergeCell ref="D28:G28"/>
    <mergeCell ref="D29:G29"/>
    <mergeCell ref="D30:G30"/>
    <mergeCell ref="D31:G31"/>
    <mergeCell ref="D32:G32"/>
    <mergeCell ref="D21:G21"/>
    <mergeCell ref="D22:G22"/>
    <mergeCell ref="D23:G23"/>
    <mergeCell ref="D24:G24"/>
    <mergeCell ref="D25:G25"/>
    <mergeCell ref="D26:G26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D99:G99"/>
    <mergeCell ref="D100:G100"/>
    <mergeCell ref="D101:G101"/>
    <mergeCell ref="D102:G102"/>
    <mergeCell ref="B103:N103"/>
    <mergeCell ref="B104:C104"/>
    <mergeCell ref="D104:L104"/>
    <mergeCell ref="M104:N104"/>
    <mergeCell ref="D93:G93"/>
    <mergeCell ref="D94:G94"/>
    <mergeCell ref="D95:G95"/>
    <mergeCell ref="D96:G96"/>
    <mergeCell ref="D97:G97"/>
    <mergeCell ref="D98:G98"/>
    <mergeCell ref="D107:L107"/>
    <mergeCell ref="M107:N107"/>
    <mergeCell ref="B108:H108"/>
    <mergeCell ref="I108:K108"/>
    <mergeCell ref="L108:N108"/>
    <mergeCell ref="B105:C105"/>
    <mergeCell ref="D105:L105"/>
    <mergeCell ref="M105:N105"/>
    <mergeCell ref="D106:L106"/>
    <mergeCell ref="M106:N106"/>
    <mergeCell ref="B106:C107"/>
  </mergeCells>
  <printOptions horizontalCentered="1" verticalCentered="1"/>
  <pageMargins left="0" right="0" top="0" bottom="0" header="0" footer="0"/>
  <pageSetup paperSize="9" scale="70" orientation="landscape" r:id="rId1"/>
  <headerFooter scaleWithDoc="0" alignWithMargins="0">
    <firstFooter>&amp;RPage :1 of 2</firstFooter>
  </headerFooter>
  <rowBreaks count="1" manualBreakCount="1">
    <brk id="9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REV-5 UPDATED </vt:lpstr>
      <vt:lpstr>Sheet1</vt:lpstr>
      <vt:lpstr>REVISION HISTORY</vt:lpstr>
      <vt:lpstr>REV-4 UPDATED  (2)</vt:lpstr>
      <vt:lpstr>REV-3 UPDATED</vt:lpstr>
      <vt:lpstr>Rev 0</vt:lpstr>
      <vt:lpstr>Rev 1 </vt:lpstr>
      <vt:lpstr>Rev 2</vt:lpstr>
      <vt:lpstr>'Rev 0'!Print_Area</vt:lpstr>
      <vt:lpstr>'Rev 1 '!Print_Area</vt:lpstr>
      <vt:lpstr>'Rev 2'!Print_Area</vt:lpstr>
      <vt:lpstr>'REV-3 UPDATED'!Print_Area</vt:lpstr>
      <vt:lpstr>'REV-4 UPDATED  (2)'!Print_Area</vt:lpstr>
      <vt:lpstr>'REV-5 UPDATED '!Print_Area</vt:lpstr>
      <vt:lpstr>'Rev 0'!Print_Titles</vt:lpstr>
      <vt:lpstr>'Rev 1 '!Print_Titles</vt:lpstr>
      <vt:lpstr>'Rev 2'!Print_Titles</vt:lpstr>
      <vt:lpstr>'REV-3 UPDATED'!Print_Titles</vt:lpstr>
      <vt:lpstr>'REV-4 UPDATED  (2)'!Print_Titles</vt:lpstr>
      <vt:lpstr>'REV-5 UPDATED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2025-10-08T07:38:41Z</cp:lastPrinted>
  <dcterms:created xsi:type="dcterms:W3CDTF">2022-06-15T04:51:40Z</dcterms:created>
  <dcterms:modified xsi:type="dcterms:W3CDTF">2025-12-15T07:14:22Z</dcterms:modified>
</cp:coreProperties>
</file>