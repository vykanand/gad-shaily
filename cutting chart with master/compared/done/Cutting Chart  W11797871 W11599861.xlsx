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gad-shaily\cutting chart with master\compared\done\"/>
    </mc:Choice>
  </mc:AlternateContent>
  <xr:revisionPtr revIDLastSave="0" documentId="13_ncr:1_{ADDD93D4-5DD5-40CF-8605-6CD4A76CD837}" xr6:coauthVersionLast="47" xr6:coauthVersionMax="47" xr10:uidLastSave="{00000000-0000-0000-0000-000000000000}"/>
  <bookViews>
    <workbookView xWindow="-108" yWindow="-108" windowWidth="23256" windowHeight="12420" xr2:uid="{00000000-000D-0000-FFFF-FFFF00000000}"/>
  </bookViews>
  <sheets>
    <sheet name="Sheet1" sheetId="3" r:id="rId1"/>
  </sheets>
  <definedNames>
    <definedName name="_xlnm._FilterDatabase" localSheetId="0" hidden="1">Sheet1!$A$1:$K$1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3" l="1"/>
  <c r="E21" i="3"/>
  <c r="E20" i="3"/>
  <c r="E17" i="3"/>
  <c r="E16" i="3"/>
  <c r="E15" i="3"/>
  <c r="E9" i="3"/>
  <c r="E7" i="3"/>
  <c r="E5" i="3"/>
</calcChain>
</file>

<file path=xl/sharedStrings.xml><?xml version="1.0" encoding="utf-8"?>
<sst xmlns="http://schemas.openxmlformats.org/spreadsheetml/2006/main" count="172" uniqueCount="69">
  <si>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</si>
  <si>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</si>
  <si>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</si>
  <si>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</si>
  <si>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</si>
  <si>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</si>
  <si>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</si>
  <si>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Pink</t>
  </si>
  <si>
    <t>Blue</t>
  </si>
  <si>
    <t>Brown</t>
  </si>
  <si>
    <t>Green</t>
  </si>
  <si>
    <t>Black</t>
  </si>
  <si>
    <t>Green / Yellow</t>
  </si>
  <si>
    <t>UL 1569 # 22</t>
  </si>
  <si>
    <t>172718-5121</t>
  </si>
  <si>
    <t>43030-0001</t>
  </si>
  <si>
    <t>Yellow</t>
  </si>
  <si>
    <t>2350223-1</t>
  </si>
  <si>
    <t>UL 1015 # 16</t>
  </si>
  <si>
    <t>65 , 0.160 , 3.10</t>
  </si>
  <si>
    <t>172718-2121</t>
  </si>
  <si>
    <t>4006-2003</t>
  </si>
  <si>
    <t>TAN
Light Brown</t>
  </si>
  <si>
    <t>UL 1015 # 20</t>
  </si>
  <si>
    <t>White</t>
  </si>
  <si>
    <t>Red / White</t>
  </si>
  <si>
    <t>172718-4121</t>
  </si>
  <si>
    <t>SPL-WIDE-2
63130-2 …A</t>
  </si>
  <si>
    <t>SPL-WIDE-2
63130-2 …B</t>
  </si>
  <si>
    <t>SPL-A40
63130-2 … A</t>
  </si>
  <si>
    <t>26 , 0.160 , 2.50</t>
  </si>
  <si>
    <t>Sky Blue</t>
  </si>
  <si>
    <t>SPL-A40
63130-2 … B</t>
  </si>
  <si>
    <t>Splice- 10
485043-1 …... A</t>
  </si>
  <si>
    <t>Splice-10
485043-1 ….. A</t>
  </si>
  <si>
    <t>Splice-10
485043-1 …....B</t>
  </si>
  <si>
    <t>350851-1</t>
  </si>
  <si>
    <t xml:space="preserve">17 , 0.160 , 1.60 </t>
  </si>
  <si>
    <t>61795-1</t>
  </si>
  <si>
    <t>SPL-FT-1
63130-2 …A 
( Heater-W11560436)</t>
  </si>
  <si>
    <t>SPL-FT-2
63130-2 …A 
( Heater-W11560436)</t>
  </si>
  <si>
    <t>Heater(W11561252)
63130-2</t>
  </si>
  <si>
    <t>Heater
63130-2(W11561252)</t>
  </si>
  <si>
    <t>UL1015AWG20WHITE(BARE)</t>
  </si>
  <si>
    <t>UL1569AWG22TANBROWN(BARE)</t>
  </si>
  <si>
    <t>SFG00391</t>
  </si>
  <si>
    <t>SFG00965</t>
  </si>
  <si>
    <t>UL1015AWG20Red/White(BARE)</t>
  </si>
  <si>
    <t>SFG00490</t>
  </si>
  <si>
    <t>SFG00496</t>
  </si>
  <si>
    <t>SFG00503</t>
  </si>
  <si>
    <t>SFG00494</t>
  </si>
  <si>
    <t>SFG00492</t>
  </si>
  <si>
    <t>SFG00441</t>
  </si>
  <si>
    <t>SFG00956</t>
  </si>
  <si>
    <t>SFG00505</t>
  </si>
  <si>
    <t>SFG00495</t>
  </si>
  <si>
    <t>SFG00953</t>
  </si>
  <si>
    <t>SAP CODE</t>
  </si>
  <si>
    <t>SAP DESCRIPTION</t>
  </si>
  <si>
    <t>UL1569AWG22BLACK(BARE)</t>
  </si>
  <si>
    <t>UL1569AWG22GREEN(BARE)</t>
  </si>
  <si>
    <t>UL1569AWG22BLUE(BARE)</t>
  </si>
  <si>
    <t>UL1569AWG22YELLOW(BARE)</t>
  </si>
  <si>
    <t>UL1569AWG22BROWN(BARE)</t>
  </si>
  <si>
    <t>UL1015AWG16GREEN/YELLOW(BARE)</t>
  </si>
  <si>
    <t>UL1569AWG22SKYBLUE(BARE)</t>
  </si>
  <si>
    <t>UL1569AWG22PINK(BARE)</t>
  </si>
  <si>
    <t>UL1569AWG22WHITE(BARE)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</si>
</sst>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/>
    <xf numFmtId="0" fontId="1" fillId="0" borderId="0"/>
    <xf numFmtId="0" fontId="5" fillId="0" borderId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2" fontId="8" fillId="3" borderId="2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2" fontId="2" fillId="4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0" borderId="2" xfId="0" applyBorder="1"/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Percent 2" xfId="4" xr:uid="{00000000-0005-0000-0000-000004000000}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"/>
  <sheetViews>
    <sheetView tabSelected="1" workbookViewId="0"/>
  </sheetViews>
  <sheetFormatPr defaultRowHeight="14.4" x14ac:dyDescent="0.3"/>
  <cols>
    <col min="1" max="1" width="5.44140625" bestFit="1" customWidth="1"/>
    <col min="2" max="2" width="12.77734375" bestFit="1" customWidth="1"/>
    <col min="3" max="3" width="16.109375" bestFit="1" customWidth="1"/>
    <col min="4" max="4" width="15.109375" bestFit="1" customWidth="1"/>
    <col min="5" max="5" width="8.44140625" bestFit="1" customWidth="1"/>
    <col min="6" max="6" width="7.88671875" bestFit="1" customWidth="1"/>
    <col min="7" max="7" width="12.77734375" bestFit="1" customWidth="1"/>
    <col min="8" max="8" width="7.88671875" bestFit="1" customWidth="1"/>
    <col min="9" max="9" width="12.77734375" bestFit="1" customWidth="1"/>
    <col min="10" max="10" width="10.44140625" bestFit="1" customWidth="1"/>
    <col min="11" max="11" width="32.6640625" bestFit="1" customWidth="1"/>
  </cols>
  <sheetData>
    <row r="1" spans="1:11" ht="30" customHeight="1" x14ac:dyDescent="0.3">
      <c r="A1" s="4" t="s">
        <v>0</v>
      </c>
      <c r="B1" s="17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5</v>
      </c>
      <c r="I1" s="5" t="s">
        <v>6</v>
      </c>
      <c r="J1" s="15" t="s">
        <v>58</v>
      </c>
      <c r="K1" s="18" t="s">
        <v>59</v>
      </c>
    </row>
    <row r="2" spans="1:11" ht="30" customHeight="1" x14ac:dyDescent="0.3">
      <c r="A2" s="1">
        <v>1</v>
      </c>
      <c r="B2" s="16" t="s">
        <v>23</v>
      </c>
      <c r="C2" s="6" t="s">
        <v>30</v>
      </c>
      <c r="D2" s="6" t="s">
        <v>24</v>
      </c>
      <c r="E2" s="6">
        <v>1460</v>
      </c>
      <c r="F2" s="8">
        <v>3</v>
      </c>
      <c r="G2" s="6" t="s">
        <v>26</v>
      </c>
      <c r="H2" s="8">
        <v>4.8</v>
      </c>
      <c r="I2" s="9" t="s">
        <v>36</v>
      </c>
      <c r="J2" t="s">
        <v>45</v>
      </c>
      <c r="K2" t="s">
        <v>43</v>
      </c>
    </row>
    <row r="3" spans="1:11" ht="30" customHeight="1" x14ac:dyDescent="0.3">
      <c r="A3" s="1">
        <v>2</v>
      </c>
      <c r="B3" s="16" t="s">
        <v>23</v>
      </c>
      <c r="C3" s="6" t="s">
        <v>30</v>
      </c>
      <c r="D3" s="6" t="s">
        <v>25</v>
      </c>
      <c r="E3" s="6">
        <v>1460</v>
      </c>
      <c r="F3" s="8">
        <v>3</v>
      </c>
      <c r="G3" s="6" t="s">
        <v>26</v>
      </c>
      <c r="H3" s="8">
        <v>4.8</v>
      </c>
      <c r="I3" s="9" t="s">
        <v>36</v>
      </c>
      <c r="J3" t="s">
        <v>46</v>
      </c>
      <c r="K3" t="s">
        <v>47</v>
      </c>
    </row>
    <row r="4" spans="1:11" ht="30" customHeight="1" x14ac:dyDescent="0.3">
      <c r="A4" s="1">
        <v>3</v>
      </c>
      <c r="B4" s="16" t="s">
        <v>13</v>
      </c>
      <c r="C4" s="6" t="s">
        <v>37</v>
      </c>
      <c r="D4" s="6" t="s">
        <v>11</v>
      </c>
      <c r="E4" s="6">
        <v>1035</v>
      </c>
      <c r="F4" s="8">
        <v>2</v>
      </c>
      <c r="G4" s="9" t="s">
        <v>17</v>
      </c>
      <c r="H4" s="8">
        <v>3.5</v>
      </c>
      <c r="I4" s="9" t="s">
        <v>14</v>
      </c>
      <c r="J4" t="s">
        <v>48</v>
      </c>
      <c r="K4" t="s">
        <v>60</v>
      </c>
    </row>
    <row r="5" spans="1:11" ht="30" customHeight="1" x14ac:dyDescent="0.3">
      <c r="A5" s="1">
        <v>4</v>
      </c>
      <c r="B5" s="16" t="s">
        <v>13</v>
      </c>
      <c r="C5" s="6" t="s">
        <v>37</v>
      </c>
      <c r="D5" s="6" t="s">
        <v>10</v>
      </c>
      <c r="E5" s="6">
        <f>390+100</f>
        <v>490</v>
      </c>
      <c r="F5" s="8">
        <v>2</v>
      </c>
      <c r="G5" s="9" t="s">
        <v>17</v>
      </c>
      <c r="H5" s="14">
        <v>7</v>
      </c>
      <c r="I5" s="10" t="s">
        <v>28</v>
      </c>
      <c r="J5" t="s">
        <v>49</v>
      </c>
      <c r="K5" t="s">
        <v>61</v>
      </c>
    </row>
    <row r="6" spans="1:11" ht="30" customHeight="1" x14ac:dyDescent="0.3">
      <c r="A6" s="1">
        <v>5</v>
      </c>
      <c r="B6" s="16" t="s">
        <v>13</v>
      </c>
      <c r="C6" s="6" t="s">
        <v>37</v>
      </c>
      <c r="D6" s="6" t="s">
        <v>10</v>
      </c>
      <c r="E6" s="6">
        <v>560</v>
      </c>
      <c r="F6" s="8">
        <v>3.5</v>
      </c>
      <c r="G6" s="6" t="s">
        <v>14</v>
      </c>
      <c r="H6" s="14">
        <v>7</v>
      </c>
      <c r="I6" s="10" t="s">
        <v>27</v>
      </c>
      <c r="J6" t="s">
        <v>49</v>
      </c>
      <c r="K6" t="s">
        <v>61</v>
      </c>
    </row>
    <row r="7" spans="1:11" ht="30" customHeight="1" x14ac:dyDescent="0.3">
      <c r="A7" s="1">
        <v>6</v>
      </c>
      <c r="B7" s="16" t="s">
        <v>13</v>
      </c>
      <c r="C7" s="6" t="s">
        <v>37</v>
      </c>
      <c r="D7" s="6" t="s">
        <v>10</v>
      </c>
      <c r="E7" s="6">
        <f>285+15+100</f>
        <v>400</v>
      </c>
      <c r="F7" s="8">
        <v>3</v>
      </c>
      <c r="G7" s="9" t="s">
        <v>15</v>
      </c>
      <c r="H7" s="14">
        <v>7</v>
      </c>
      <c r="I7" s="10" t="s">
        <v>28</v>
      </c>
      <c r="J7" t="s">
        <v>49</v>
      </c>
      <c r="K7" t="s">
        <v>61</v>
      </c>
    </row>
    <row r="8" spans="1:11" ht="30" customHeight="1" x14ac:dyDescent="0.3">
      <c r="A8" s="1">
        <v>7</v>
      </c>
      <c r="B8" s="16" t="s">
        <v>13</v>
      </c>
      <c r="C8" s="6" t="s">
        <v>37</v>
      </c>
      <c r="D8" s="6" t="s">
        <v>8</v>
      </c>
      <c r="E8" s="6">
        <v>625</v>
      </c>
      <c r="F8" s="8">
        <v>3.5</v>
      </c>
      <c r="G8" s="6" t="s">
        <v>14</v>
      </c>
      <c r="H8" s="14">
        <v>7</v>
      </c>
      <c r="I8" s="10" t="s">
        <v>29</v>
      </c>
      <c r="J8" t="s">
        <v>50</v>
      </c>
      <c r="K8" t="s">
        <v>62</v>
      </c>
    </row>
    <row r="9" spans="1:11" ht="30" customHeight="1" x14ac:dyDescent="0.3">
      <c r="A9" s="1">
        <v>8</v>
      </c>
      <c r="B9" s="16" t="s">
        <v>13</v>
      </c>
      <c r="C9" s="6" t="s">
        <v>37</v>
      </c>
      <c r="D9" s="6" t="s">
        <v>8</v>
      </c>
      <c r="E9" s="6">
        <f>230+100</f>
        <v>330</v>
      </c>
      <c r="F9" s="8">
        <v>3</v>
      </c>
      <c r="G9" s="9" t="s">
        <v>15</v>
      </c>
      <c r="H9" s="14">
        <v>7</v>
      </c>
      <c r="I9" s="10" t="s">
        <v>32</v>
      </c>
      <c r="J9" t="s">
        <v>50</v>
      </c>
      <c r="K9" t="s">
        <v>62</v>
      </c>
    </row>
    <row r="10" spans="1:11" ht="30" customHeight="1" x14ac:dyDescent="0.3">
      <c r="A10" s="1">
        <v>9</v>
      </c>
      <c r="B10" s="16" t="s">
        <v>13</v>
      </c>
      <c r="C10" s="6" t="s">
        <v>37</v>
      </c>
      <c r="D10" s="6" t="s">
        <v>8</v>
      </c>
      <c r="E10" s="6">
        <v>415</v>
      </c>
      <c r="F10" s="8">
        <v>2</v>
      </c>
      <c r="G10" s="6" t="s">
        <v>17</v>
      </c>
      <c r="H10" s="14">
        <v>7</v>
      </c>
      <c r="I10" s="10" t="s">
        <v>32</v>
      </c>
      <c r="J10" t="s">
        <v>50</v>
      </c>
      <c r="K10" t="s">
        <v>62</v>
      </c>
    </row>
    <row r="11" spans="1:11" ht="30" customHeight="1" x14ac:dyDescent="0.3">
      <c r="A11" s="1">
        <v>10</v>
      </c>
      <c r="B11" s="16" t="s">
        <v>13</v>
      </c>
      <c r="C11" s="6" t="s">
        <v>37</v>
      </c>
      <c r="D11" s="6" t="s">
        <v>16</v>
      </c>
      <c r="E11" s="6">
        <v>185</v>
      </c>
      <c r="F11" s="8">
        <v>3</v>
      </c>
      <c r="G11" s="9" t="s">
        <v>15</v>
      </c>
      <c r="H11" s="8">
        <v>3.5</v>
      </c>
      <c r="I11" s="9" t="s">
        <v>14</v>
      </c>
      <c r="J11" t="s">
        <v>51</v>
      </c>
      <c r="K11" t="s">
        <v>63</v>
      </c>
    </row>
    <row r="12" spans="1:11" ht="30" customHeight="1" x14ac:dyDescent="0.3">
      <c r="A12" s="1">
        <v>11</v>
      </c>
      <c r="B12" s="16" t="s">
        <v>13</v>
      </c>
      <c r="C12" s="6" t="s">
        <v>37</v>
      </c>
      <c r="D12" s="6" t="s">
        <v>9</v>
      </c>
      <c r="E12" s="6">
        <v>185</v>
      </c>
      <c r="F12" s="8">
        <v>3.5</v>
      </c>
      <c r="G12" s="6" t="s">
        <v>14</v>
      </c>
      <c r="H12" s="8">
        <v>3</v>
      </c>
      <c r="I12" s="9" t="s">
        <v>15</v>
      </c>
      <c r="J12" t="s">
        <v>52</v>
      </c>
      <c r="K12" t="s">
        <v>64</v>
      </c>
    </row>
    <row r="13" spans="1:11" ht="30" customHeight="1" x14ac:dyDescent="0.3">
      <c r="A13" s="1">
        <v>12</v>
      </c>
      <c r="B13" s="16" t="s">
        <v>18</v>
      </c>
      <c r="C13" s="6" t="s">
        <v>19</v>
      </c>
      <c r="D13" s="6" t="s">
        <v>12</v>
      </c>
      <c r="E13" s="6">
        <v>480</v>
      </c>
      <c r="F13" s="8">
        <v>3</v>
      </c>
      <c r="G13" s="6" t="s">
        <v>20</v>
      </c>
      <c r="H13" s="14">
        <v>11</v>
      </c>
      <c r="I13" s="10" t="s">
        <v>33</v>
      </c>
      <c r="J13" t="s">
        <v>53</v>
      </c>
      <c r="K13" t="s">
        <v>65</v>
      </c>
    </row>
    <row r="14" spans="1:11" ht="30" customHeight="1" x14ac:dyDescent="0.3">
      <c r="A14" s="1">
        <v>13</v>
      </c>
      <c r="B14" s="16" t="s">
        <v>18</v>
      </c>
      <c r="C14" s="6" t="s">
        <v>19</v>
      </c>
      <c r="D14" s="6" t="s">
        <v>12</v>
      </c>
      <c r="E14" s="6">
        <v>310</v>
      </c>
      <c r="F14" s="8">
        <v>7</v>
      </c>
      <c r="G14" s="6" t="s">
        <v>38</v>
      </c>
      <c r="H14" s="14">
        <v>11</v>
      </c>
      <c r="I14" s="10" t="s">
        <v>34</v>
      </c>
      <c r="J14" t="s">
        <v>53</v>
      </c>
      <c r="K14" t="s">
        <v>65</v>
      </c>
    </row>
    <row r="15" spans="1:11" ht="30" customHeight="1" x14ac:dyDescent="0.3">
      <c r="A15" s="1">
        <v>14</v>
      </c>
      <c r="B15" s="16" t="s">
        <v>18</v>
      </c>
      <c r="C15" s="6" t="s">
        <v>19</v>
      </c>
      <c r="D15" s="6" t="s">
        <v>12</v>
      </c>
      <c r="E15" s="6">
        <f>425+100</f>
        <v>525</v>
      </c>
      <c r="F15" s="8">
        <v>5</v>
      </c>
      <c r="G15" s="6" t="s">
        <v>21</v>
      </c>
      <c r="H15" s="14">
        <v>11</v>
      </c>
      <c r="I15" s="10" t="s">
        <v>35</v>
      </c>
      <c r="J15" t="s">
        <v>53</v>
      </c>
      <c r="K15" t="s">
        <v>65</v>
      </c>
    </row>
    <row r="16" spans="1:11" ht="30" customHeight="1" x14ac:dyDescent="0.3">
      <c r="A16" s="1">
        <v>15</v>
      </c>
      <c r="B16" s="16" t="s">
        <v>13</v>
      </c>
      <c r="C16" s="6" t="s">
        <v>37</v>
      </c>
      <c r="D16" s="6" t="s">
        <v>31</v>
      </c>
      <c r="E16" s="6">
        <f>730+100</f>
        <v>830</v>
      </c>
      <c r="F16" s="8">
        <v>2</v>
      </c>
      <c r="G16" s="9" t="s">
        <v>17</v>
      </c>
      <c r="H16" s="14">
        <v>7</v>
      </c>
      <c r="I16" s="10" t="s">
        <v>39</v>
      </c>
      <c r="J16" t="s">
        <v>54</v>
      </c>
      <c r="K16" t="s">
        <v>66</v>
      </c>
    </row>
    <row r="17" spans="1:11" ht="30" customHeight="1" x14ac:dyDescent="0.3">
      <c r="A17" s="1">
        <v>16</v>
      </c>
      <c r="B17" s="16" t="s">
        <v>13</v>
      </c>
      <c r="C17" s="6" t="s">
        <v>37</v>
      </c>
      <c r="D17" s="6" t="s">
        <v>11</v>
      </c>
      <c r="E17" s="6">
        <f>730+100</f>
        <v>830</v>
      </c>
      <c r="F17" s="8">
        <v>2</v>
      </c>
      <c r="G17" s="9" t="s">
        <v>17</v>
      </c>
      <c r="H17" s="14">
        <v>7</v>
      </c>
      <c r="I17" s="10" t="s">
        <v>40</v>
      </c>
      <c r="J17" t="s">
        <v>48</v>
      </c>
      <c r="K17" t="s">
        <v>60</v>
      </c>
    </row>
    <row r="18" spans="1:11" ht="30" customHeight="1" x14ac:dyDescent="0.3">
      <c r="A18" s="1">
        <v>17</v>
      </c>
      <c r="B18" s="16" t="s">
        <v>13</v>
      </c>
      <c r="C18" s="6" t="s">
        <v>37</v>
      </c>
      <c r="D18" s="7" t="s">
        <v>9</v>
      </c>
      <c r="E18" s="7">
        <v>190</v>
      </c>
      <c r="F18" s="8">
        <v>2</v>
      </c>
      <c r="G18" s="7" t="s">
        <v>17</v>
      </c>
      <c r="H18" s="11">
        <v>3</v>
      </c>
      <c r="I18" s="12" t="s">
        <v>15</v>
      </c>
      <c r="J18" t="s">
        <v>52</v>
      </c>
      <c r="K18" t="s">
        <v>64</v>
      </c>
    </row>
    <row r="19" spans="1:11" ht="30" customHeight="1" x14ac:dyDescent="0.3">
      <c r="A19" s="1">
        <v>18</v>
      </c>
      <c r="B19" s="16" t="s">
        <v>13</v>
      </c>
      <c r="C19" s="6" t="s">
        <v>37</v>
      </c>
      <c r="D19" s="7" t="s">
        <v>7</v>
      </c>
      <c r="E19" s="7">
        <v>190</v>
      </c>
      <c r="F19" s="8">
        <v>2</v>
      </c>
      <c r="G19" s="7" t="s">
        <v>17</v>
      </c>
      <c r="H19" s="11">
        <v>3</v>
      </c>
      <c r="I19" s="12" t="s">
        <v>15</v>
      </c>
      <c r="J19" t="s">
        <v>55</v>
      </c>
      <c r="K19" t="s">
        <v>67</v>
      </c>
    </row>
    <row r="20" spans="1:11" ht="30" customHeight="1" x14ac:dyDescent="0.3">
      <c r="A20" s="1">
        <v>19</v>
      </c>
      <c r="B20" s="16" t="s">
        <v>13</v>
      </c>
      <c r="C20" s="6" t="s">
        <v>37</v>
      </c>
      <c r="D20" s="6" t="s">
        <v>24</v>
      </c>
      <c r="E20" s="6">
        <f>1130+100</f>
        <v>1230</v>
      </c>
      <c r="F20" s="8">
        <v>3.5</v>
      </c>
      <c r="G20" s="6" t="s">
        <v>14</v>
      </c>
      <c r="H20" s="14">
        <v>7</v>
      </c>
      <c r="I20" s="10" t="s">
        <v>41</v>
      </c>
      <c r="J20" t="s">
        <v>56</v>
      </c>
      <c r="K20" t="s">
        <v>68</v>
      </c>
    </row>
    <row r="21" spans="1:11" ht="30" customHeight="1" x14ac:dyDescent="0.3">
      <c r="A21" s="1">
        <v>20</v>
      </c>
      <c r="B21" s="16" t="s">
        <v>13</v>
      </c>
      <c r="C21" s="6" t="s">
        <v>37</v>
      </c>
      <c r="D21" s="6" t="s">
        <v>7</v>
      </c>
      <c r="E21" s="6">
        <f>1130+100</f>
        <v>1230</v>
      </c>
      <c r="F21" s="8">
        <v>3.5</v>
      </c>
      <c r="G21" s="6" t="s">
        <v>14</v>
      </c>
      <c r="H21" s="14">
        <v>7</v>
      </c>
      <c r="I21" s="10" t="s">
        <v>42</v>
      </c>
      <c r="J21" t="s">
        <v>55</v>
      </c>
      <c r="K21" t="s">
        <v>67</v>
      </c>
    </row>
    <row r="22" spans="1:11" ht="30" customHeight="1" x14ac:dyDescent="0.3">
      <c r="A22" s="1">
        <v>21</v>
      </c>
      <c r="B22" s="16" t="s">
        <v>13</v>
      </c>
      <c r="C22" s="6" t="s">
        <v>37</v>
      </c>
      <c r="D22" s="13" t="s">
        <v>22</v>
      </c>
      <c r="E22" s="6">
        <v>220</v>
      </c>
      <c r="F22" s="8">
        <v>2</v>
      </c>
      <c r="G22" s="6" t="s">
        <v>17</v>
      </c>
      <c r="H22" s="8">
        <v>3</v>
      </c>
      <c r="I22" s="9" t="s">
        <v>15</v>
      </c>
      <c r="J22" t="s">
        <v>57</v>
      </c>
      <c r="K22" t="s">
        <v>44</v>
      </c>
    </row>
    <row r="23" spans="1:11" ht="30" customHeight="1" x14ac:dyDescent="0.3">
      <c r="A23" s="1">
        <v>22</v>
      </c>
      <c r="B23" s="16" t="s">
        <v>13</v>
      </c>
      <c r="C23" s="6" t="s">
        <v>37</v>
      </c>
      <c r="D23" s="13" t="s">
        <v>22</v>
      </c>
      <c r="E23" s="6">
        <f>850+100</f>
        <v>950</v>
      </c>
      <c r="F23" s="8">
        <v>3.5</v>
      </c>
      <c r="G23" s="6" t="s">
        <v>14</v>
      </c>
      <c r="H23" s="8">
        <v>3</v>
      </c>
      <c r="I23" s="9" t="s">
        <v>15</v>
      </c>
      <c r="J23" t="s">
        <v>57</v>
      </c>
      <c r="K23" t="s">
        <v>44</v>
      </c>
    </row>
    <row r="24" spans="1:11" ht="30" customHeight="1" x14ac:dyDescent="0.3">
      <c r="A24" s="1">
        <v>23</v>
      </c>
      <c r="B24" s="16" t="s">
        <v>13</v>
      </c>
      <c r="C24" s="6" t="s">
        <v>37</v>
      </c>
      <c r="D24" s="6" t="s">
        <v>16</v>
      </c>
      <c r="E24" s="6">
        <v>220</v>
      </c>
      <c r="F24" s="8">
        <v>2</v>
      </c>
      <c r="G24" s="6" t="s">
        <v>17</v>
      </c>
      <c r="H24" s="8">
        <v>3</v>
      </c>
      <c r="I24" s="9" t="s">
        <v>15</v>
      </c>
      <c r="J24" t="s">
        <v>51</v>
      </c>
      <c r="K2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Vikas Anand</cp:lastModifiedBy>
  <cp:lastPrinted>2025-11-27T09:22:15Z</cp:lastPrinted>
  <dcterms:created xsi:type="dcterms:W3CDTF">2022-06-15T04:51:40Z</dcterms:created>
  <dcterms:modified xsi:type="dcterms:W3CDTF">2025-12-15T16:17:00Z</dcterms:modified>
</cp:coreProperties>
</file>