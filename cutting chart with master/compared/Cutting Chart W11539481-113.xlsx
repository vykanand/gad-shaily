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W11539481(3)" sheetId="7" r:id="rId1"/>
    <sheet name="Sheet1" sheetId="8" r:id="rId2"/>
    <sheet name="W11539481 (Splice)" sheetId="2" r:id="rId3"/>
    <sheet name="W11539481(2)" sheetId="6" r:id="rId4"/>
    <sheet name="W11539481(1)" sheetId="4" r:id="rId5"/>
    <sheet name="W11539481(0)" sheetId="1" r:id="rId6"/>
    <sheet name="REVISION HISTORY" sheetId="5" r:id="rId7"/>
  </sheets>
  <definedNames>
    <definedName name="_xlnm._FilterDatabase" localSheetId="1" hidden="1">Sheet1!$A$6:$Q$119</definedName>
    <definedName name="_xlnm._FilterDatabase" localSheetId="2" hidden="1">'W11539481 (Splice)'!$C$6:$N$94</definedName>
    <definedName name="_xlnm._FilterDatabase" localSheetId="5" hidden="1">'W11539481(0)'!$C$6:$O$121</definedName>
    <definedName name="_xlnm._FilterDatabase" localSheetId="4" hidden="1">'W11539481(1)'!$C$6:$AF$119</definedName>
    <definedName name="_xlnm._FilterDatabase" localSheetId="3" hidden="1">'W11539481(2)'!$C$6:$AF$119</definedName>
    <definedName name="_xlnm._FilterDatabase" localSheetId="0" hidden="1">'W11539481(3)'!$C$6:$AF$119</definedName>
    <definedName name="_xlnm.Print_Area" localSheetId="2">'W11539481 (Splice)'!$C$1:$O$98</definedName>
    <definedName name="_xlnm.Print_Area" localSheetId="5">'W11539481(0)'!$C$1:$O$125</definedName>
    <definedName name="_xlnm.Print_Area" localSheetId="4">'W11539481(1)'!$A$1:$O$124</definedName>
    <definedName name="_xlnm.Print_Area" localSheetId="3">'W11539481(2)'!$A$1:$O$124</definedName>
    <definedName name="_xlnm.Print_Area" localSheetId="0">'W11539481(3)'!$A$1:$O$124</definedName>
    <definedName name="_xlnm.Print_Titles" localSheetId="2">'W11539481 (Splice)'!$C:$N,'W11539481 (Splice)'!$1:$3</definedName>
    <definedName name="_xlnm.Print_Titles" localSheetId="5">'W11539481(0)'!$C:$O,'W11539481(0)'!$1:$6</definedName>
    <definedName name="_xlnm.Print_Titles" localSheetId="4">'W11539481(1)'!$1:$6</definedName>
    <definedName name="_xlnm.Print_Titles" localSheetId="3">'W11539481(2)'!$1:$6</definedName>
    <definedName name="_xlnm.Print_Titles" localSheetId="0">'W11539481(3)'!$1:$6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8" i="8" l="1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7" i="8"/>
  <c r="I119" i="8" l="1"/>
  <c r="I118" i="8"/>
  <c r="I116" i="8"/>
  <c r="I115" i="8"/>
  <c r="I114" i="8"/>
  <c r="I113" i="8"/>
  <c r="I112" i="8"/>
  <c r="I107" i="8"/>
  <c r="I106" i="8"/>
  <c r="I105" i="8"/>
  <c r="I104" i="8"/>
  <c r="I97" i="8"/>
  <c r="I69" i="8"/>
  <c r="I66" i="8"/>
  <c r="I64" i="8"/>
  <c r="I63" i="8"/>
  <c r="I62" i="8"/>
  <c r="I60" i="8"/>
  <c r="I59" i="8"/>
  <c r="I48" i="8"/>
  <c r="I47" i="8"/>
  <c r="I43" i="8"/>
  <c r="I42" i="8"/>
  <c r="I41" i="8"/>
  <c r="I40" i="8"/>
  <c r="I37" i="8"/>
  <c r="I36" i="8"/>
  <c r="I35" i="8"/>
  <c r="I34" i="8"/>
  <c r="I29" i="8"/>
  <c r="I28" i="8"/>
  <c r="I25" i="8"/>
  <c r="I24" i="8"/>
  <c r="I23" i="8"/>
  <c r="I21" i="8"/>
  <c r="I20" i="8"/>
  <c r="I19" i="8"/>
  <c r="I17" i="8"/>
  <c r="I14" i="8"/>
  <c r="I13" i="8"/>
  <c r="I9" i="8"/>
  <c r="I8" i="8"/>
  <c r="K8" i="7" l="1"/>
  <c r="K119" i="7"/>
  <c r="K118" i="7"/>
  <c r="K116" i="7"/>
  <c r="K115" i="7"/>
  <c r="K114" i="7"/>
  <c r="K113" i="7"/>
  <c r="K112" i="7"/>
  <c r="K107" i="7"/>
  <c r="K106" i="7"/>
  <c r="K105" i="7"/>
  <c r="K104" i="7"/>
  <c r="K97" i="7"/>
  <c r="K69" i="7"/>
  <c r="K66" i="7"/>
  <c r="K64" i="7"/>
  <c r="K63" i="7"/>
  <c r="K62" i="7"/>
  <c r="K60" i="7"/>
  <c r="K59" i="7"/>
  <c r="K48" i="7"/>
  <c r="K47" i="7"/>
  <c r="K43" i="7"/>
  <c r="K42" i="7"/>
  <c r="K41" i="7"/>
  <c r="K40" i="7"/>
  <c r="K37" i="7"/>
  <c r="K36" i="7"/>
  <c r="K35" i="7"/>
  <c r="K34" i="7"/>
  <c r="R32" i="7"/>
  <c r="K29" i="7"/>
  <c r="K28" i="7"/>
  <c r="K25" i="7"/>
  <c r="K24" i="7"/>
  <c r="K23" i="7"/>
  <c r="K21" i="7"/>
  <c r="K20" i="7"/>
  <c r="K19" i="7"/>
  <c r="K17" i="7"/>
  <c r="K14" i="7"/>
  <c r="K13" i="7"/>
  <c r="K9" i="7"/>
  <c r="K23" i="6" l="1"/>
  <c r="K97" i="6"/>
  <c r="K119" i="6" l="1"/>
  <c r="K118" i="6"/>
  <c r="K116" i="6"/>
  <c r="K115" i="6"/>
  <c r="K114" i="6"/>
  <c r="K113" i="6"/>
  <c r="K112" i="6"/>
  <c r="K107" i="6"/>
  <c r="K106" i="6"/>
  <c r="K105" i="6"/>
  <c r="K104" i="6"/>
  <c r="K69" i="6"/>
  <c r="K66" i="6"/>
  <c r="K64" i="6"/>
  <c r="K63" i="6"/>
  <c r="K62" i="6"/>
  <c r="K60" i="6"/>
  <c r="K59" i="6"/>
  <c r="K48" i="6"/>
  <c r="K47" i="6"/>
  <c r="K43" i="6"/>
  <c r="K42" i="6"/>
  <c r="K41" i="6"/>
  <c r="K40" i="6"/>
  <c r="K37" i="6"/>
  <c r="K36" i="6"/>
  <c r="K35" i="6"/>
  <c r="K34" i="6"/>
  <c r="R32" i="6"/>
  <c r="K29" i="6"/>
  <c r="K28" i="6"/>
  <c r="K25" i="6"/>
  <c r="K24" i="6"/>
  <c r="K21" i="6"/>
  <c r="K20" i="6"/>
  <c r="K19" i="6"/>
  <c r="K17" i="6"/>
  <c r="K14" i="6"/>
  <c r="K13" i="6"/>
  <c r="K9" i="6"/>
  <c r="K119" i="4" l="1"/>
  <c r="K118" i="4"/>
  <c r="K116" i="4"/>
  <c r="K115" i="4"/>
  <c r="K114" i="4"/>
  <c r="K113" i="4"/>
  <c r="K112" i="4"/>
  <c r="K107" i="4"/>
  <c r="K106" i="4"/>
  <c r="K105" i="4"/>
  <c r="K104" i="4"/>
  <c r="K97" i="4"/>
  <c r="K69" i="4"/>
  <c r="K66" i="4"/>
  <c r="K64" i="4"/>
  <c r="K63" i="4"/>
  <c r="K62" i="4"/>
  <c r="K60" i="4"/>
  <c r="K59" i="4"/>
  <c r="K48" i="4"/>
  <c r="K47" i="4"/>
  <c r="K43" i="4"/>
  <c r="K42" i="4"/>
  <c r="K41" i="4"/>
  <c r="K40" i="4"/>
  <c r="K37" i="4"/>
  <c r="K36" i="4"/>
  <c r="K35" i="4"/>
  <c r="K34" i="4"/>
  <c r="R32" i="4"/>
  <c r="K29" i="4"/>
  <c r="K28" i="4"/>
  <c r="K25" i="4"/>
  <c r="K24" i="4"/>
  <c r="K21" i="4"/>
  <c r="K20" i="4"/>
  <c r="K19" i="4"/>
  <c r="K17" i="4"/>
  <c r="K16" i="4"/>
  <c r="K14" i="4"/>
  <c r="K13" i="4"/>
  <c r="K9" i="4"/>
  <c r="R32" i="1" l="1"/>
  <c r="K119" i="1" l="1"/>
  <c r="K118" i="1"/>
  <c r="K116" i="1"/>
  <c r="K115" i="1"/>
  <c r="K114" i="1"/>
  <c r="K113" i="1"/>
  <c r="K112" i="1"/>
  <c r="K107" i="1"/>
  <c r="K106" i="1"/>
  <c r="K105" i="1"/>
  <c r="K104" i="1"/>
  <c r="K97" i="1"/>
  <c r="K69" i="1"/>
  <c r="K66" i="1"/>
  <c r="K64" i="1"/>
  <c r="K63" i="1"/>
  <c r="K62" i="1"/>
  <c r="K60" i="1"/>
  <c r="K59" i="1"/>
  <c r="K48" i="1"/>
  <c r="K47" i="1"/>
  <c r="K43" i="1"/>
  <c r="K42" i="1"/>
  <c r="K41" i="1"/>
  <c r="K40" i="1"/>
  <c r="K37" i="1"/>
  <c r="K36" i="1"/>
  <c r="K35" i="1"/>
  <c r="K34" i="1"/>
  <c r="K29" i="1"/>
  <c r="K28" i="1"/>
  <c r="K25" i="1"/>
  <c r="K24" i="1"/>
  <c r="K21" i="1"/>
  <c r="K20" i="1"/>
  <c r="K19" i="1"/>
  <c r="K17" i="1"/>
  <c r="K16" i="1"/>
  <c r="K14" i="1"/>
  <c r="K13" i="1"/>
  <c r="K9" i="1"/>
</calcChain>
</file>

<file path=xl/sharedStrings.xml><?xml version="1.0" encoding="utf-8"?>
<sst xmlns="http://schemas.openxmlformats.org/spreadsheetml/2006/main" count="3497" uniqueCount="392">
  <si>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</si>
  <si>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</si>
  <si>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</si>
  <si>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</si>
  <si>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</si>
  <si>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</si>
  <si>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</si>
  <si>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</si>
  <si>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</si>
  <si>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</si>
  <si>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</si>
  <si>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</si>
  <si>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</si>
  <si>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</si>
  <si>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</si>
  <si>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</si>
  <si>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</si>
  <si>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Violet</t>
  </si>
  <si>
    <t>Green</t>
  </si>
  <si>
    <t>Black</t>
  </si>
  <si>
    <t>Prepared By:</t>
  </si>
  <si>
    <t>Checked By:</t>
  </si>
  <si>
    <t>Approved By:</t>
  </si>
  <si>
    <t>Ref</t>
  </si>
  <si>
    <t>UL 1569 # 22</t>
  </si>
  <si>
    <t>43030-0001</t>
  </si>
  <si>
    <t>Yellow</t>
  </si>
  <si>
    <t>Orange</t>
  </si>
  <si>
    <t>Red / White</t>
  </si>
  <si>
    <t>Red</t>
  </si>
  <si>
    <t>Black / Green</t>
  </si>
  <si>
    <t>UL 1015 # 18</t>
  </si>
  <si>
    <t>Black / White</t>
  </si>
  <si>
    <t>White / Black</t>
  </si>
  <si>
    <t>UL 1015 # 20</t>
  </si>
  <si>
    <t>1744144-1</t>
  </si>
  <si>
    <t>1744423-1</t>
  </si>
  <si>
    <t>SPL- Line
485043-1 ---- A</t>
  </si>
  <si>
    <t>SPL-NU
485043-1 --- B</t>
  </si>
  <si>
    <t>2350223-1</t>
  </si>
  <si>
    <t>SPL- WIN
63130-2….B</t>
  </si>
  <si>
    <t>1744201-1</t>
  </si>
  <si>
    <t>SPL-Line
485043-1 ….A</t>
  </si>
  <si>
    <t>Red / Blue</t>
  </si>
  <si>
    <t>35745-0110</t>
  </si>
  <si>
    <t>Red Black</t>
  </si>
  <si>
    <t>Red  / Black</t>
  </si>
  <si>
    <t>917764-1</t>
  </si>
  <si>
    <t>White</t>
  </si>
  <si>
    <t>SPL-NU
63625-1 … B</t>
  </si>
  <si>
    <t>227028-8400</t>
  </si>
  <si>
    <t>SPL-7
63130-2 …A</t>
  </si>
  <si>
    <t>SPL-Line
485043-1 … B</t>
  </si>
  <si>
    <t>SPL CH
63130-2 .. B</t>
  </si>
  <si>
    <t>Green /  Yellow</t>
  </si>
  <si>
    <t>SPL GND1
485043-1… B</t>
  </si>
  <si>
    <t>SPL GND1
485043-1… A</t>
  </si>
  <si>
    <t>Tan</t>
  </si>
  <si>
    <t>White / Blue</t>
  </si>
  <si>
    <t>SPL NU
63625-1 ….A</t>
  </si>
  <si>
    <t>Light Blue</t>
  </si>
  <si>
    <t>177916-1</t>
  </si>
  <si>
    <t>SPL-GDND
63130-2 … B</t>
  </si>
  <si>
    <t>SPL WIN
63130-2 …B</t>
  </si>
  <si>
    <t>Black /  White</t>
  </si>
  <si>
    <t>SPL CH
63130-2 .. A</t>
  </si>
  <si>
    <t>SPL WIN
63130-2 …A</t>
  </si>
  <si>
    <t>SPL-GDND
63130-2 … A</t>
  </si>
  <si>
    <t>Orange / Blue</t>
  </si>
  <si>
    <t>Red / Orenge</t>
  </si>
  <si>
    <t>SPL-7
63130-2 …B</t>
  </si>
  <si>
    <t>Blue /  White</t>
  </si>
  <si>
    <t>Grey</t>
  </si>
  <si>
    <t>227029-8400</t>
  </si>
  <si>
    <t>Yellow  / Black</t>
  </si>
  <si>
    <t>Brown</t>
  </si>
  <si>
    <t>Brown /  White</t>
  </si>
  <si>
    <t>2329911-1</t>
  </si>
  <si>
    <t>Red  /  Black</t>
  </si>
  <si>
    <t>White /  Blue</t>
  </si>
  <si>
    <t>Yellow / Black</t>
  </si>
  <si>
    <t>White / Yellow</t>
  </si>
  <si>
    <t>White / Orange</t>
  </si>
  <si>
    <t>SPL VCC
63130-2 …B</t>
  </si>
  <si>
    <t>SPL VCC
63130-2 …A</t>
  </si>
  <si>
    <t>SPL DUCT2
63130-2 …B</t>
  </si>
  <si>
    <t>SPL DUCT1
63130-2 …A</t>
  </si>
  <si>
    <t>SPL DUCT1
63130-2 …1</t>
  </si>
  <si>
    <t>SPL DUCT2
63130-2 …A</t>
  </si>
  <si>
    <t>172765-5121</t>
  </si>
  <si>
    <t>SPL 100 CH
63130-2 …B</t>
  </si>
  <si>
    <t>SPL WIN
63130-2…A</t>
  </si>
  <si>
    <t>SPL GDND
63130-2…A</t>
  </si>
  <si>
    <t>GREEN-YELLOW</t>
  </si>
  <si>
    <t>BLACK</t>
  </si>
  <si>
    <t>RED/BLACK</t>
  </si>
  <si>
    <t>BROWN</t>
  </si>
  <si>
    <t>RED</t>
  </si>
  <si>
    <t>RED/ORANGE</t>
  </si>
  <si>
    <t>RED/BLUE</t>
  </si>
  <si>
    <t>VOILET</t>
  </si>
  <si>
    <t>ORANGE</t>
  </si>
  <si>
    <t>YELLOW</t>
  </si>
  <si>
    <t>WHITE/BLACK</t>
  </si>
  <si>
    <t>WHITE</t>
  </si>
  <si>
    <t>GREY</t>
  </si>
  <si>
    <t>SKY BLUE</t>
  </si>
  <si>
    <t>39-00-0048</t>
  </si>
  <si>
    <t>W-857</t>
  </si>
  <si>
    <t>W-858</t>
  </si>
  <si>
    <t>W-865</t>
  </si>
  <si>
    <t>W-867</t>
  </si>
  <si>
    <t>W-869</t>
  </si>
  <si>
    <t>W-871</t>
  </si>
  <si>
    <t>W-873</t>
  </si>
  <si>
    <t>W-874</t>
  </si>
  <si>
    <t>W-885</t>
  </si>
  <si>
    <t>W-886</t>
  </si>
  <si>
    <t>W-915</t>
  </si>
  <si>
    <t>W-916</t>
  </si>
  <si>
    <t>W-918</t>
  </si>
  <si>
    <t>W-919</t>
  </si>
  <si>
    <t>W-921</t>
  </si>
  <si>
    <t>W-928</t>
  </si>
  <si>
    <t>W-929</t>
  </si>
  <si>
    <t>W-930</t>
  </si>
  <si>
    <t>W-931</t>
  </si>
  <si>
    <t>W-924</t>
  </si>
  <si>
    <t>W-925</t>
  </si>
  <si>
    <t>W-926</t>
  </si>
  <si>
    <t>W-32</t>
  </si>
  <si>
    <t>W-33</t>
  </si>
  <si>
    <t>W-36</t>
  </si>
  <si>
    <t>W-37</t>
  </si>
  <si>
    <t>W-39</t>
  </si>
  <si>
    <t>W-40</t>
  </si>
  <si>
    <t>W-41</t>
  </si>
  <si>
    <t>W-42</t>
  </si>
  <si>
    <t>W-43</t>
  </si>
  <si>
    <t>W-50</t>
  </si>
  <si>
    <t>W-59</t>
  </si>
  <si>
    <t>W-119</t>
  </si>
  <si>
    <t>W-121</t>
  </si>
  <si>
    <t>W-125</t>
  </si>
  <si>
    <t>W-129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</si>
  <si>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</si>
  <si>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</si>
  <si>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</si>
  <si>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</si>
  <si>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</si>
  <si>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</si>
  <si>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</si>
  <si>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</si>
  <si>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</si>
  <si>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</si>
  <si>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</si>
  <si>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W-646</t>
  </si>
  <si>
    <t>W-647</t>
  </si>
  <si>
    <t>W-648</t>
  </si>
  <si>
    <t>W-649</t>
  </si>
  <si>
    <t>W-651</t>
  </si>
  <si>
    <t>W-655</t>
  </si>
  <si>
    <t>W-653</t>
  </si>
  <si>
    <t>W-731</t>
  </si>
  <si>
    <t>W-732</t>
  </si>
  <si>
    <t>W-739</t>
  </si>
  <si>
    <t>W-744</t>
  </si>
  <si>
    <t>W-749</t>
  </si>
  <si>
    <t>W-750</t>
  </si>
  <si>
    <t>W-751</t>
  </si>
  <si>
    <t>W-752</t>
  </si>
  <si>
    <t>W-753</t>
  </si>
  <si>
    <t>W-754</t>
  </si>
  <si>
    <t>W-756</t>
  </si>
  <si>
    <t>W-758</t>
  </si>
  <si>
    <t>W-761</t>
  </si>
  <si>
    <t>W-762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</si>
  <si>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</si>
  <si>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</si>
  <si>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</si>
  <si>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</si>
  <si>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</si>
  <si>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</si>
  <si>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</si>
  <si>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</si>
  <si>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</si>
  <si>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W-778</t>
  </si>
  <si>
    <t>W-779</t>
  </si>
  <si>
    <t>W-787</t>
  </si>
  <si>
    <t>W-788</t>
  </si>
  <si>
    <t>W-789</t>
  </si>
  <si>
    <t>W-790</t>
  </si>
  <si>
    <t>W-797</t>
  </si>
  <si>
    <t>W-798</t>
  </si>
  <si>
    <t>W-799</t>
  </si>
  <si>
    <t>W-800</t>
  </si>
  <si>
    <t>W-801</t>
  </si>
  <si>
    <t>W-802</t>
  </si>
  <si>
    <t>W-803</t>
  </si>
  <si>
    <t>W-804</t>
  </si>
  <si>
    <t>W-805</t>
  </si>
  <si>
    <t>W-806</t>
  </si>
  <si>
    <t>W-807</t>
  </si>
  <si>
    <t>W-808</t>
  </si>
  <si>
    <t>W-809</t>
  </si>
  <si>
    <t>W-810</t>
  </si>
  <si>
    <t>W-811</t>
  </si>
  <si>
    <t>W-812</t>
  </si>
  <si>
    <t>W-813</t>
  </si>
  <si>
    <t>W-822</t>
  </si>
  <si>
    <t>W-823</t>
  </si>
  <si>
    <t>W-824</t>
  </si>
  <si>
    <t>W-825</t>
  </si>
  <si>
    <t>W-828</t>
  </si>
  <si>
    <t>W-829</t>
  </si>
  <si>
    <t>W-842</t>
  </si>
  <si>
    <t>W-844</t>
  </si>
  <si>
    <t>W-846</t>
  </si>
  <si>
    <t>W11539481</t>
  </si>
  <si>
    <t>W-775</t>
  </si>
  <si>
    <t>SPL- Line
485043-1----B</t>
  </si>
  <si>
    <t>SPL- DUCT-1
63130-2 -- B</t>
  </si>
  <si>
    <t>SPL- DUCT-2
63130-2  --- A</t>
  </si>
  <si>
    <t>SPL-7
63130-2------A</t>
  </si>
  <si>
    <t>SPL-GDND
63130-2-----B</t>
  </si>
  <si>
    <t>SPL-100 CH
63031-2----A</t>
  </si>
  <si>
    <t xml:space="preserve">SPL_GND_1 
  485043-1----A </t>
  </si>
  <si>
    <t xml:space="preserve">SPL_100_CH   
63130-2----B 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</si>
  <si>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</si>
  <si>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</si>
  <si>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</si>
  <si>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</si>
  <si>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</si>
  <si>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</si>
  <si>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41*0.160*2.80</t>
  </si>
  <si>
    <t>26*0.160*2.50</t>
  </si>
  <si>
    <t>Sr. No.</t>
  </si>
  <si>
    <t>W-48</t>
  </si>
  <si>
    <t>43031-0001</t>
  </si>
  <si>
    <t>W-851</t>
  </si>
  <si>
    <t xml:space="preserve">JOINT DIAGRAM </t>
  </si>
  <si>
    <t>WCC/WHP/115</t>
  </si>
  <si>
    <t xml:space="preserve">17 , 0.160 , 1.60 </t>
  </si>
  <si>
    <t>07.05.2025</t>
  </si>
  <si>
    <t>SPL DD1 (Heater W11561253)
63130-2..A</t>
  </si>
  <si>
    <t>SPL DD2 (Heater W11561253)
63130-2..A</t>
  </si>
  <si>
    <t>1862006-5</t>
  </si>
  <si>
    <t>Wire No</t>
  </si>
  <si>
    <t>Rev No</t>
  </si>
  <si>
    <t xml:space="preserve">Rev details </t>
  </si>
  <si>
    <t>Date</t>
  </si>
  <si>
    <t>Name</t>
  </si>
  <si>
    <t>REVISION HISTORY</t>
  </si>
  <si>
    <t>F</t>
  </si>
  <si>
    <t>Terminal Part No</t>
  </si>
  <si>
    <t>485043-1</t>
  </si>
  <si>
    <t>Before</t>
  </si>
  <si>
    <t>After</t>
  </si>
  <si>
    <t>Rajesh</t>
  </si>
  <si>
    <t>W-39,40,43,280,393,651,749,750,751,752,753,754,772,811,812,813,822,823,824,825,842,844,846,921</t>
  </si>
  <si>
    <t>63130-2</t>
  </si>
  <si>
    <t>63625-1</t>
  </si>
  <si>
    <t>Stripping Reduse</t>
  </si>
  <si>
    <t>W-33,410,731,732,739</t>
  </si>
  <si>
    <t>W-32,37,59,443,457,458,857</t>
  </si>
  <si>
    <t>SPL NU
63625-1 ….B</t>
  </si>
  <si>
    <t>SPL-100 CH
63130-2----A</t>
  </si>
  <si>
    <t>W-924,925,926,289,290,</t>
  </si>
  <si>
    <t>W-851,W-132,W-48</t>
  </si>
  <si>
    <t>Length Increase 10 mm</t>
  </si>
  <si>
    <t xml:space="preserve">W-33 </t>
  </si>
  <si>
    <t>15mm length Reduse</t>
  </si>
  <si>
    <t>Naresh</t>
  </si>
  <si>
    <t>1200 MM</t>
  </si>
  <si>
    <t>1185 MM</t>
  </si>
  <si>
    <t>Rev-No</t>
  </si>
  <si>
    <t>GAD/CC/014</t>
  </si>
  <si>
    <t>WCC/WHP/001</t>
  </si>
  <si>
    <t>DESCRIPTION</t>
  </si>
  <si>
    <t>UL1569AWG22VOILET(BARE)</t>
  </si>
  <si>
    <t>UL1569AWG22RED/BLACK(BARE)</t>
  </si>
  <si>
    <t>UL1569AWG22TANBROWN(BARE)</t>
  </si>
  <si>
    <t>UL1569AWG22RED/ORANGE(BARE)</t>
  </si>
  <si>
    <t>UL1015AWG18GREEN/YELLOW(BARE)</t>
  </si>
  <si>
    <t>SFG00966</t>
  </si>
  <si>
    <t>UL1015AWG18Black/White(BARE)</t>
  </si>
  <si>
    <t>SFG00960</t>
  </si>
  <si>
    <t>UL1015AWG18White/Black(BARE)</t>
  </si>
  <si>
    <t>SFG00401</t>
  </si>
  <si>
    <t>UL1015AWG20Red(BARE)</t>
  </si>
  <si>
    <t>SFG00505</t>
  </si>
  <si>
    <t>UL1569AWG22Pink(BARE)</t>
  </si>
  <si>
    <t>SFG00502</t>
  </si>
  <si>
    <t>UL1569AWG22White/Black(BARE)</t>
  </si>
  <si>
    <t>SFG00497</t>
  </si>
  <si>
    <t>SFG00378</t>
  </si>
  <si>
    <t>UL1015AWG20Blue(BARE)</t>
  </si>
  <si>
    <t>SFG00493</t>
  </si>
  <si>
    <t>UL1569AWG22Orange(BARE)</t>
  </si>
  <si>
    <t>SFG00494</t>
  </si>
  <si>
    <t>UL1569AWG22Yellow(BARE)</t>
  </si>
  <si>
    <t>SFG00499</t>
  </si>
  <si>
    <t>UL1569AWG22Red(BARE)</t>
  </si>
  <si>
    <t>SFG00965</t>
  </si>
  <si>
    <t>UL1015AWG20Red/White(BARE)</t>
  </si>
  <si>
    <t>SFG00957</t>
  </si>
  <si>
    <t>UL1569AWG22Red/Blue(BARE)</t>
  </si>
  <si>
    <t>SFG00424</t>
  </si>
  <si>
    <t>UL1015AWG18Black(BARE)</t>
  </si>
  <si>
    <t>SFG00952</t>
  </si>
  <si>
    <t>SFG00964</t>
  </si>
  <si>
    <t>UL1569AWG22Black/Green(BARE)</t>
  </si>
  <si>
    <t>UL1569AWG22Red/Black(BARE)</t>
  </si>
  <si>
    <t>SFG00377</t>
  </si>
  <si>
    <t>UL1015AWG20Green(BARE)</t>
  </si>
  <si>
    <t>SFG00412</t>
  </si>
  <si>
    <t>UL1015AWG18White(BARE)</t>
  </si>
  <si>
    <t>SFG00389</t>
  </si>
  <si>
    <t>UL1015AWG20Black(BARE)</t>
  </si>
  <si>
    <t>SFG00433</t>
  </si>
  <si>
    <t>UL1015AWG18Green/Yellow(BARE)</t>
  </si>
  <si>
    <t>SFG00503</t>
  </si>
  <si>
    <t>UL1569AWG22Blue(BARE)</t>
  </si>
  <si>
    <t>SFG00953</t>
  </si>
  <si>
    <t>SFG00495</t>
  </si>
  <si>
    <t>UL1569AWG22White(BARE)</t>
  </si>
  <si>
    <t>SFG00391</t>
  </si>
  <si>
    <t>UL1015AWG20White(BARE)</t>
  </si>
  <si>
    <t>SFG00967</t>
  </si>
  <si>
    <t>UL1015AWG18White/Blue(BARE)</t>
  </si>
  <si>
    <t>SFG00959</t>
  </si>
  <si>
    <t>UL1569AWG22LightBlue(BARE)</t>
  </si>
  <si>
    <t>SFG00496</t>
  </si>
  <si>
    <t>UL1569AWG22Green(BARE)</t>
  </si>
  <si>
    <t>SFG00490</t>
  </si>
  <si>
    <t>UL1569AWG22Black(BARE)</t>
  </si>
  <si>
    <t>SFG00968</t>
  </si>
  <si>
    <t>UL1015AWG20Black/White(BARE)</t>
  </si>
  <si>
    <t>SFG00969</t>
  </si>
  <si>
    <t>UL1569AWG22Orange/Blue(BARE)</t>
  </si>
  <si>
    <t>SFG00958</t>
  </si>
  <si>
    <t>SFG00834</t>
  </si>
  <si>
    <t>UL1569AWG22Blue/White(BARE)</t>
  </si>
  <si>
    <t>SFG00491</t>
  </si>
  <si>
    <t>UL1569AWG22Grey(BARE)</t>
  </si>
  <si>
    <t>SFG00970</t>
  </si>
  <si>
    <t>UL1569AWG22Yellow/Black(BARE)</t>
  </si>
  <si>
    <t>SFG00492</t>
  </si>
  <si>
    <t>UL1569AWG22Brown(BARE)</t>
  </si>
  <si>
    <t>SFG00971</t>
  </si>
  <si>
    <t>UL1569AWG22Brown/White(BARE)</t>
  </si>
  <si>
    <t>SFG00972</t>
  </si>
  <si>
    <t>UL1569AWG22White/Blue(BARE)</t>
  </si>
  <si>
    <t>SFG00518</t>
  </si>
  <si>
    <t>UL1569AWG22White/Yellow(BARE)</t>
  </si>
  <si>
    <t>SFG00500</t>
  </si>
  <si>
    <t>UL1569AWG22White/Orange(BARE)</t>
  </si>
  <si>
    <t>UL1569AWG22BLACK(BARE)</t>
  </si>
  <si>
    <t>UL1569AWG22BROWN(BARE)</t>
  </si>
  <si>
    <t>UL1569AWG22RED(BARE)</t>
  </si>
  <si>
    <t>UL1569AWG22RED/BLUE(BARE)</t>
  </si>
  <si>
    <t>UL1569AWG22ORANGE(BARE)</t>
  </si>
  <si>
    <t>UL1569AWG22YELLOW(BARE)</t>
  </si>
  <si>
    <t>UL1569AWG22WHITE/BLACK(BARE)</t>
  </si>
  <si>
    <t>UL1569AWG22WHITE(BARE)</t>
  </si>
  <si>
    <t>UL1569AWG22GREY(BARE)</t>
  </si>
  <si>
    <t>SFG00956</t>
  </si>
  <si>
    <t>UL1569AWG22SKYBLUE(BARE)</t>
  </si>
  <si>
    <t>SAP CODE</t>
  </si>
  <si>
    <t>SAP DESCRIPTION</t>
  </si>
  <si>
    <t>UL1015AWG18BLACK/WHITE(BARE)</t>
  </si>
  <si>
    <t>UL1015AWG20RED(BARE)</t>
  </si>
  <si>
    <t>UL1569AWG22PINK(BARE)</t>
  </si>
  <si>
    <t>UL1569AWG22VIOLET(BARE)</t>
  </si>
  <si>
    <t>UL1015AWG20BLUE(BARE)</t>
  </si>
  <si>
    <t>UL1015AWG18BLACK(BARE)</t>
  </si>
  <si>
    <t>UL1569AWG22BLACK/GREEN(BARE)</t>
  </si>
  <si>
    <t>UL1015AWG20GREEN(BARE)</t>
  </si>
  <si>
    <t>UL1015AWG18WHITE(BARE)</t>
  </si>
  <si>
    <t>UL1015AWG20BLACK(BARE)</t>
  </si>
  <si>
    <t>UL1569AWG22BLUE(BARE)</t>
  </si>
  <si>
    <t>UL1015AWG20WHITE(BARE)</t>
  </si>
  <si>
    <t>UL1015AWG18WHITE/BLUE(BARE)</t>
  </si>
  <si>
    <t>UL1569AWG22GREEN(BARE)</t>
  </si>
  <si>
    <t>UL1015AWG20BLACK/WHITE(BARE)</t>
  </si>
  <si>
    <t>UL1569AWG22ORANGE/BLUE(BARE)</t>
  </si>
  <si>
    <t>UL1569AWG22BLUE/WHITE(BARE)</t>
  </si>
  <si>
    <t>UL1569AWG22YELLOW/BLACK(BARE)</t>
  </si>
  <si>
    <t>UL1569AWG22BROWN/WHITE(BARE)</t>
  </si>
  <si>
    <t>UL1569AWG22WHITE/BLUE(BARE)</t>
  </si>
  <si>
    <t>UL1569AWG22WHITE/YELLOW(BARE)</t>
  </si>
  <si>
    <t>UL1569AWG22WHITE/ORANGE(BARE)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</si>
</sst>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137">
    <xf numFmtId="0" fontId="0" fillId="0" borderId="0" xfId="0"/>
    <xf numFmtId="0" fontId="7" fillId="0" borderId="19" xfId="0" applyFont="1" applyBorder="1"/>
    <xf numFmtId="0" fontId="7" fillId="0" borderId="0" xfId="0" applyFont="1"/>
    <xf numFmtId="0" fontId="7" fillId="0" borderId="20" xfId="0" applyFont="1" applyBorder="1"/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0" xfId="0" applyBorder="1"/>
    <xf numFmtId="0" fontId="14" fillId="0" borderId="0" xfId="0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7" fillId="0" borderId="0" xfId="0" applyFont="1" applyBorder="1"/>
    <xf numFmtId="2" fontId="14" fillId="4" borderId="6" xfId="0" applyNumberFormat="1" applyFont="1" applyFill="1" applyBorder="1" applyAlignment="1">
      <alignment horizontal="center" vertical="center"/>
    </xf>
    <xf numFmtId="2" fontId="14" fillId="5" borderId="6" xfId="0" applyNumberFormat="1" applyFont="1" applyFill="1" applyBorder="1" applyAlignment="1">
      <alignment horizontal="center" vertical="center"/>
    </xf>
    <xf numFmtId="2" fontId="14" fillId="6" borderId="6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3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2" fontId="14" fillId="0" borderId="6" xfId="0" applyNumberFormat="1" applyFont="1" applyFill="1" applyBorder="1" applyAlignment="1">
      <alignment horizontal="center" vertical="center"/>
    </xf>
    <xf numFmtId="2" fontId="13" fillId="0" borderId="6" xfId="0" applyNumberFormat="1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2" fontId="14" fillId="3" borderId="6" xfId="0" applyNumberFormat="1" applyFont="1" applyFill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4" fillId="0" borderId="6" xfId="0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106469</xdr:rowOff>
    </xdr:from>
    <xdr:to>
      <xdr:col>12</xdr:col>
      <xdr:colOff>2171700</xdr:colOff>
      <xdr:row>11</xdr:row>
      <xdr:rowOff>306297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3F42FF3-E124-C030-8E74-85C38D28B077}"/>
            </a:ext>
          </a:extLst>
        </xdr:cNvPr>
        <xdr:cNvGrpSpPr/>
      </xdr:nvGrpSpPr>
      <xdr:grpSpPr>
        <a:xfrm>
          <a:off x="127000" y="2043219"/>
          <a:ext cx="18443575" cy="3136703"/>
          <a:chOff x="483927" y="261630"/>
          <a:chExt cx="10796954" cy="2176750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EC218D82-116E-A90C-5862-3A64EBA02D54}"/>
              </a:ext>
            </a:extLst>
          </xdr:cNvPr>
          <xdr:cNvGrpSpPr/>
        </xdr:nvGrpSpPr>
        <xdr:grpSpPr>
          <a:xfrm>
            <a:off x="483927" y="418090"/>
            <a:ext cx="10796954" cy="2020290"/>
            <a:chOff x="595297" y="468922"/>
            <a:chExt cx="10796954" cy="2309446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F89328F2-D3BC-BFB0-B7DF-6CD6545145DD}"/>
                </a:ext>
              </a:extLst>
            </xdr:cNvPr>
            <xdr:cNvSpPr/>
          </xdr:nvSpPr>
          <xdr:spPr>
            <a:xfrm>
              <a:off x="595297" y="468922"/>
              <a:ext cx="10796954" cy="23094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D4535B40-F955-652F-C1FE-6512DF76AC69}"/>
                </a:ext>
              </a:extLst>
            </xdr:cNvPr>
            <xdr:cNvCxnSpPr>
              <a:cxnSpLocks/>
              <a:endCxn id="49" idx="1"/>
            </xdr:cNvCxnSpPr>
          </xdr:nvCxnSpPr>
          <xdr:spPr>
            <a:xfrm>
              <a:off x="1336431" y="1131231"/>
              <a:ext cx="4056184" cy="386888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70CFA860-16CD-9612-B466-155143B1FDC4}"/>
                </a:ext>
              </a:extLst>
            </xdr:cNvPr>
            <xdr:cNvCxnSpPr>
              <a:cxnSpLocks/>
            </xdr:cNvCxnSpPr>
          </xdr:nvCxnSpPr>
          <xdr:spPr>
            <a:xfrm flipV="1">
              <a:off x="5873261" y="703385"/>
              <a:ext cx="4214446" cy="814733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4E2F940F-33B2-BFA6-180D-4B8B44D7DD5B}"/>
                </a:ext>
              </a:extLst>
            </xdr:cNvPr>
            <xdr:cNvCxnSpPr>
              <a:cxnSpLocks/>
            </xdr:cNvCxnSpPr>
          </xdr:nvCxnSpPr>
          <xdr:spPr>
            <a:xfrm>
              <a:off x="5873261" y="1559158"/>
              <a:ext cx="4325816" cy="603717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C9198CA0-13BC-DA37-2BC0-546E661A9B47}"/>
                </a:ext>
              </a:extLst>
            </xdr:cNvPr>
            <xdr:cNvSpPr/>
          </xdr:nvSpPr>
          <xdr:spPr>
            <a:xfrm>
              <a:off x="5058507" y="1768740"/>
              <a:ext cx="1148862" cy="27841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485043-1</a:t>
              </a:r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146A1-53AC-ABAB-9DFC-8CEC326BBB7C}"/>
                </a:ext>
              </a:extLst>
            </xdr:cNvPr>
            <xdr:cNvSpPr/>
          </xdr:nvSpPr>
          <xdr:spPr>
            <a:xfrm>
              <a:off x="1975339" y="908125"/>
              <a:ext cx="1310053" cy="28789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 -32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4C64AC18-EFA0-9A2A-0E2F-8BEBC0562709}"/>
                </a:ext>
              </a:extLst>
            </xdr:cNvPr>
            <xdr:cNvSpPr/>
          </xdr:nvSpPr>
          <xdr:spPr>
            <a:xfrm rot="21123870">
              <a:off x="1677667" y="1594766"/>
              <a:ext cx="1148862" cy="3579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NO-59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93BABF65-422A-0EF0-1D42-2F41618F0531}"/>
                </a:ext>
              </a:extLst>
            </xdr:cNvPr>
            <xdr:cNvSpPr/>
          </xdr:nvSpPr>
          <xdr:spPr>
            <a:xfrm>
              <a:off x="5044238" y="628930"/>
              <a:ext cx="1431415" cy="3294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400" b="1">
                  <a:solidFill>
                    <a:sysClr val="windowText" lastClr="000000"/>
                  </a:solidFill>
                </a:rPr>
                <a:t>SPL LINE  </a:t>
              </a: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34688415-D6B7-07F4-6699-D41AF8B63EE9}"/>
                </a:ext>
              </a:extLst>
            </xdr:cNvPr>
            <xdr:cNvSpPr/>
          </xdr:nvSpPr>
          <xdr:spPr>
            <a:xfrm>
              <a:off x="5392615" y="1348142"/>
              <a:ext cx="480646" cy="339952"/>
            </a:xfrm>
            <a:prstGeom prst="rect">
              <a:avLst/>
            </a:prstGeom>
            <a:no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</xdr:grp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002A935-FC8B-9940-6378-5951AA5F5A82}"/>
              </a:ext>
            </a:extLst>
          </xdr:cNvPr>
          <xdr:cNvCxnSpPr>
            <a:cxnSpLocks/>
          </xdr:cNvCxnSpPr>
        </xdr:nvCxnSpPr>
        <xdr:spPr>
          <a:xfrm flipV="1">
            <a:off x="1225061" y="1382813"/>
            <a:ext cx="4056184" cy="51338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A98E9D68-3D24-E259-1D36-5242153BBDBF}"/>
              </a:ext>
            </a:extLst>
          </xdr:cNvPr>
          <xdr:cNvSpPr/>
        </xdr:nvSpPr>
        <xdr:spPr>
          <a:xfrm rot="21062956">
            <a:off x="8055229" y="567462"/>
            <a:ext cx="1310053" cy="2279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-37</a:t>
            </a: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6DE4FB1-B42C-BC65-5610-BE2FF58C7017}"/>
              </a:ext>
            </a:extLst>
          </xdr:cNvPr>
          <xdr:cNvSpPr/>
        </xdr:nvSpPr>
        <xdr:spPr>
          <a:xfrm rot="399476">
            <a:off x="8192819" y="1430971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-443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3224243-C818-4B79-C9B1-1E854CCF390A}"/>
              </a:ext>
            </a:extLst>
          </xdr:cNvPr>
          <xdr:cNvSpPr/>
        </xdr:nvSpPr>
        <xdr:spPr>
          <a:xfrm>
            <a:off x="1944563" y="463160"/>
            <a:ext cx="1819897" cy="33826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T-1802006-5 L-980</a:t>
            </a:r>
            <a:r>
              <a:rPr lang="en-IN" sz="1800" b="1" baseline="0">
                <a:solidFill>
                  <a:sysClr val="windowText" lastClr="000000"/>
                </a:solidFill>
              </a:rPr>
              <a:t> 1015#18</a:t>
            </a:r>
            <a:endParaRPr lang="en-IN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D2842F3-15FD-F57D-97A5-B6EAF1571D24}"/>
              </a:ext>
            </a:extLst>
          </xdr:cNvPr>
          <xdr:cNvSpPr/>
        </xdr:nvSpPr>
        <xdr:spPr>
          <a:xfrm rot="21218977">
            <a:off x="1683802" y="1769207"/>
            <a:ext cx="2157182" cy="3743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T-1744201-1 </a:t>
            </a:r>
            <a:r>
              <a:rPr lang="en-IN" sz="2000" b="0">
                <a:solidFill>
                  <a:sysClr val="windowText" lastClr="000000"/>
                </a:solidFill>
              </a:rPr>
              <a:t>L</a:t>
            </a:r>
            <a:r>
              <a:rPr lang="en-IN" sz="1600" b="1">
                <a:solidFill>
                  <a:sysClr val="windowText" lastClr="000000"/>
                </a:solidFill>
              </a:rPr>
              <a:t>-950   1015#18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E8A999AE-4925-8551-5971-311C11822F01}"/>
              </a:ext>
            </a:extLst>
          </xdr:cNvPr>
          <xdr:cNvSpPr/>
        </xdr:nvSpPr>
        <xdr:spPr>
          <a:xfrm rot="377697">
            <a:off x="7667982" y="1754136"/>
            <a:ext cx="1973518" cy="2730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T-39000040   L-650      1015#18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FEE88C47-2B72-E558-45FE-9A87F438641A}"/>
              </a:ext>
            </a:extLst>
          </xdr:cNvPr>
          <xdr:cNvSpPr/>
        </xdr:nvSpPr>
        <xdr:spPr>
          <a:xfrm rot="21164194">
            <a:off x="7616311" y="261630"/>
            <a:ext cx="2051438" cy="2903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T-39000040  L-650  1015#18</a:t>
            </a:r>
          </a:p>
        </xdr:txBody>
      </xdr:sp>
    </xdr:grpSp>
    <xdr:clientData/>
  </xdr:twoCellAnchor>
  <xdr:twoCellAnchor>
    <xdr:from>
      <xdr:col>3</xdr:col>
      <xdr:colOff>31750</xdr:colOff>
      <xdr:row>12</xdr:row>
      <xdr:rowOff>237667</xdr:rowOff>
    </xdr:from>
    <xdr:to>
      <xdr:col>13</xdr:col>
      <xdr:colOff>79374</xdr:colOff>
      <xdr:row>18</xdr:row>
      <xdr:rowOff>333375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E2257D-4B29-2DF1-D2E0-374AFD032433}"/>
            </a:ext>
          </a:extLst>
        </xdr:cNvPr>
        <xdr:cNvGrpSpPr/>
      </xdr:nvGrpSpPr>
      <xdr:grpSpPr>
        <a:xfrm>
          <a:off x="666750" y="5555792"/>
          <a:ext cx="18097499" cy="2762708"/>
          <a:chOff x="586153" y="291869"/>
          <a:chExt cx="10796954" cy="2384451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3F42FF3-E124-C030-8E74-85C38D28B077}"/>
              </a:ext>
            </a:extLst>
          </xdr:cNvPr>
          <xdr:cNvGrpSpPr/>
        </xdr:nvGrpSpPr>
        <xdr:grpSpPr>
          <a:xfrm>
            <a:off x="586153" y="291869"/>
            <a:ext cx="10796954" cy="2146511"/>
            <a:chOff x="586153" y="291869"/>
            <a:chExt cx="10796954" cy="2146511"/>
          </a:xfrm>
        </xdr:grpSpPr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EC218D82-116E-A90C-5862-3A64EBA02D54}"/>
                </a:ext>
              </a:extLst>
            </xdr:cNvPr>
            <xdr:cNvGrpSpPr/>
          </xdr:nvGrpSpPr>
          <xdr:grpSpPr>
            <a:xfrm>
              <a:off x="586153" y="291869"/>
              <a:ext cx="10796954" cy="2146511"/>
              <a:chOff x="697523" y="324636"/>
              <a:chExt cx="10796954" cy="2453732"/>
            </a:xfrm>
          </xdr:grpSpPr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F89328F2-D3BC-BFB0-B7DF-6CD6545145DD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D4535B40-F955-652F-C1FE-6512DF76AC69}"/>
                  </a:ext>
                </a:extLst>
              </xdr:cNvPr>
              <xdr:cNvCxnSpPr>
                <a:cxnSpLocks/>
                <a:endCxn id="23" idx="1"/>
              </xdr:cNvCxnSpPr>
            </xdr:nvCxnSpPr>
            <xdr:spPr>
              <a:xfrm>
                <a:off x="1336431" y="1131231"/>
                <a:ext cx="4056184" cy="386886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70CFA860-16CD-9612-B466-155143B1FDC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03385"/>
                <a:ext cx="4214446" cy="81473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4E2F940F-33B2-BFA6-180D-4B8B44D7DD5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873261" y="1559158"/>
                <a:ext cx="4325816" cy="603717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C9198CA0-13BC-DA37-2BC0-546E661A9B47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63625-1</a:t>
                </a:r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000146A1-53AC-ABAB-9DFC-8CEC326BBB7C}"/>
                  </a:ext>
                </a:extLst>
              </xdr:cNvPr>
              <xdr:cNvSpPr/>
            </xdr:nvSpPr>
            <xdr:spPr>
              <a:xfrm>
                <a:off x="972183" y="544363"/>
                <a:ext cx="1051282" cy="40722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-731</a:t>
                </a:r>
              </a:p>
            </xdr:txBody>
          </xdr:sp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4C64AC18-EFA0-9A2A-0E2F-8BEBC0562709}"/>
                  </a:ext>
                </a:extLst>
              </xdr:cNvPr>
              <xdr:cNvSpPr/>
            </xdr:nvSpPr>
            <xdr:spPr>
              <a:xfrm rot="21424764">
                <a:off x="992782" y="1444669"/>
                <a:ext cx="1304199" cy="35795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400">
                    <a:solidFill>
                      <a:sysClr val="windowText" lastClr="000000"/>
                    </a:solidFill>
                  </a:rPr>
                  <a:t>WIRE NO-732</a:t>
                </a:r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93BABF65-422A-0EF0-1D42-2F41618F0531}"/>
                  </a:ext>
                </a:extLst>
              </xdr:cNvPr>
              <xdr:cNvSpPr/>
            </xdr:nvSpPr>
            <xdr:spPr>
              <a:xfrm>
                <a:off x="4953840" y="324636"/>
                <a:ext cx="1548719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SPL– NU </a:t>
                </a:r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34688415-D6B7-07F4-6699-D41AF8B63EE9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A002A935-FC8B-9940-6378-5951AA5F5A82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2813"/>
              <a:ext cx="4056184" cy="250496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A98E9D68-3D24-E259-1D36-5242153BBDBF}"/>
                </a:ext>
              </a:extLst>
            </xdr:cNvPr>
            <xdr:cNvSpPr/>
          </xdr:nvSpPr>
          <xdr:spPr>
            <a:xfrm rot="21062956">
              <a:off x="8045790" y="484463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-33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26DE4FB1-B42C-BC65-5610-BE2FF58C7017}"/>
                </a:ext>
              </a:extLst>
            </xdr:cNvPr>
            <xdr:cNvSpPr/>
          </xdr:nvSpPr>
          <xdr:spPr>
            <a:xfrm rot="399476">
              <a:off x="8192819" y="1430971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-410</a:t>
              </a: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8A999AE-4925-8551-5971-311C11822F01}"/>
                </a:ext>
              </a:extLst>
            </xdr:cNvPr>
            <xdr:cNvSpPr/>
          </xdr:nvSpPr>
          <xdr:spPr>
            <a:xfrm rot="377697">
              <a:off x="7127658" y="1683084"/>
              <a:ext cx="2194898" cy="34627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T-39000040    L-900 1015#20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FEE88C47-2B72-E558-45FE-9A87F438641A}"/>
                </a:ext>
              </a:extLst>
            </xdr:cNvPr>
            <xdr:cNvSpPr/>
          </xdr:nvSpPr>
          <xdr:spPr>
            <a:xfrm rot="21164194">
              <a:off x="6598127" y="472030"/>
              <a:ext cx="1818764" cy="77655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T-39000040   L- 1200  1015#18</a:t>
              </a:r>
            </a:p>
          </xdr:txBody>
        </xdr: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8C157ED3-736E-9888-6A3A-52DEEB31BA7D}"/>
              </a:ext>
            </a:extLst>
          </xdr:cNvPr>
          <xdr:cNvCxnSpPr>
            <a:cxnSpLocks/>
          </xdr:cNvCxnSpPr>
        </xdr:nvCxnSpPr>
        <xdr:spPr>
          <a:xfrm flipV="1">
            <a:off x="1225061" y="1428235"/>
            <a:ext cx="4056184" cy="1248085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E2E74E0-4254-7B02-52CD-9518D2595199}"/>
              </a:ext>
            </a:extLst>
          </xdr:cNvPr>
          <xdr:cNvSpPr/>
        </xdr:nvSpPr>
        <xdr:spPr>
          <a:xfrm rot="20631224">
            <a:off x="1186371" y="217495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NO-739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03C4D90-F3EE-B1D1-503F-E833B1DCA9F8}"/>
              </a:ext>
            </a:extLst>
          </xdr:cNvPr>
          <xdr:cNvSpPr/>
        </xdr:nvSpPr>
        <xdr:spPr>
          <a:xfrm rot="372077">
            <a:off x="1589438" y="636974"/>
            <a:ext cx="2563540" cy="4830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T-39000040   L-430  11015#18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78B09CB-56AB-1047-D84F-F188A9F84DCB}"/>
              </a:ext>
            </a:extLst>
          </xdr:cNvPr>
          <xdr:cNvSpPr/>
        </xdr:nvSpPr>
        <xdr:spPr>
          <a:xfrm rot="21410395">
            <a:off x="1904224" y="1228431"/>
            <a:ext cx="1808824" cy="413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T-39000040   L-430</a:t>
            </a:r>
            <a:r>
              <a:rPr lang="en-IN" sz="1600" baseline="0">
                <a:solidFill>
                  <a:sysClr val="windowText" lastClr="000000"/>
                </a:solidFill>
              </a:rPr>
              <a:t>  1015#18 </a:t>
            </a:r>
            <a:endParaRPr lang="en-IN" sz="16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9CFB2DD9-565B-792F-665D-CEDF01D8E0B4}"/>
              </a:ext>
            </a:extLst>
          </xdr:cNvPr>
          <xdr:cNvSpPr/>
        </xdr:nvSpPr>
        <xdr:spPr>
          <a:xfrm rot="20858566">
            <a:off x="2101040" y="1611388"/>
            <a:ext cx="1966157" cy="5349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T-39000040  L-1520  1015#20</a:t>
            </a:r>
          </a:p>
        </xdr:txBody>
      </xdr:sp>
    </xdr:grpSp>
    <xdr:clientData/>
  </xdr:twoCellAnchor>
  <xdr:twoCellAnchor>
    <xdr:from>
      <xdr:col>2</xdr:col>
      <xdr:colOff>285751</xdr:colOff>
      <xdr:row>20</xdr:row>
      <xdr:rowOff>269875</xdr:rowOff>
    </xdr:from>
    <xdr:to>
      <xdr:col>13</xdr:col>
      <xdr:colOff>76201</xdr:colOff>
      <xdr:row>25</xdr:row>
      <xdr:rowOff>301625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412751" y="9144000"/>
          <a:ext cx="18348325" cy="2254250"/>
          <a:chOff x="586153" y="396895"/>
          <a:chExt cx="10796954" cy="2041485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29" name="Group 28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51" name="Rectangle 50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52" name="Straight Connector 51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58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59158"/>
                  <a:ext cx="4554417" cy="920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4" name="Rectangle 53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55" name="Rectangle 54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248675" y="868483"/>
                  <a:ext cx="980861" cy="2664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-823</a:t>
                  </a:r>
                </a:p>
              </xdr:txBody>
            </xdr:sp>
            <xdr:sp macro="" textlink="">
              <xdr:nvSpPr>
                <xdr:cNvPr id="56" name="Rectangle 55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NO-824</a:t>
                  </a:r>
                </a:p>
              </xdr:txBody>
            </xdr:sp>
            <xdr:sp macro="" textlink="">
              <xdr:nvSpPr>
                <xdr:cNvPr id="57" name="Rectangle 56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SPL-DUCT-1</a:t>
                  </a:r>
                </a:p>
              </xdr:txBody>
            </xdr:sp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30" name="Straight Connector 29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693615" y="976461"/>
                <a:ext cx="1310053" cy="2518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-39</a:t>
                </a:r>
              </a:p>
            </xdr:txBody>
          </xdr:sp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7774210" y="73291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981105" cy="5089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T-39000048   L-660 1569#22</a:t>
              </a: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2</xdr:col>
      <xdr:colOff>380999</xdr:colOff>
      <xdr:row>27</xdr:row>
      <xdr:rowOff>47625</xdr:rowOff>
    </xdr:from>
    <xdr:to>
      <xdr:col>13</xdr:col>
      <xdr:colOff>460375</xdr:colOff>
      <xdr:row>35</xdr:row>
      <xdr:rowOff>31750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3219188-B8A1-5306-5748-147E535E7ECC}"/>
            </a:ext>
          </a:extLst>
        </xdr:cNvPr>
        <xdr:cNvGrpSpPr/>
      </xdr:nvGrpSpPr>
      <xdr:grpSpPr>
        <a:xfrm>
          <a:off x="507999" y="12033250"/>
          <a:ext cx="18256251" cy="3540125"/>
          <a:chOff x="586153" y="396895"/>
          <a:chExt cx="10796954" cy="2041485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66" name="Group 65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68" name="Group 67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72" name="Rectangle 71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73" name="Straight Connector 72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79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4" name="Straight Connector 73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1014232"/>
                    <a:ext cx="4632091" cy="504723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5" name="Rectangle 74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76" name="Rectangle 75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-753</a:t>
                    </a:r>
                  </a:p>
                </xdr:txBody>
              </xdr:sp>
              <xdr:sp macro="" textlink="">
                <xdr:nvSpPr>
                  <xdr:cNvPr id="77" name="Rectangle 76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 rot="20969726">
                    <a:off x="1166974" y="1897709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NO-844</a:t>
                    </a:r>
                  </a:p>
                </xdr:txBody>
              </xdr:sp>
              <xdr:sp macro="" textlink="">
                <xdr:nvSpPr>
                  <xdr:cNvPr id="78" name="Rectangle 77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SPL-WIN</a:t>
                    </a:r>
                  </a:p>
                </xdr:txBody>
              </xdr:sp>
              <xdr:sp macro="" textlink="">
                <xdr:nvSpPr>
                  <xdr:cNvPr id="79" name="Rectangle 78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69" name="Straight Connector 68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225061" y="1382813"/>
                  <a:ext cx="4056184" cy="792103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0" name="Rectangle 69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731771"/>
                  <a:ext cx="1310053" cy="2518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-43</a:t>
                  </a:r>
                </a:p>
              </xdr:txBody>
            </xdr:sp>
            <xdr:sp macro="" textlink="">
              <xdr:nvSpPr>
                <xdr:cNvPr id="71" name="Rectangle 70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8" y="507122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1744144-1</a:t>
                  </a:r>
                </a:p>
              </xdr:txBody>
            </xdr:sp>
          </xdr:grp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 rot="20875432">
              <a:off x="1035973" y="1496847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63130-2</a:t>
              </a:r>
            </a:p>
          </xdr:txBody>
        </xdr:sp>
      </xdr:grp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356519D1-5F0F-9774-7F01-DB8649E02BE8}"/>
              </a:ext>
            </a:extLst>
          </xdr:cNvPr>
          <xdr:cNvCxnSpPr>
            <a:cxnSpLocks/>
          </xdr:cNvCxnSpPr>
        </xdr:nvCxnSpPr>
        <xdr:spPr>
          <a:xfrm>
            <a:off x="5761891" y="1357848"/>
            <a:ext cx="4632091" cy="6132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C789BFB0-EDF9-32B7-4BB4-23B76B8B664C}"/>
              </a:ext>
            </a:extLst>
          </xdr:cNvPr>
          <xdr:cNvSpPr/>
        </xdr:nvSpPr>
        <xdr:spPr>
          <a:xfrm rot="571333">
            <a:off x="8828347" y="1545061"/>
            <a:ext cx="1383906" cy="2296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-750</a:t>
            </a: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C8416C65-0D75-1427-CC2E-8D1A5E8712D7}"/>
              </a:ext>
            </a:extLst>
          </xdr:cNvPr>
          <xdr:cNvSpPr/>
        </xdr:nvSpPr>
        <xdr:spPr>
          <a:xfrm rot="575016">
            <a:off x="9165252" y="132607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</xdr:grpSp>
    <xdr:clientData/>
  </xdr:twoCellAnchor>
  <xdr:twoCellAnchor>
    <xdr:from>
      <xdr:col>2</xdr:col>
      <xdr:colOff>492125</xdr:colOff>
      <xdr:row>37</xdr:row>
      <xdr:rowOff>333375</xdr:rowOff>
    </xdr:from>
    <xdr:to>
      <xdr:col>13</xdr:col>
      <xdr:colOff>396875</xdr:colOff>
      <xdr:row>44</xdr:row>
      <xdr:rowOff>63500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619125" y="16764000"/>
          <a:ext cx="18138775" cy="2841625"/>
          <a:chOff x="586153" y="396895"/>
          <a:chExt cx="10796954" cy="2041485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89" name="Rectangle 88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90" name="Straight Connector 89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96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1" name="Straight Connector 90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2" name="Rectangle 91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93" name="Rectangle 92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-40</a:t>
                  </a:r>
                </a:p>
              </xdr:txBody>
            </xdr:sp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NO-825</a:t>
                  </a:r>
                </a:p>
              </xdr:txBody>
            </xdr:sp>
            <xdr:sp macro="" textlink="">
              <xdr:nvSpPr>
                <xdr:cNvPr id="95" name="Rectangle 94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SPL-DUCT-2</a:t>
                  </a:r>
                </a:p>
              </xdr:txBody>
            </xdr:sp>
            <xdr:sp macro="" textlink="">
              <xdr:nvSpPr>
                <xdr:cNvPr id="96" name="Rectangle 95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7" name="Rectangle 86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-822</a:t>
                </a:r>
              </a:p>
            </xdr:txBody>
          </xdr:sp>
          <xdr:sp macro="" textlink="">
            <xdr:nvSpPr>
              <xdr:cNvPr id="88" name="Rectangle 87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3</xdr:col>
      <xdr:colOff>63500</xdr:colOff>
      <xdr:row>45</xdr:row>
      <xdr:rowOff>190500</xdr:rowOff>
    </xdr:from>
    <xdr:to>
      <xdr:col>13</xdr:col>
      <xdr:colOff>0</xdr:colOff>
      <xdr:row>52</xdr:row>
      <xdr:rowOff>31750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698500" y="20177125"/>
          <a:ext cx="17986375" cy="2952750"/>
          <a:chOff x="586153" y="396895"/>
          <a:chExt cx="10796954" cy="2041485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06" name="Group 10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11" name="Straight Connector 110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17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2" name="Straight Connector 111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5873261" y="1518956"/>
                    <a:ext cx="4976447" cy="1266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-651</a:t>
                    </a:r>
                  </a:p>
                </xdr:txBody>
              </xdr:sp>
              <xdr:sp macro="" textlink="">
                <xdr:nvSpPr>
                  <xdr:cNvPr id="115" name="Rectangle 114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>
                    <a:off x="1154724" y="1488895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NO-280</a:t>
                    </a:r>
                  </a:p>
                </xdr:txBody>
              </xdr:sp>
              <xdr:sp macro="" textlink="">
                <xdr:nvSpPr>
                  <xdr:cNvPr id="116" name="Rectangle 115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SPL-7</a:t>
                    </a:r>
                  </a:p>
                </xdr:txBody>
              </xdr:sp>
              <xdr:sp macro="" textlink="">
                <xdr:nvSpPr>
                  <xdr:cNvPr id="117" name="Rectangle 116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107" name="Straight Connector 106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  <a:endCxn id="117" idx="1"/>
                </xdr:cNvCxnSpPr>
              </xdr:nvCxnSpPr>
              <xdr:spPr>
                <a:xfrm flipV="1">
                  <a:off x="1043354" y="1335920"/>
                  <a:ext cx="4237891" cy="308765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8" name="Rectangle 107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918751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-772</a:t>
                  </a:r>
                </a:p>
              </xdr:txBody>
            </xdr:sp>
            <xdr:sp macro="" textlink="">
              <xdr:nvSpPr>
                <xdr:cNvPr id="109" name="Rectangle 108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7" y="67143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1744423-1</a:t>
                  </a:r>
                </a:p>
              </xdr:txBody>
            </xdr:sp>
          </xdr:grpSp>
          <xdr:sp macro="" textlink="">
            <xdr:nvSpPr>
              <xdr:cNvPr id="105" name="Rectangle 10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>
              <a:off x="1182485" y="1176479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17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227028-8400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NO-417</a:t>
            </a:r>
          </a:p>
        </xdr:txBody>
      </xdr:sp>
    </xdr:grpSp>
    <xdr:clientData/>
  </xdr:twoCellAnchor>
  <xdr:twoCellAnchor>
    <xdr:from>
      <xdr:col>3</xdr:col>
      <xdr:colOff>285749</xdr:colOff>
      <xdr:row>54</xdr:row>
      <xdr:rowOff>15875</xdr:rowOff>
    </xdr:from>
    <xdr:to>
      <xdr:col>13</xdr:col>
      <xdr:colOff>0</xdr:colOff>
      <xdr:row>60</xdr:row>
      <xdr:rowOff>222250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920749" y="24003000"/>
          <a:ext cx="17764126" cy="2873375"/>
          <a:chOff x="586153" y="396895"/>
          <a:chExt cx="10796954" cy="2041485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23" name="Group 12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25" name="Group 12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28" name="Rectangle 127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29" name="Straight Connector 128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34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0" name="Straight Connector 129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31" name="Rectangle 130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32" name="Rectangle 131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-458</a:t>
                  </a:r>
                </a:p>
              </xdr:txBody>
            </xdr:sp>
            <xdr:sp macro="" textlink="">
              <xdr:nvSpPr>
                <xdr:cNvPr id="133" name="Rectangle 132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SPL-GND-1</a:t>
                  </a:r>
                </a:p>
              </xdr:txBody>
            </xdr:sp>
            <xdr:sp macro="" textlink="">
              <xdr:nvSpPr>
                <xdr:cNvPr id="134" name="Rectangle 133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26" name="Rectangle 125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-457</a:t>
                </a:r>
              </a:p>
            </xdr:txBody>
          </xdr:sp>
          <xdr:sp macro="" textlink="">
            <xdr:nvSpPr>
              <xdr:cNvPr id="127" name="Rectangle 126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39000040</a:t>
                </a:r>
              </a:p>
            </xdr:txBody>
          </xdr:sp>
        </xdr:grpSp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34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35745-0110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NO-857</a:t>
            </a:r>
          </a:p>
        </xdr:txBody>
      </xdr:sp>
    </xdr:grpSp>
    <xdr:clientData/>
  </xdr:twoCellAnchor>
  <xdr:twoCellAnchor>
    <xdr:from>
      <xdr:col>3</xdr:col>
      <xdr:colOff>492126</xdr:colOff>
      <xdr:row>60</xdr:row>
      <xdr:rowOff>238125</xdr:rowOff>
    </xdr:from>
    <xdr:to>
      <xdr:col>13</xdr:col>
      <xdr:colOff>0</xdr:colOff>
      <xdr:row>66</xdr:row>
      <xdr:rowOff>111125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27126" y="26892250"/>
          <a:ext cx="17557749" cy="2540000"/>
          <a:chOff x="586153" y="396895"/>
          <a:chExt cx="10796954" cy="2056776"/>
        </a:xfrm>
      </xdr:grpSpPr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771479AE-C9ED-95A5-07C4-FFE9ECB628F3}"/>
              </a:ext>
            </a:extLst>
          </xdr:cNvPr>
          <xdr:cNvGrpSpPr/>
        </xdr:nvGrpSpPr>
        <xdr:grpSpPr>
          <a:xfrm>
            <a:off x="586153" y="396895"/>
            <a:ext cx="10796954" cy="2056776"/>
            <a:chOff x="586153" y="396895"/>
            <a:chExt cx="10796954" cy="2056776"/>
          </a:xfrm>
        </xdr:grpSpPr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44" name="Group 14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50" name="Straight Connector 149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55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1" name="Straight Connector 150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885535"/>
                    <a:ext cx="5088890" cy="63342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52" name="Rectangle 151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53" name="Rectangle 152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-754</a:t>
                    </a:r>
                  </a:p>
                </xdr:txBody>
              </xdr:sp>
              <xdr:sp macro="" textlink="">
                <xdr:nvSpPr>
                  <xdr:cNvPr id="154" name="Rectangle 153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SPL-GND</a:t>
                    </a:r>
                  </a:p>
                </xdr:txBody>
              </xdr:sp>
              <xdr:sp macro="" textlink="">
                <xdr:nvSpPr>
                  <xdr:cNvPr id="155" name="Rectangle 154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47" name="Rectangle 146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-749</a:t>
                  </a:r>
                </a:p>
              </xdr:txBody>
            </xdr:sp>
            <xdr:sp macro="" textlink="">
              <xdr:nvSpPr>
                <xdr:cNvPr id="148" name="Rectangle 147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144606" y="58118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177916-1</a:t>
                  </a:r>
                </a:p>
              </xdr:txBody>
            </xdr:sp>
          </xdr:grpSp>
          <xdr:sp macro="" textlink="">
            <xdr:nvSpPr>
              <xdr:cNvPr id="145" name="Rectangle 14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25D09F87-E09E-1E49-326A-2170C37703B5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7087"/>
              <a:ext cx="4056184" cy="1066584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Rectangle 142">
              <a:extLst>
                <a:ext uri="{FF2B5EF4-FFF2-40B4-BE49-F238E27FC236}">
                  <a16:creationId xmlns:a16="http://schemas.microsoft.com/office/drawing/2014/main" id="{04209461-4502-E0EA-BB8A-C3EEA8ECE815}"/>
                </a:ext>
              </a:extLst>
            </xdr:cNvPr>
            <xdr:cNvSpPr/>
          </xdr:nvSpPr>
          <xdr:spPr>
            <a:xfrm rot="20441721">
              <a:off x="1200992" y="1912566"/>
              <a:ext cx="1304199" cy="31313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NO-846</a:t>
              </a:r>
            </a:p>
          </xdr:txBody>
        </xdr:sp>
      </xdr:grp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-393</a:t>
            </a: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8AC6E2FA-1365-83BD-105A-1E5C0888D6FA}"/>
              </a:ext>
            </a:extLst>
          </xdr:cNvPr>
          <xdr:cNvSpPr/>
        </xdr:nvSpPr>
        <xdr:spPr>
          <a:xfrm rot="20403099">
            <a:off x="1192979" y="1754447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</xdr:grpSp>
    <xdr:clientData/>
  </xdr:twoCellAnchor>
  <xdr:twoCellAnchor>
    <xdr:from>
      <xdr:col>3</xdr:col>
      <xdr:colOff>539750</xdr:colOff>
      <xdr:row>68</xdr:row>
      <xdr:rowOff>254000</xdr:rowOff>
    </xdr:from>
    <xdr:to>
      <xdr:col>13</xdr:col>
      <xdr:colOff>0</xdr:colOff>
      <xdr:row>74</xdr:row>
      <xdr:rowOff>333375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74750" y="30464125"/>
          <a:ext cx="17510125" cy="2746375"/>
          <a:chOff x="586153" y="396895"/>
          <a:chExt cx="10796954" cy="2041485"/>
        </a:xfrm>
      </xdr:grpSpPr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62" name="Group 161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64" name="Group 163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67" name="Rectangle 166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68" name="Straight Connector 167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73" idx="1"/>
                </xdr:cNvCxnSpPr>
              </xdr:nvCxnSpPr>
              <xdr:spPr>
                <a:xfrm flipV="1">
                  <a:off x="1166447" y="1518118"/>
                  <a:ext cx="4226168" cy="105528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Straight Connector 168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873261" y="849377"/>
                  <a:ext cx="5032493" cy="669579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70" name="Rectangle 169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71" name="Rectangle 170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911584" y="1133378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-756</a:t>
                  </a:r>
                </a:p>
              </xdr:txBody>
            </xdr:sp>
            <xdr:sp macro="" textlink="">
              <xdr:nvSpPr>
                <xdr:cNvPr id="172" name="Rectangle 171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SPL-100 CH</a:t>
                  </a:r>
                </a:p>
              </xdr:txBody>
            </xdr:sp>
            <xdr:sp macro="" textlink="">
              <xdr:nvSpPr>
                <xdr:cNvPr id="173" name="Rectangle 172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65" name="Rectangle 164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939452" y="728864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-842</a:t>
                </a:r>
              </a:p>
            </xdr:txBody>
          </xdr:sp>
          <xdr:sp macro="" textlink="">
            <xdr:nvSpPr>
              <xdr:cNvPr id="166" name="Rectangle 165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144605" y="55791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63" name="Rectangle 162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7" y="75580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1744423-1</a:t>
              </a:r>
            </a:p>
          </xdr:txBody>
        </xdr:sp>
      </xdr:grp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  <xdr:sp macro="" textlink="">
        <xdr:nvSpPr>
          <xdr:cNvPr id="161" name="Rectangle 160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-921</a:t>
            </a:r>
          </a:p>
        </xdr:txBody>
      </xdr:sp>
    </xdr:grpSp>
    <xdr:clientData/>
  </xdr:twoCellAnchor>
  <xdr:twoCellAnchor>
    <xdr:from>
      <xdr:col>3</xdr:col>
      <xdr:colOff>222251</xdr:colOff>
      <xdr:row>75</xdr:row>
      <xdr:rowOff>79375</xdr:rowOff>
    </xdr:from>
    <xdr:to>
      <xdr:col>13</xdr:col>
      <xdr:colOff>269875</xdr:colOff>
      <xdr:row>82</xdr:row>
      <xdr:rowOff>222250</xdr:rowOff>
    </xdr:to>
    <xdr:grpSp>
      <xdr:nvGrpSpPr>
        <xdr:cNvPr id="175" name="Group 174">
          <a:extLst>
            <a:ext uri="{FF2B5EF4-FFF2-40B4-BE49-F238E27FC236}">
              <a16:creationId xmlns:a16="http://schemas.microsoft.com/office/drawing/2014/main" id="{8312F5B0-35DA-BD45-18CE-BE37231F2775}"/>
            </a:ext>
          </a:extLst>
        </xdr:cNvPr>
        <xdr:cNvGrpSpPr/>
      </xdr:nvGrpSpPr>
      <xdr:grpSpPr>
        <a:xfrm>
          <a:off x="857251" y="33401000"/>
          <a:ext cx="17906999" cy="3254375"/>
          <a:chOff x="586153" y="396895"/>
          <a:chExt cx="10796954" cy="2041485"/>
        </a:xfrm>
      </xdr:grpSpPr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047EC5C6-1E11-27AE-BA64-511061DDF240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78" name="Group 177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82" name="Group 181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84" name="Group 183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86" name="Rectangle 185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87" name="Straight Connector 186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92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8" name="Straight Connector 187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97591"/>
                    <a:ext cx="4974442" cy="721365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89" name="Rectangle 188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90" name="Rectangle 189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-752</a:t>
                    </a:r>
                  </a:p>
                </xdr:txBody>
              </xdr:sp>
              <xdr:sp macro="" textlink="">
                <xdr:nvSpPr>
                  <xdr:cNvPr id="191" name="Rectangle 190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SPL-CH</a:t>
                    </a:r>
                  </a:p>
                </xdr:txBody>
              </xdr:sp>
              <xdr:sp macro="" textlink="">
                <xdr:nvSpPr>
                  <xdr:cNvPr id="192" name="Rectangle 191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85" name="Rectangle 184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-445</a:t>
                  </a:r>
                </a:p>
              </xdr:txBody>
            </xdr:sp>
          </xdr:grpSp>
          <xdr:sp macro="" textlink="">
            <xdr:nvSpPr>
              <xdr:cNvPr id="183" name="Rectangle 182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8634040" y="124877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177916-1</a:t>
                </a:r>
              </a:p>
            </xdr:txBody>
          </xdr:sp>
        </xdr:grpSp>
        <xdr:cxnSp macro="">
          <xdr:nvCxnSpPr>
            <xdr:cNvPr id="179" name="Straight Connector 178">
              <a:extLst>
                <a:ext uri="{FF2B5EF4-FFF2-40B4-BE49-F238E27FC236}">
                  <a16:creationId xmlns:a16="http://schemas.microsoft.com/office/drawing/2014/main" id="{BDF851AB-C2A5-B426-5389-4F37D702E754}"/>
                </a:ext>
              </a:extLst>
            </xdr:cNvPr>
            <xdr:cNvCxnSpPr>
              <a:cxnSpLocks/>
            </xdr:cNvCxnSpPr>
          </xdr:nvCxnSpPr>
          <xdr:spPr>
            <a:xfrm>
              <a:off x="5778016" y="1347605"/>
              <a:ext cx="5096941" cy="566339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Rectangle 179">
              <a:extLst>
                <a:ext uri="{FF2B5EF4-FFF2-40B4-BE49-F238E27FC236}">
                  <a16:creationId xmlns:a16="http://schemas.microsoft.com/office/drawing/2014/main" id="{F2945733-C6F2-6E3C-6241-DA4128EEF615}"/>
                </a:ext>
              </a:extLst>
            </xdr:cNvPr>
            <xdr:cNvSpPr/>
          </xdr:nvSpPr>
          <xdr:spPr>
            <a:xfrm>
              <a:off x="2005367" y="805802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  <xdr:sp macro="" textlink="">
          <xdr:nvSpPr>
            <xdr:cNvPr id="181" name="Rectangle 180">
              <a:extLst>
                <a:ext uri="{FF2B5EF4-FFF2-40B4-BE49-F238E27FC236}">
                  <a16:creationId xmlns:a16="http://schemas.microsoft.com/office/drawing/2014/main" id="{441FD30A-7AEB-7B05-4AE6-0CCD87B401C6}"/>
                </a:ext>
              </a:extLst>
            </xdr:cNvPr>
            <xdr:cNvSpPr/>
          </xdr:nvSpPr>
          <xdr:spPr>
            <a:xfrm>
              <a:off x="8431820" y="1410786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-751</a:t>
              </a:r>
            </a:p>
          </xdr:txBody>
        </xdr:sp>
      </xdr:grp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C7DA4C77-9B67-B08E-0C3A-E3E80A6F4FD4}"/>
              </a:ext>
            </a:extLst>
          </xdr:cNvPr>
          <xdr:cNvSpPr/>
        </xdr:nvSpPr>
        <xdr:spPr>
          <a:xfrm>
            <a:off x="8144605" y="57435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</xdr:grpSp>
    <xdr:clientData/>
  </xdr:twoCellAnchor>
  <xdr:twoCellAnchor>
    <xdr:from>
      <xdr:col>3</xdr:col>
      <xdr:colOff>396874</xdr:colOff>
      <xdr:row>83</xdr:row>
      <xdr:rowOff>222250</xdr:rowOff>
    </xdr:from>
    <xdr:to>
      <xdr:col>13</xdr:col>
      <xdr:colOff>0</xdr:colOff>
      <xdr:row>91</xdr:row>
      <xdr:rowOff>222250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EEDEA5F1-F8D7-6211-31E4-C25B9A4F91D8}"/>
            </a:ext>
          </a:extLst>
        </xdr:cNvPr>
        <xdr:cNvGrpSpPr/>
      </xdr:nvGrpSpPr>
      <xdr:grpSpPr>
        <a:xfrm>
          <a:off x="1031874" y="37099875"/>
          <a:ext cx="17653001" cy="3556000"/>
          <a:chOff x="586153" y="396895"/>
          <a:chExt cx="10796954" cy="2041485"/>
        </a:xfrm>
      </xdr:grpSpPr>
      <xdr:grpSp>
        <xdr:nvGrpSpPr>
          <xdr:cNvPr id="195" name="Group 194">
            <a:extLst>
              <a:ext uri="{FF2B5EF4-FFF2-40B4-BE49-F238E27FC236}">
                <a16:creationId xmlns:a16="http://schemas.microsoft.com/office/drawing/2014/main" id="{8312F5B0-35DA-BD45-18CE-BE37231F2775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047EC5C6-1E11-27AE-BA64-511061DDF240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99" name="Group 198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203" name="Group 202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205" name="Rectangle 204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206" name="Straight Connector 205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211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7" name="Straight Connector 206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67658"/>
                    <a:ext cx="5138916" cy="751299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8" name="Rectangle 207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209" name="Rectangle 208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-811</a:t>
                    </a:r>
                  </a:p>
                </xdr:txBody>
              </xdr:sp>
              <xdr:sp macro="" textlink="">
                <xdr:nvSpPr>
                  <xdr:cNvPr id="210" name="Rectangle 209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SPL-VCC</a:t>
                    </a:r>
                  </a:p>
                </xdr:txBody>
              </xdr:sp>
              <xdr:sp macro="" textlink="">
                <xdr:nvSpPr>
                  <xdr:cNvPr id="211" name="Rectangle 210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204" name="Rectangle 203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-812</a:t>
                  </a:r>
                </a:p>
              </xdr:txBody>
            </xdr:sp>
          </xdr:grpSp>
          <xdr:cxnSp macro="">
            <xdr:nvCxnSpPr>
              <xdr:cNvPr id="200" name="Straight Connector 199">
                <a:extLst>
                  <a:ext uri="{FF2B5EF4-FFF2-40B4-BE49-F238E27FC236}">
                    <a16:creationId xmlns:a16="http://schemas.microsoft.com/office/drawing/2014/main" id="{BDF851AB-C2A5-B426-5389-4F37D702E754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778016" y="1347605"/>
                <a:ext cx="5096941" cy="56633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F2945733-C6F2-6E3C-6241-DA4128EEF615}"/>
                  </a:ext>
                </a:extLst>
              </xdr:cNvPr>
              <xdr:cNvSpPr/>
            </xdr:nvSpPr>
            <xdr:spPr>
              <a:xfrm>
                <a:off x="2005367" y="805802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441FD30A-7AEB-7B05-4AE6-0CCD87B401C6}"/>
                  </a:ext>
                </a:extLst>
              </xdr:cNvPr>
              <xdr:cNvSpPr/>
            </xdr:nvSpPr>
            <xdr:spPr>
              <a:xfrm>
                <a:off x="8431820" y="1410786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-813</a:t>
                </a:r>
              </a:p>
            </xdr:txBody>
          </xdr:sp>
        </xdr:grp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C7DA4C77-9B67-B08E-0C3A-E3E80A6F4FD4}"/>
                </a:ext>
              </a:extLst>
            </xdr:cNvPr>
            <xdr:cNvSpPr/>
          </xdr:nvSpPr>
          <xdr:spPr>
            <a:xfrm>
              <a:off x="8144605" y="574354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2329911-1</a:t>
              </a:r>
            </a:p>
          </xdr:txBody>
        </xdr:sp>
      </xdr:grp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7C2FF0B9-7E71-9754-C033-48CE3D7BE3EA}"/>
              </a:ext>
            </a:extLst>
          </xdr:cNvPr>
          <xdr:cNvSpPr/>
        </xdr:nvSpPr>
        <xdr:spPr>
          <a:xfrm>
            <a:off x="8695024" y="1243096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2329911-1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1:AF125"/>
  <sheetViews>
    <sheetView view="pageBreakPreview" topLeftCell="I106" zoomScale="60" zoomScaleNormal="60" workbookViewId="0">
      <selection activeCell="C1" sqref="C1:O119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5.140625" customWidth="1"/>
    <col min="9" max="9" width="50" customWidth="1"/>
    <col min="10" max="10" width="39.5703125" customWidth="1"/>
    <col min="11" max="11" width="34.85546875" customWidth="1"/>
    <col min="12" max="12" width="26.5703125" customWidth="1"/>
    <col min="13" max="13" width="34.28515625" customWidth="1"/>
    <col min="14" max="14" width="18.140625" customWidth="1"/>
    <col min="15" max="15" width="45.7109375" customWidth="1"/>
    <col min="16" max="16" width="6.85546875" customWidth="1"/>
    <col min="18" max="18" width="13" customWidth="1"/>
    <col min="23" max="23" width="30.5703125" customWidth="1"/>
    <col min="24" max="24" width="18.42578125" customWidth="1"/>
    <col min="25" max="25" width="18" customWidth="1"/>
    <col min="26" max="26" width="14.5703125" customWidth="1"/>
    <col min="27" max="27" width="23.5703125" customWidth="1"/>
    <col min="28" max="28" width="16.28515625" customWidth="1"/>
    <col min="29" max="29" width="21.7109375" customWidth="1"/>
  </cols>
  <sheetData>
    <row r="1" spans="3:15" ht="50.25" customHeight="1" x14ac:dyDescent="0.25">
      <c r="C1" s="101" t="s">
        <v>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/>
    </row>
    <row r="2" spans="3:15" ht="28.35" customHeight="1" x14ac:dyDescent="0.25">
      <c r="C2" s="104" t="s">
        <v>1</v>
      </c>
      <c r="D2" s="105"/>
      <c r="E2" s="105"/>
      <c r="F2" s="105"/>
      <c r="G2" s="105"/>
      <c r="H2" s="106"/>
      <c r="I2" s="106"/>
      <c r="J2" s="106"/>
      <c r="K2" s="106"/>
      <c r="L2" s="106"/>
      <c r="M2" s="106"/>
      <c r="N2" s="106"/>
      <c r="O2" s="107"/>
    </row>
    <row r="3" spans="3:15" ht="15.95" customHeight="1" x14ac:dyDescent="0.25">
      <c r="C3" s="108" t="s">
        <v>2</v>
      </c>
      <c r="D3" s="109"/>
      <c r="E3" s="109"/>
      <c r="F3" s="109"/>
      <c r="G3" s="109"/>
      <c r="H3" s="94"/>
      <c r="I3" s="66" t="s">
        <v>218</v>
      </c>
      <c r="J3" s="11" t="s">
        <v>228</v>
      </c>
      <c r="K3" s="65" t="s">
        <v>253</v>
      </c>
      <c r="L3" s="110" t="s">
        <v>229</v>
      </c>
      <c r="M3" s="94"/>
      <c r="N3" s="110" t="s">
        <v>276</v>
      </c>
      <c r="O3" s="111"/>
    </row>
    <row r="4" spans="3:15" ht="21" customHeight="1" x14ac:dyDescent="0.25">
      <c r="C4" s="112" t="s">
        <v>3</v>
      </c>
      <c r="D4" s="113"/>
      <c r="E4" s="113"/>
      <c r="F4" s="113"/>
      <c r="G4" s="113"/>
      <c r="H4" s="114"/>
      <c r="I4" s="65" t="s">
        <v>4</v>
      </c>
      <c r="J4" s="13" t="s">
        <v>231</v>
      </c>
      <c r="K4" s="65">
        <v>5</v>
      </c>
      <c r="L4" s="115" t="s">
        <v>232</v>
      </c>
      <c r="M4" s="113"/>
      <c r="N4" s="114" t="s">
        <v>277</v>
      </c>
      <c r="O4" s="116"/>
    </row>
    <row r="5" spans="3:15" ht="21" customHeight="1" x14ac:dyDescent="0.25">
      <c r="C5" s="93" t="s">
        <v>5</v>
      </c>
      <c r="D5" s="94"/>
      <c r="E5" s="94"/>
      <c r="F5" s="94"/>
      <c r="G5" s="94"/>
      <c r="H5" s="95"/>
      <c r="I5" s="66" t="s">
        <v>23</v>
      </c>
      <c r="J5" s="13" t="s">
        <v>233</v>
      </c>
      <c r="K5" s="53">
        <v>45926</v>
      </c>
      <c r="L5" s="96" t="s">
        <v>6</v>
      </c>
      <c r="M5" s="97"/>
      <c r="N5" s="98" t="s">
        <v>7</v>
      </c>
      <c r="O5" s="99"/>
    </row>
    <row r="6" spans="3:15" ht="56.25" customHeight="1" x14ac:dyDescent="0.25">
      <c r="C6" s="6" t="s">
        <v>236</v>
      </c>
      <c r="D6" s="6" t="s">
        <v>8</v>
      </c>
      <c r="E6" s="100" t="s">
        <v>9</v>
      </c>
      <c r="F6" s="100"/>
      <c r="G6" s="100"/>
      <c r="H6" s="100"/>
      <c r="I6" s="5" t="s">
        <v>10</v>
      </c>
      <c r="J6" s="67" t="s">
        <v>11</v>
      </c>
      <c r="K6" s="67" t="s">
        <v>12</v>
      </c>
      <c r="L6" s="5" t="s">
        <v>13</v>
      </c>
      <c r="M6" s="5" t="s">
        <v>14</v>
      </c>
      <c r="N6" s="5" t="s">
        <v>13</v>
      </c>
      <c r="O6" s="7" t="s">
        <v>14</v>
      </c>
    </row>
    <row r="7" spans="3:15" ht="40.5" customHeight="1" x14ac:dyDescent="0.25">
      <c r="C7" s="17">
        <v>1</v>
      </c>
      <c r="D7" s="17" t="s">
        <v>130</v>
      </c>
      <c r="E7" s="83" t="s">
        <v>31</v>
      </c>
      <c r="F7" s="83"/>
      <c r="G7" s="83"/>
      <c r="H7" s="83"/>
      <c r="I7" s="64" t="s">
        <v>234</v>
      </c>
      <c r="J7" s="64" t="s">
        <v>32</v>
      </c>
      <c r="K7" s="24">
        <v>980</v>
      </c>
      <c r="L7" s="60">
        <v>5</v>
      </c>
      <c r="M7" s="62" t="s">
        <v>246</v>
      </c>
      <c r="N7" s="59">
        <v>11</v>
      </c>
      <c r="O7" s="38" t="s">
        <v>37</v>
      </c>
    </row>
    <row r="8" spans="3:15" ht="40.5" customHeight="1" x14ac:dyDescent="0.25">
      <c r="C8" s="17">
        <v>2</v>
      </c>
      <c r="D8" s="17" t="s">
        <v>131</v>
      </c>
      <c r="E8" s="83" t="s">
        <v>31</v>
      </c>
      <c r="F8" s="83"/>
      <c r="G8" s="83"/>
      <c r="H8" s="83"/>
      <c r="I8" s="64" t="s">
        <v>234</v>
      </c>
      <c r="J8" s="64" t="s">
        <v>33</v>
      </c>
      <c r="K8" s="69">
        <f>1200-15</f>
        <v>1185</v>
      </c>
      <c r="L8" s="59">
        <v>12</v>
      </c>
      <c r="M8" s="38" t="s">
        <v>265</v>
      </c>
      <c r="N8" s="59">
        <v>5</v>
      </c>
      <c r="O8" s="70" t="s">
        <v>246</v>
      </c>
    </row>
    <row r="9" spans="3:15" ht="40.5" customHeight="1" x14ac:dyDescent="0.25">
      <c r="C9" s="17">
        <v>3</v>
      </c>
      <c r="D9" s="17" t="s">
        <v>132</v>
      </c>
      <c r="E9" s="83" t="s">
        <v>34</v>
      </c>
      <c r="F9" s="83"/>
      <c r="G9" s="83"/>
      <c r="H9" s="83"/>
      <c r="I9" s="64" t="s">
        <v>235</v>
      </c>
      <c r="J9" s="64" t="s">
        <v>29</v>
      </c>
      <c r="K9" s="62">
        <f>2615+15</f>
        <v>2630</v>
      </c>
      <c r="L9" s="59">
        <v>3.5</v>
      </c>
      <c r="M9" s="62" t="s">
        <v>35</v>
      </c>
      <c r="N9" s="59">
        <v>3</v>
      </c>
      <c r="O9" s="70">
        <v>39000040</v>
      </c>
    </row>
    <row r="10" spans="3:15" ht="40.5" customHeight="1" x14ac:dyDescent="0.25">
      <c r="C10" s="17">
        <v>4</v>
      </c>
      <c r="D10" s="17" t="s">
        <v>133</v>
      </c>
      <c r="E10" s="83" t="s">
        <v>31</v>
      </c>
      <c r="F10" s="83"/>
      <c r="G10" s="83"/>
      <c r="H10" s="83"/>
      <c r="I10" s="64" t="s">
        <v>234</v>
      </c>
      <c r="J10" s="64" t="s">
        <v>32</v>
      </c>
      <c r="K10" s="62">
        <v>625</v>
      </c>
      <c r="L10" s="59">
        <v>3</v>
      </c>
      <c r="M10" s="70">
        <v>39000040</v>
      </c>
      <c r="N10" s="59">
        <v>11</v>
      </c>
      <c r="O10" s="38" t="s">
        <v>220</v>
      </c>
    </row>
    <row r="11" spans="3:15" ht="40.5" customHeight="1" x14ac:dyDescent="0.25">
      <c r="C11" s="17">
        <v>5</v>
      </c>
      <c r="D11" s="17" t="s">
        <v>134</v>
      </c>
      <c r="E11" s="83" t="s">
        <v>24</v>
      </c>
      <c r="F11" s="83"/>
      <c r="G11" s="83"/>
      <c r="H11" s="83"/>
      <c r="I11" s="64" t="s">
        <v>242</v>
      </c>
      <c r="J11" s="64" t="s">
        <v>15</v>
      </c>
      <c r="K11" s="62">
        <v>1610</v>
      </c>
      <c r="L11" s="59">
        <v>2</v>
      </c>
      <c r="M11" s="62" t="s">
        <v>36</v>
      </c>
      <c r="N11" s="59">
        <v>7</v>
      </c>
      <c r="O11" s="38" t="s">
        <v>221</v>
      </c>
    </row>
    <row r="12" spans="3:15" ht="40.5" customHeight="1" x14ac:dyDescent="0.25">
      <c r="C12" s="17">
        <v>6</v>
      </c>
      <c r="D12" s="17" t="s">
        <v>135</v>
      </c>
      <c r="E12" s="83" t="s">
        <v>24</v>
      </c>
      <c r="F12" s="83"/>
      <c r="G12" s="83"/>
      <c r="H12" s="83"/>
      <c r="I12" s="64" t="s">
        <v>242</v>
      </c>
      <c r="J12" s="64" t="s">
        <v>33</v>
      </c>
      <c r="K12" s="62">
        <v>650</v>
      </c>
      <c r="L12" s="59">
        <v>3</v>
      </c>
      <c r="M12" s="62">
        <v>39000048</v>
      </c>
      <c r="N12" s="59">
        <v>7</v>
      </c>
      <c r="O12" s="38" t="s">
        <v>222</v>
      </c>
    </row>
    <row r="13" spans="3:15" ht="40.5" customHeight="1" x14ac:dyDescent="0.25">
      <c r="C13" s="17">
        <v>7</v>
      </c>
      <c r="D13" s="17" t="s">
        <v>136</v>
      </c>
      <c r="E13" s="83" t="s">
        <v>24</v>
      </c>
      <c r="F13" s="83"/>
      <c r="G13" s="83"/>
      <c r="H13" s="83"/>
      <c r="I13" s="64" t="s">
        <v>242</v>
      </c>
      <c r="J13" s="64" t="s">
        <v>15</v>
      </c>
      <c r="K13" s="62">
        <f>1400+10</f>
        <v>1410</v>
      </c>
      <c r="L13" s="59">
        <v>2</v>
      </c>
      <c r="M13" s="62" t="s">
        <v>39</v>
      </c>
      <c r="N13" s="59">
        <v>3</v>
      </c>
      <c r="O13" s="70">
        <v>39000048</v>
      </c>
    </row>
    <row r="14" spans="3:15" ht="40.5" customHeight="1" x14ac:dyDescent="0.25">
      <c r="C14" s="17">
        <v>8</v>
      </c>
      <c r="D14" s="17" t="s">
        <v>137</v>
      </c>
      <c r="E14" s="83" t="s">
        <v>24</v>
      </c>
      <c r="F14" s="83"/>
      <c r="G14" s="83"/>
      <c r="H14" s="83"/>
      <c r="I14" s="64" t="s">
        <v>242</v>
      </c>
      <c r="J14" s="64" t="s">
        <v>17</v>
      </c>
      <c r="K14" s="62">
        <f>1400+10</f>
        <v>1410</v>
      </c>
      <c r="L14" s="59">
        <v>3</v>
      </c>
      <c r="M14" s="62">
        <v>39000048</v>
      </c>
      <c r="N14" s="59">
        <v>2</v>
      </c>
      <c r="O14" s="38" t="s">
        <v>39</v>
      </c>
    </row>
    <row r="15" spans="3:15" ht="40.5" customHeight="1" x14ac:dyDescent="0.25">
      <c r="C15" s="17">
        <v>9</v>
      </c>
      <c r="D15" s="17" t="s">
        <v>138</v>
      </c>
      <c r="E15" s="83" t="s">
        <v>34</v>
      </c>
      <c r="F15" s="83"/>
      <c r="G15" s="83"/>
      <c r="H15" s="83"/>
      <c r="I15" s="64" t="s">
        <v>235</v>
      </c>
      <c r="J15" s="64" t="s">
        <v>16</v>
      </c>
      <c r="K15" s="62">
        <v>1230</v>
      </c>
      <c r="L15" s="59">
        <v>3.5</v>
      </c>
      <c r="M15" s="62" t="s">
        <v>35</v>
      </c>
      <c r="N15" s="59">
        <v>7</v>
      </c>
      <c r="O15" s="38" t="s">
        <v>40</v>
      </c>
    </row>
    <row r="16" spans="3:15" ht="40.5" customHeight="1" x14ac:dyDescent="0.25">
      <c r="C16" s="17">
        <v>10</v>
      </c>
      <c r="D16" s="17" t="s">
        <v>237</v>
      </c>
      <c r="E16" s="83" t="s">
        <v>24</v>
      </c>
      <c r="F16" s="83"/>
      <c r="G16" s="83"/>
      <c r="H16" s="83"/>
      <c r="I16" s="64" t="s">
        <v>242</v>
      </c>
      <c r="J16" s="64" t="s">
        <v>17</v>
      </c>
      <c r="K16" s="62">
        <v>2090</v>
      </c>
      <c r="L16" s="59">
        <v>2</v>
      </c>
      <c r="M16" s="62" t="s">
        <v>39</v>
      </c>
      <c r="N16" s="59">
        <v>3.5</v>
      </c>
      <c r="O16" s="70" t="s">
        <v>238</v>
      </c>
    </row>
    <row r="17" spans="3:32" ht="40.5" customHeight="1" x14ac:dyDescent="0.25">
      <c r="C17" s="17">
        <v>11</v>
      </c>
      <c r="D17" s="17" t="s">
        <v>139</v>
      </c>
      <c r="E17" s="83" t="s">
        <v>24</v>
      </c>
      <c r="F17" s="83"/>
      <c r="G17" s="83"/>
      <c r="H17" s="83"/>
      <c r="I17" s="64" t="s">
        <v>242</v>
      </c>
      <c r="J17" s="64" t="s">
        <v>27</v>
      </c>
      <c r="K17" s="62">
        <f>1320+5</f>
        <v>1325</v>
      </c>
      <c r="L17" s="59">
        <v>3</v>
      </c>
      <c r="M17" s="62">
        <v>39000048</v>
      </c>
      <c r="N17" s="59">
        <v>2</v>
      </c>
      <c r="O17" s="70">
        <v>561349000</v>
      </c>
    </row>
    <row r="18" spans="3:32" ht="40.5" customHeight="1" x14ac:dyDescent="0.25">
      <c r="C18" s="17">
        <v>12</v>
      </c>
      <c r="D18" s="17" t="s">
        <v>140</v>
      </c>
      <c r="E18" s="83" t="s">
        <v>31</v>
      </c>
      <c r="F18" s="83"/>
      <c r="G18" s="83"/>
      <c r="H18" s="83"/>
      <c r="I18" s="64" t="s">
        <v>234</v>
      </c>
      <c r="J18" s="64" t="s">
        <v>32</v>
      </c>
      <c r="K18" s="72">
        <v>950</v>
      </c>
      <c r="L18" s="59">
        <v>3.5</v>
      </c>
      <c r="M18" s="62" t="s">
        <v>41</v>
      </c>
      <c r="N18" s="59">
        <v>11</v>
      </c>
      <c r="O18" s="38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3:32" ht="40.5" customHeight="1" x14ac:dyDescent="0.25">
      <c r="C19" s="17">
        <v>13</v>
      </c>
      <c r="D19" s="17" t="s">
        <v>141</v>
      </c>
      <c r="E19" s="83" t="s">
        <v>24</v>
      </c>
      <c r="F19" s="83"/>
      <c r="G19" s="83"/>
      <c r="H19" s="83"/>
      <c r="I19" s="64" t="s">
        <v>242</v>
      </c>
      <c r="J19" s="64" t="s">
        <v>26</v>
      </c>
      <c r="K19" s="62">
        <f>1230-20</f>
        <v>1210</v>
      </c>
      <c r="L19" s="59">
        <v>2</v>
      </c>
      <c r="M19" s="70">
        <v>561349000</v>
      </c>
      <c r="N19" s="59">
        <v>3</v>
      </c>
      <c r="O19" s="70">
        <v>39000048</v>
      </c>
      <c r="Q19" s="25"/>
      <c r="R19" s="68"/>
      <c r="S19" s="92"/>
      <c r="T19" s="92"/>
      <c r="U19" s="92"/>
      <c r="V19" s="92"/>
      <c r="W19" s="68"/>
      <c r="X19" s="68"/>
      <c r="Y19" s="68"/>
      <c r="Z19" s="27"/>
      <c r="AA19" s="68"/>
      <c r="AB19" s="27"/>
      <c r="AC19" s="68"/>
      <c r="AD19" s="25"/>
      <c r="AE19" s="25"/>
      <c r="AF19" s="25"/>
    </row>
    <row r="20" spans="3:32" ht="40.5" customHeight="1" x14ac:dyDescent="0.25">
      <c r="C20" s="17">
        <v>14</v>
      </c>
      <c r="D20" s="17" t="s">
        <v>142</v>
      </c>
      <c r="E20" s="83" t="s">
        <v>24</v>
      </c>
      <c r="F20" s="83"/>
      <c r="G20" s="83"/>
      <c r="H20" s="83"/>
      <c r="I20" s="64" t="s">
        <v>242</v>
      </c>
      <c r="J20" s="64" t="s">
        <v>29</v>
      </c>
      <c r="K20" s="62">
        <f>1060+20</f>
        <v>1080</v>
      </c>
      <c r="L20" s="59">
        <v>2</v>
      </c>
      <c r="M20" s="62" t="s">
        <v>36</v>
      </c>
      <c r="N20" s="59">
        <v>3</v>
      </c>
      <c r="O20" s="70">
        <v>39000048</v>
      </c>
      <c r="Q20" s="25"/>
      <c r="R20" s="68"/>
      <c r="S20" s="92"/>
      <c r="T20" s="92"/>
      <c r="U20" s="92"/>
      <c r="V20" s="92"/>
      <c r="W20" s="68"/>
      <c r="X20" s="68"/>
      <c r="Y20" s="68"/>
      <c r="Z20" s="27"/>
      <c r="AA20" s="68"/>
      <c r="AB20" s="27"/>
      <c r="AC20" s="68"/>
      <c r="AD20" s="25"/>
      <c r="AE20" s="25"/>
      <c r="AF20" s="25"/>
    </row>
    <row r="21" spans="3:32" ht="40.5" customHeight="1" x14ac:dyDescent="0.25">
      <c r="C21" s="17">
        <v>15</v>
      </c>
      <c r="D21" s="17" t="s">
        <v>143</v>
      </c>
      <c r="E21" s="83" t="s">
        <v>34</v>
      </c>
      <c r="F21" s="83"/>
      <c r="G21" s="83"/>
      <c r="H21" s="83"/>
      <c r="I21" s="64" t="s">
        <v>235</v>
      </c>
      <c r="J21" s="64" t="s">
        <v>28</v>
      </c>
      <c r="K21" s="62">
        <f>2590+10</f>
        <v>2600</v>
      </c>
      <c r="L21" s="59">
        <v>3.5</v>
      </c>
      <c r="M21" s="62" t="s">
        <v>35</v>
      </c>
      <c r="N21" s="59">
        <v>3</v>
      </c>
      <c r="O21" s="70">
        <v>39000040</v>
      </c>
      <c r="Q21" s="25"/>
      <c r="R21" s="68"/>
      <c r="S21" s="92"/>
      <c r="T21" s="92"/>
      <c r="U21" s="92"/>
      <c r="V21" s="92"/>
      <c r="W21" s="68"/>
      <c r="X21" s="68"/>
      <c r="Y21" s="68"/>
      <c r="Z21" s="27"/>
      <c r="AA21" s="68"/>
      <c r="AB21" s="27"/>
      <c r="AC21" s="28"/>
      <c r="AD21" s="25"/>
      <c r="AE21" s="25"/>
      <c r="AF21" s="25"/>
    </row>
    <row r="22" spans="3:32" ht="40.5" customHeight="1" x14ac:dyDescent="0.25">
      <c r="C22" s="17">
        <v>16</v>
      </c>
      <c r="D22" s="17" t="s">
        <v>144</v>
      </c>
      <c r="E22" s="83" t="s">
        <v>24</v>
      </c>
      <c r="F22" s="83"/>
      <c r="G22" s="83"/>
      <c r="H22" s="83"/>
      <c r="I22" s="64" t="s">
        <v>242</v>
      </c>
      <c r="J22" s="64" t="s">
        <v>43</v>
      </c>
      <c r="K22" s="62">
        <v>1400</v>
      </c>
      <c r="L22" s="59">
        <v>2</v>
      </c>
      <c r="M22" s="62" t="s">
        <v>39</v>
      </c>
      <c r="N22" s="59">
        <v>3</v>
      </c>
      <c r="O22" s="70">
        <v>39000048</v>
      </c>
      <c r="Q22" s="25"/>
      <c r="R22" s="68"/>
      <c r="S22" s="92"/>
      <c r="T22" s="92"/>
      <c r="U22" s="92"/>
      <c r="V22" s="92"/>
      <c r="W22" s="68"/>
      <c r="X22" s="68"/>
      <c r="Y22" s="68"/>
      <c r="Z22" s="27"/>
      <c r="AA22" s="68"/>
      <c r="AB22" s="27"/>
      <c r="AC22" s="28"/>
      <c r="AD22" s="25"/>
      <c r="AE22" s="25"/>
      <c r="AF22" s="25"/>
    </row>
    <row r="23" spans="3:32" ht="40.5" customHeight="1" x14ac:dyDescent="0.25">
      <c r="C23" s="17">
        <v>17</v>
      </c>
      <c r="D23" s="17" t="s">
        <v>145</v>
      </c>
      <c r="E23" s="83" t="s">
        <v>31</v>
      </c>
      <c r="F23" s="83"/>
      <c r="G23" s="83"/>
      <c r="H23" s="83"/>
      <c r="I23" s="64" t="s">
        <v>234</v>
      </c>
      <c r="J23" s="64" t="s">
        <v>19</v>
      </c>
      <c r="K23" s="62">
        <f>1120+10</f>
        <v>1130</v>
      </c>
      <c r="L23" s="59">
        <v>3.5</v>
      </c>
      <c r="M23" s="62" t="s">
        <v>41</v>
      </c>
      <c r="N23" s="59">
        <v>5</v>
      </c>
      <c r="O23" s="38" t="s">
        <v>44</v>
      </c>
      <c r="Q23" s="25"/>
      <c r="R23" s="68"/>
      <c r="S23" s="92"/>
      <c r="T23" s="92"/>
      <c r="U23" s="92"/>
      <c r="V23" s="92"/>
      <c r="W23" s="68"/>
      <c r="X23" s="68"/>
      <c r="Y23" s="68"/>
      <c r="Z23" s="27"/>
      <c r="AA23" s="68"/>
      <c r="AB23" s="27"/>
      <c r="AC23" s="28"/>
      <c r="AD23" s="25"/>
      <c r="AE23" s="25"/>
      <c r="AF23" s="25"/>
    </row>
    <row r="24" spans="3:32" ht="40.5" customHeight="1" x14ac:dyDescent="0.25">
      <c r="C24" s="17">
        <v>18</v>
      </c>
      <c r="D24" s="17" t="s">
        <v>146</v>
      </c>
      <c r="E24" s="83" t="s">
        <v>24</v>
      </c>
      <c r="F24" s="83"/>
      <c r="G24" s="83"/>
      <c r="H24" s="83"/>
      <c r="I24" s="64" t="s">
        <v>242</v>
      </c>
      <c r="J24" s="64" t="s">
        <v>45</v>
      </c>
      <c r="K24" s="62">
        <f>660+5</f>
        <v>665</v>
      </c>
      <c r="L24" s="59">
        <v>7</v>
      </c>
      <c r="M24" s="71" t="s">
        <v>223</v>
      </c>
      <c r="N24" s="59">
        <v>3</v>
      </c>
      <c r="O24" s="70">
        <v>39000048</v>
      </c>
      <c r="Q24" s="25"/>
      <c r="R24" s="68"/>
      <c r="S24" s="92"/>
      <c r="T24" s="92"/>
      <c r="U24" s="92"/>
      <c r="V24" s="92"/>
      <c r="W24" s="68"/>
      <c r="X24" s="68"/>
      <c r="Y24" s="68"/>
      <c r="Z24" s="27"/>
      <c r="AA24" s="68"/>
      <c r="AB24" s="27"/>
      <c r="AC24" s="28"/>
      <c r="AD24" s="25"/>
      <c r="AE24" s="25"/>
      <c r="AF24" s="25"/>
    </row>
    <row r="25" spans="3:32" ht="40.5" customHeight="1" x14ac:dyDescent="0.25">
      <c r="C25" s="17">
        <v>19</v>
      </c>
      <c r="D25" s="17" t="s">
        <v>147</v>
      </c>
      <c r="E25" s="83" t="s">
        <v>24</v>
      </c>
      <c r="F25" s="83"/>
      <c r="G25" s="83"/>
      <c r="H25" s="83"/>
      <c r="I25" s="64" t="s">
        <v>242</v>
      </c>
      <c r="J25" s="64" t="s">
        <v>30</v>
      </c>
      <c r="K25" s="62">
        <f>1320-15</f>
        <v>1305</v>
      </c>
      <c r="L25" s="59">
        <v>3</v>
      </c>
      <c r="M25" s="62" t="s">
        <v>47</v>
      </c>
      <c r="N25" s="59">
        <v>2</v>
      </c>
      <c r="O25" s="70" t="s">
        <v>39</v>
      </c>
      <c r="Q25" s="25"/>
      <c r="R25" s="68"/>
      <c r="S25" s="92"/>
      <c r="T25" s="92"/>
      <c r="U25" s="92"/>
      <c r="V25" s="92"/>
      <c r="W25" s="68"/>
      <c r="X25" s="68"/>
      <c r="Y25" s="68"/>
      <c r="Z25" s="27"/>
      <c r="AA25" s="68"/>
      <c r="AB25" s="27"/>
      <c r="AC25" s="68"/>
      <c r="AD25" s="25"/>
      <c r="AE25" s="25"/>
      <c r="AF25" s="25"/>
    </row>
    <row r="26" spans="3:32" ht="40.5" customHeight="1" x14ac:dyDescent="0.25">
      <c r="C26" s="17">
        <v>20</v>
      </c>
      <c r="D26" s="17" t="s">
        <v>148</v>
      </c>
      <c r="E26" s="83" t="s">
        <v>24</v>
      </c>
      <c r="F26" s="83"/>
      <c r="G26" s="83"/>
      <c r="H26" s="83"/>
      <c r="I26" s="64" t="s">
        <v>242</v>
      </c>
      <c r="J26" s="64" t="s">
        <v>46</v>
      </c>
      <c r="K26" s="62">
        <v>1305</v>
      </c>
      <c r="L26" s="59">
        <v>3</v>
      </c>
      <c r="M26" s="62" t="s">
        <v>47</v>
      </c>
      <c r="N26" s="59">
        <v>2</v>
      </c>
      <c r="O26" s="70" t="s">
        <v>39</v>
      </c>
      <c r="Q26" s="25"/>
      <c r="R26" s="68"/>
      <c r="S26" s="92"/>
      <c r="T26" s="92"/>
      <c r="U26" s="92"/>
      <c r="V26" s="92"/>
      <c r="W26" s="68"/>
      <c r="X26" s="68"/>
      <c r="Y26" s="68"/>
      <c r="Z26" s="27"/>
      <c r="AA26" s="68"/>
      <c r="AB26" s="27"/>
      <c r="AC26" s="68"/>
      <c r="AD26" s="25"/>
      <c r="AE26" s="25"/>
      <c r="AF26" s="25"/>
    </row>
    <row r="27" spans="3:32" ht="40.5" customHeight="1" x14ac:dyDescent="0.25">
      <c r="C27" s="17">
        <v>21</v>
      </c>
      <c r="D27" s="17" t="s">
        <v>149</v>
      </c>
      <c r="E27" s="83" t="s">
        <v>34</v>
      </c>
      <c r="F27" s="83"/>
      <c r="G27" s="83"/>
      <c r="H27" s="83"/>
      <c r="I27" s="64" t="s">
        <v>235</v>
      </c>
      <c r="J27" s="64" t="s">
        <v>18</v>
      </c>
      <c r="K27" s="62">
        <v>1235</v>
      </c>
      <c r="L27" s="59">
        <v>3.5</v>
      </c>
      <c r="M27" s="62" t="s">
        <v>35</v>
      </c>
      <c r="N27" s="59">
        <v>7</v>
      </c>
      <c r="O27" s="38" t="s">
        <v>224</v>
      </c>
      <c r="Q27" s="25"/>
      <c r="R27" s="68"/>
      <c r="S27" s="92"/>
      <c r="T27" s="92"/>
      <c r="U27" s="92"/>
      <c r="V27" s="92"/>
      <c r="W27" s="68"/>
      <c r="X27" s="68"/>
      <c r="Y27" s="68"/>
      <c r="Z27" s="27"/>
      <c r="AA27" s="68"/>
      <c r="AB27" s="27"/>
      <c r="AC27" s="28"/>
      <c r="AD27" s="25"/>
      <c r="AE27" s="25"/>
      <c r="AF27" s="25"/>
    </row>
    <row r="28" spans="3:32" ht="40.5" customHeight="1" x14ac:dyDescent="0.25">
      <c r="C28" s="17">
        <v>22</v>
      </c>
      <c r="D28" s="17" t="s">
        <v>150</v>
      </c>
      <c r="E28" s="83" t="s">
        <v>31</v>
      </c>
      <c r="F28" s="83"/>
      <c r="G28" s="83"/>
      <c r="H28" s="83"/>
      <c r="I28" s="64" t="s">
        <v>234</v>
      </c>
      <c r="J28" s="64" t="s">
        <v>48</v>
      </c>
      <c r="K28" s="62">
        <f>1280-300</f>
        <v>980</v>
      </c>
      <c r="L28" s="59">
        <v>3</v>
      </c>
      <c r="M28" s="62">
        <v>39000040</v>
      </c>
      <c r="N28" s="59">
        <v>12</v>
      </c>
      <c r="O28" s="38" t="s">
        <v>49</v>
      </c>
      <c r="Q28" s="25"/>
      <c r="R28" s="68"/>
      <c r="S28" s="92"/>
      <c r="T28" s="92"/>
      <c r="U28" s="92"/>
      <c r="V28" s="92"/>
      <c r="W28" s="68"/>
      <c r="X28" s="68"/>
      <c r="Y28" s="68"/>
      <c r="Z28" s="27"/>
      <c r="AA28" s="68"/>
      <c r="AB28" s="27"/>
      <c r="AC28" s="28"/>
      <c r="AD28" s="25"/>
      <c r="AE28" s="25"/>
      <c r="AF28" s="25"/>
    </row>
    <row r="29" spans="3:32" ht="40.5" customHeight="1" x14ac:dyDescent="0.25">
      <c r="C29" s="17">
        <v>23</v>
      </c>
      <c r="D29" s="17" t="s">
        <v>151</v>
      </c>
      <c r="E29" s="83" t="s">
        <v>24</v>
      </c>
      <c r="F29" s="83"/>
      <c r="G29" s="83"/>
      <c r="H29" s="83"/>
      <c r="I29" s="64" t="s">
        <v>242</v>
      </c>
      <c r="J29" s="64" t="s">
        <v>43</v>
      </c>
      <c r="K29" s="62">
        <f>220+15</f>
        <v>235</v>
      </c>
      <c r="L29" s="59">
        <v>5</v>
      </c>
      <c r="M29" s="62" t="s">
        <v>50</v>
      </c>
      <c r="N29" s="59">
        <v>7</v>
      </c>
      <c r="O29" s="38" t="s">
        <v>51</v>
      </c>
      <c r="Q29" s="25"/>
      <c r="R29" s="68"/>
      <c r="S29" s="92"/>
      <c r="T29" s="92"/>
      <c r="U29" s="92"/>
      <c r="V29" s="92"/>
      <c r="W29" s="68"/>
      <c r="X29" s="68"/>
      <c r="Y29" s="68"/>
      <c r="Z29" s="27"/>
      <c r="AA29" s="68"/>
      <c r="AB29" s="27"/>
      <c r="AC29" s="28"/>
      <c r="AD29" s="25"/>
      <c r="AE29" s="25"/>
      <c r="AF29" s="25"/>
    </row>
    <row r="30" spans="3:32" ht="40.5" customHeight="1" x14ac:dyDescent="0.25">
      <c r="C30" s="17">
        <v>24</v>
      </c>
      <c r="D30" s="17" t="s">
        <v>152</v>
      </c>
      <c r="E30" s="83" t="s">
        <v>31</v>
      </c>
      <c r="F30" s="83"/>
      <c r="G30" s="83"/>
      <c r="H30" s="83"/>
      <c r="I30" s="64" t="s">
        <v>234</v>
      </c>
      <c r="J30" s="64" t="s">
        <v>19</v>
      </c>
      <c r="K30" s="62">
        <v>625</v>
      </c>
      <c r="L30" s="59">
        <v>3</v>
      </c>
      <c r="M30" s="62">
        <v>39000040</v>
      </c>
      <c r="N30" s="59">
        <v>11</v>
      </c>
      <c r="O30" s="38" t="s">
        <v>52</v>
      </c>
      <c r="Q30" s="25"/>
      <c r="R30" s="68"/>
      <c r="S30" s="92"/>
      <c r="T30" s="92"/>
      <c r="U30" s="92"/>
      <c r="V30" s="92"/>
      <c r="W30" s="68"/>
      <c r="X30" s="68"/>
      <c r="Y30" s="68"/>
      <c r="Z30" s="27"/>
      <c r="AA30" s="68"/>
      <c r="AB30" s="27"/>
      <c r="AC30" s="28"/>
      <c r="AD30" s="25"/>
      <c r="AE30" s="25"/>
      <c r="AF30" s="25"/>
    </row>
    <row r="31" spans="3:32" ht="40.5" customHeight="1" x14ac:dyDescent="0.25">
      <c r="C31" s="17">
        <v>25</v>
      </c>
      <c r="D31" s="17" t="s">
        <v>153</v>
      </c>
      <c r="E31" s="83" t="s">
        <v>34</v>
      </c>
      <c r="F31" s="83"/>
      <c r="G31" s="83"/>
      <c r="H31" s="83"/>
      <c r="I31" s="64" t="s">
        <v>235</v>
      </c>
      <c r="J31" s="64" t="s">
        <v>19</v>
      </c>
      <c r="K31" s="62">
        <v>855</v>
      </c>
      <c r="L31" s="59">
        <v>3.5</v>
      </c>
      <c r="M31" s="62" t="s">
        <v>35</v>
      </c>
      <c r="N31" s="59">
        <v>7</v>
      </c>
      <c r="O31" s="38" t="s">
        <v>53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3:32" ht="40.5" customHeight="1" x14ac:dyDescent="0.25">
      <c r="C32" s="17">
        <v>26</v>
      </c>
      <c r="D32" s="17" t="s">
        <v>154</v>
      </c>
      <c r="E32" s="83" t="s">
        <v>31</v>
      </c>
      <c r="F32" s="83"/>
      <c r="G32" s="83"/>
      <c r="H32" s="83"/>
      <c r="I32" s="64" t="s">
        <v>234</v>
      </c>
      <c r="J32" s="64" t="s">
        <v>54</v>
      </c>
      <c r="K32" s="62">
        <v>2200</v>
      </c>
      <c r="L32" s="59">
        <v>3</v>
      </c>
      <c r="M32" s="62">
        <v>39000040</v>
      </c>
      <c r="N32" s="59">
        <v>11</v>
      </c>
      <c r="O32" s="38" t="s">
        <v>55</v>
      </c>
      <c r="Q32" s="25"/>
      <c r="R32" s="25">
        <f>113-8</f>
        <v>105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3:32" ht="40.5" customHeight="1" x14ac:dyDescent="0.25">
      <c r="C33" s="17">
        <v>27</v>
      </c>
      <c r="D33" s="17" t="s">
        <v>155</v>
      </c>
      <c r="E33" s="83" t="s">
        <v>31</v>
      </c>
      <c r="F33" s="83"/>
      <c r="G33" s="83"/>
      <c r="H33" s="83"/>
      <c r="I33" s="64" t="s">
        <v>234</v>
      </c>
      <c r="J33" s="64" t="s">
        <v>54</v>
      </c>
      <c r="K33" s="62">
        <v>780</v>
      </c>
      <c r="L33" s="59">
        <v>3</v>
      </c>
      <c r="M33" s="62">
        <v>39000040</v>
      </c>
      <c r="N33" s="59">
        <v>11</v>
      </c>
      <c r="O33" s="38" t="s">
        <v>56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3:32" ht="40.5" customHeight="1" x14ac:dyDescent="0.25">
      <c r="C34" s="17">
        <v>28</v>
      </c>
      <c r="D34" s="17" t="s">
        <v>156</v>
      </c>
      <c r="E34" s="83" t="s">
        <v>24</v>
      </c>
      <c r="F34" s="83"/>
      <c r="G34" s="83"/>
      <c r="H34" s="83"/>
      <c r="I34" s="64" t="s">
        <v>242</v>
      </c>
      <c r="J34" s="64" t="s">
        <v>16</v>
      </c>
      <c r="K34" s="62">
        <f>1230-20</f>
        <v>1210</v>
      </c>
      <c r="L34" s="59">
        <v>2</v>
      </c>
      <c r="M34" s="70">
        <v>561349000</v>
      </c>
      <c r="N34" s="59">
        <v>3</v>
      </c>
      <c r="O34" s="38">
        <v>39000048</v>
      </c>
    </row>
    <row r="35" spans="3:32" ht="40.5" customHeight="1" x14ac:dyDescent="0.25">
      <c r="C35" s="17">
        <v>29</v>
      </c>
      <c r="D35" s="17" t="s">
        <v>157</v>
      </c>
      <c r="E35" s="83" t="s">
        <v>24</v>
      </c>
      <c r="F35" s="83"/>
      <c r="G35" s="83"/>
      <c r="H35" s="83"/>
      <c r="I35" s="64" t="s">
        <v>242</v>
      </c>
      <c r="J35" s="64" t="s">
        <v>15</v>
      </c>
      <c r="K35" s="62">
        <f t="shared" ref="K35:K36" si="0">1230-20</f>
        <v>1210</v>
      </c>
      <c r="L35" s="59">
        <v>2</v>
      </c>
      <c r="M35" s="70">
        <v>561349000</v>
      </c>
      <c r="N35" s="59">
        <v>3</v>
      </c>
      <c r="O35" s="38">
        <v>39000048</v>
      </c>
    </row>
    <row r="36" spans="3:32" ht="40.5" customHeight="1" x14ac:dyDescent="0.25">
      <c r="C36" s="17">
        <v>30</v>
      </c>
      <c r="D36" s="17" t="s">
        <v>158</v>
      </c>
      <c r="E36" s="83" t="s">
        <v>24</v>
      </c>
      <c r="F36" s="83"/>
      <c r="G36" s="83"/>
      <c r="H36" s="83"/>
      <c r="I36" s="64" t="s">
        <v>242</v>
      </c>
      <c r="J36" s="64" t="s">
        <v>57</v>
      </c>
      <c r="K36" s="62">
        <f t="shared" si="0"/>
        <v>1210</v>
      </c>
      <c r="L36" s="59">
        <v>2</v>
      </c>
      <c r="M36" s="70">
        <v>561349000</v>
      </c>
      <c r="N36" s="59">
        <v>3</v>
      </c>
      <c r="O36" s="38">
        <v>39000048</v>
      </c>
    </row>
    <row r="37" spans="3:32" ht="40.5" customHeight="1" x14ac:dyDescent="0.25">
      <c r="C37" s="17">
        <v>31</v>
      </c>
      <c r="D37" s="17" t="s">
        <v>159</v>
      </c>
      <c r="E37" s="83" t="s">
        <v>24</v>
      </c>
      <c r="F37" s="83"/>
      <c r="G37" s="83"/>
      <c r="H37" s="83"/>
      <c r="I37" s="64" t="s">
        <v>242</v>
      </c>
      <c r="J37" s="64" t="s">
        <v>48</v>
      </c>
      <c r="K37" s="62">
        <f>1120-35-25+10</f>
        <v>1070</v>
      </c>
      <c r="L37" s="59">
        <v>2</v>
      </c>
      <c r="M37" s="62" t="s">
        <v>36</v>
      </c>
      <c r="N37" s="59">
        <v>3</v>
      </c>
      <c r="O37" s="38">
        <v>39000048</v>
      </c>
    </row>
    <row r="38" spans="3:32" ht="40.5" customHeight="1" x14ac:dyDescent="0.25">
      <c r="C38" s="17">
        <v>32</v>
      </c>
      <c r="D38" s="17" t="s">
        <v>160</v>
      </c>
      <c r="E38" s="83" t="s">
        <v>24</v>
      </c>
      <c r="F38" s="83"/>
      <c r="G38" s="83"/>
      <c r="H38" s="83"/>
      <c r="I38" s="64" t="s">
        <v>242</v>
      </c>
      <c r="J38" s="64" t="s">
        <v>29</v>
      </c>
      <c r="K38" s="62">
        <v>890</v>
      </c>
      <c r="L38" s="59">
        <v>3</v>
      </c>
      <c r="M38" s="38">
        <v>39000048</v>
      </c>
      <c r="N38" s="59">
        <v>7</v>
      </c>
      <c r="O38" s="38" t="s">
        <v>51</v>
      </c>
    </row>
    <row r="39" spans="3:32" ht="40.5" customHeight="1" x14ac:dyDescent="0.25">
      <c r="C39" s="17">
        <v>33</v>
      </c>
      <c r="D39" s="17" t="s">
        <v>162</v>
      </c>
      <c r="E39" s="83" t="s">
        <v>34</v>
      </c>
      <c r="F39" s="83"/>
      <c r="G39" s="83"/>
      <c r="H39" s="83"/>
      <c r="I39" s="64" t="s">
        <v>235</v>
      </c>
      <c r="J39" s="64" t="s">
        <v>48</v>
      </c>
      <c r="K39" s="62">
        <v>2580</v>
      </c>
      <c r="L39" s="59">
        <v>3.5</v>
      </c>
      <c r="M39" s="62" t="s">
        <v>35</v>
      </c>
      <c r="N39" s="59">
        <v>3</v>
      </c>
      <c r="O39" s="70">
        <v>39000040</v>
      </c>
    </row>
    <row r="40" spans="3:32" ht="40.5" customHeight="1" x14ac:dyDescent="0.25">
      <c r="C40" s="17">
        <v>34</v>
      </c>
      <c r="D40" s="17" t="s">
        <v>161</v>
      </c>
      <c r="E40" s="83" t="s">
        <v>24</v>
      </c>
      <c r="F40" s="83"/>
      <c r="G40" s="83"/>
      <c r="H40" s="83"/>
      <c r="I40" s="64" t="s">
        <v>242</v>
      </c>
      <c r="J40" s="64" t="s">
        <v>57</v>
      </c>
      <c r="K40" s="62">
        <f>1400+10</f>
        <v>1410</v>
      </c>
      <c r="L40" s="59">
        <v>2</v>
      </c>
      <c r="M40" s="62" t="s">
        <v>39</v>
      </c>
      <c r="N40" s="59">
        <v>3</v>
      </c>
      <c r="O40" s="38">
        <v>39000048</v>
      </c>
    </row>
    <row r="41" spans="3:32" ht="40.5" customHeight="1" x14ac:dyDescent="0.25">
      <c r="C41" s="17">
        <v>35</v>
      </c>
      <c r="D41" s="17" t="s">
        <v>163</v>
      </c>
      <c r="E41" s="83" t="s">
        <v>31</v>
      </c>
      <c r="F41" s="83"/>
      <c r="G41" s="83"/>
      <c r="H41" s="83"/>
      <c r="I41" s="64" t="s">
        <v>234</v>
      </c>
      <c r="J41" s="64" t="s">
        <v>48</v>
      </c>
      <c r="K41" s="62">
        <f>450-30</f>
        <v>420</v>
      </c>
      <c r="L41" s="59">
        <v>3</v>
      </c>
      <c r="M41" s="62">
        <v>39000040</v>
      </c>
      <c r="N41" s="59">
        <v>12</v>
      </c>
      <c r="O41" s="38" t="s">
        <v>59</v>
      </c>
    </row>
    <row r="42" spans="3:32" ht="40.5" customHeight="1" x14ac:dyDescent="0.25">
      <c r="C42" s="17">
        <v>36</v>
      </c>
      <c r="D42" s="17" t="s">
        <v>164</v>
      </c>
      <c r="E42" s="83" t="s">
        <v>31</v>
      </c>
      <c r="F42" s="83"/>
      <c r="G42" s="83"/>
      <c r="H42" s="83"/>
      <c r="I42" s="64" t="s">
        <v>234</v>
      </c>
      <c r="J42" s="64" t="s">
        <v>58</v>
      </c>
      <c r="K42" s="62">
        <f>450-30</f>
        <v>420</v>
      </c>
      <c r="L42" s="59">
        <v>3</v>
      </c>
      <c r="M42" s="62">
        <v>39000040</v>
      </c>
      <c r="N42" s="59">
        <v>12</v>
      </c>
      <c r="O42" s="38" t="s">
        <v>59</v>
      </c>
    </row>
    <row r="43" spans="3:32" ht="40.5" customHeight="1" x14ac:dyDescent="0.25">
      <c r="C43" s="17">
        <v>37</v>
      </c>
      <c r="D43" s="17" t="s">
        <v>165</v>
      </c>
      <c r="E43" s="83" t="s">
        <v>34</v>
      </c>
      <c r="F43" s="83"/>
      <c r="G43" s="83"/>
      <c r="H43" s="83"/>
      <c r="I43" s="64" t="s">
        <v>235</v>
      </c>
      <c r="J43" s="64" t="s">
        <v>48</v>
      </c>
      <c r="K43" s="62">
        <f>1505+15</f>
        <v>1520</v>
      </c>
      <c r="L43" s="59">
        <v>3</v>
      </c>
      <c r="M43" s="62">
        <v>39000040</v>
      </c>
      <c r="N43" s="59">
        <v>12</v>
      </c>
      <c r="O43" s="38" t="s">
        <v>59</v>
      </c>
    </row>
    <row r="44" spans="3:32" ht="40.5" customHeight="1" x14ac:dyDescent="0.25">
      <c r="C44" s="17">
        <v>38</v>
      </c>
      <c r="D44" s="17" t="s">
        <v>166</v>
      </c>
      <c r="E44" s="83" t="s">
        <v>24</v>
      </c>
      <c r="F44" s="83"/>
      <c r="G44" s="83"/>
      <c r="H44" s="83"/>
      <c r="I44" s="64" t="s">
        <v>242</v>
      </c>
      <c r="J44" s="64" t="s">
        <v>60</v>
      </c>
      <c r="K44" s="62">
        <v>1410</v>
      </c>
      <c r="L44" s="59">
        <v>2</v>
      </c>
      <c r="M44" s="62" t="s">
        <v>39</v>
      </c>
      <c r="N44" s="59">
        <v>3</v>
      </c>
      <c r="O44" s="38">
        <v>39000048</v>
      </c>
    </row>
    <row r="45" spans="3:32" ht="40.5" customHeight="1" x14ac:dyDescent="0.25">
      <c r="C45" s="17">
        <v>39</v>
      </c>
      <c r="D45" s="17" t="s">
        <v>167</v>
      </c>
      <c r="E45" s="83" t="s">
        <v>24</v>
      </c>
      <c r="F45" s="83"/>
      <c r="G45" s="83"/>
      <c r="H45" s="83"/>
      <c r="I45" s="64" t="s">
        <v>242</v>
      </c>
      <c r="J45" s="64" t="s">
        <v>18</v>
      </c>
      <c r="K45" s="62">
        <v>1355</v>
      </c>
      <c r="L45" s="59">
        <v>3.5</v>
      </c>
      <c r="M45" s="62" t="s">
        <v>61</v>
      </c>
      <c r="N45" s="59">
        <v>7</v>
      </c>
      <c r="O45" s="38" t="s">
        <v>62</v>
      </c>
    </row>
    <row r="46" spans="3:32" ht="40.5" customHeight="1" x14ac:dyDescent="0.25">
      <c r="C46" s="17">
        <v>40</v>
      </c>
      <c r="D46" s="17" t="s">
        <v>168</v>
      </c>
      <c r="E46" s="83" t="s">
        <v>24</v>
      </c>
      <c r="F46" s="83"/>
      <c r="G46" s="83"/>
      <c r="H46" s="83"/>
      <c r="I46" s="64" t="s">
        <v>242</v>
      </c>
      <c r="J46" s="64" t="s">
        <v>16</v>
      </c>
      <c r="K46" s="62">
        <v>1350</v>
      </c>
      <c r="L46" s="59">
        <v>3.5</v>
      </c>
      <c r="M46" s="62" t="s">
        <v>61</v>
      </c>
      <c r="N46" s="59">
        <v>7</v>
      </c>
      <c r="O46" s="38" t="s">
        <v>63</v>
      </c>
    </row>
    <row r="47" spans="3:32" ht="40.5" customHeight="1" x14ac:dyDescent="0.25">
      <c r="C47" s="17">
        <v>41</v>
      </c>
      <c r="D47" s="17" t="s">
        <v>169</v>
      </c>
      <c r="E47" s="83" t="s">
        <v>24</v>
      </c>
      <c r="F47" s="83"/>
      <c r="G47" s="83"/>
      <c r="H47" s="83"/>
      <c r="I47" s="64" t="s">
        <v>242</v>
      </c>
      <c r="J47" s="64" t="s">
        <v>19</v>
      </c>
      <c r="K47" s="62">
        <f>950+20</f>
        <v>970</v>
      </c>
      <c r="L47" s="59">
        <v>3.5</v>
      </c>
      <c r="M47" s="62" t="s">
        <v>61</v>
      </c>
      <c r="N47" s="59">
        <v>7</v>
      </c>
      <c r="O47" s="38" t="s">
        <v>53</v>
      </c>
    </row>
    <row r="48" spans="3:32" ht="40.5" customHeight="1" x14ac:dyDescent="0.25">
      <c r="C48" s="17">
        <v>42</v>
      </c>
      <c r="D48" s="17" t="s">
        <v>170</v>
      </c>
      <c r="E48" s="83" t="s">
        <v>34</v>
      </c>
      <c r="F48" s="83"/>
      <c r="G48" s="83"/>
      <c r="H48" s="83"/>
      <c r="I48" s="64" t="s">
        <v>235</v>
      </c>
      <c r="J48" s="64" t="s">
        <v>64</v>
      </c>
      <c r="K48" s="62">
        <f>1415+10</f>
        <v>1425</v>
      </c>
      <c r="L48" s="59">
        <v>3</v>
      </c>
      <c r="M48" s="62">
        <v>39000040</v>
      </c>
      <c r="N48" s="59">
        <v>7</v>
      </c>
      <c r="O48" s="38" t="s">
        <v>65</v>
      </c>
    </row>
    <row r="49" spans="3:15" ht="40.5" customHeight="1" x14ac:dyDescent="0.25">
      <c r="C49" s="17">
        <v>43</v>
      </c>
      <c r="D49" s="17" t="s">
        <v>171</v>
      </c>
      <c r="E49" s="83" t="s">
        <v>24</v>
      </c>
      <c r="F49" s="83"/>
      <c r="G49" s="83"/>
      <c r="H49" s="83"/>
      <c r="I49" s="64" t="s">
        <v>242</v>
      </c>
      <c r="J49" s="64" t="s">
        <v>16</v>
      </c>
      <c r="K49" s="62">
        <v>1070</v>
      </c>
      <c r="L49" s="59">
        <v>3</v>
      </c>
      <c r="M49" s="62">
        <v>39000048</v>
      </c>
      <c r="N49" s="59">
        <v>7</v>
      </c>
      <c r="O49" s="38" t="s">
        <v>66</v>
      </c>
    </row>
    <row r="50" spans="3:15" ht="40.5" customHeight="1" x14ac:dyDescent="0.25">
      <c r="C50" s="17">
        <v>44</v>
      </c>
      <c r="D50" s="17" t="s">
        <v>172</v>
      </c>
      <c r="E50" s="83" t="s">
        <v>24</v>
      </c>
      <c r="F50" s="83"/>
      <c r="G50" s="83"/>
      <c r="H50" s="83"/>
      <c r="I50" s="64" t="s">
        <v>242</v>
      </c>
      <c r="J50" s="64" t="s">
        <v>18</v>
      </c>
      <c r="K50" s="62">
        <v>1060</v>
      </c>
      <c r="L50" s="59">
        <v>3</v>
      </c>
      <c r="M50" s="62">
        <v>39000048</v>
      </c>
      <c r="N50" s="59">
        <v>7</v>
      </c>
      <c r="O50" s="38" t="s">
        <v>67</v>
      </c>
    </row>
    <row r="51" spans="3:15" ht="40.5" customHeight="1" x14ac:dyDescent="0.25">
      <c r="C51" s="17">
        <v>45</v>
      </c>
      <c r="D51" s="17" t="s">
        <v>173</v>
      </c>
      <c r="E51" s="83" t="s">
        <v>24</v>
      </c>
      <c r="F51" s="83"/>
      <c r="G51" s="83"/>
      <c r="H51" s="83"/>
      <c r="I51" s="64" t="s">
        <v>242</v>
      </c>
      <c r="J51" s="64" t="s">
        <v>19</v>
      </c>
      <c r="K51" s="62">
        <v>1130</v>
      </c>
      <c r="L51" s="59">
        <v>2</v>
      </c>
      <c r="M51" s="62" t="s">
        <v>36</v>
      </c>
      <c r="N51" s="59">
        <v>7</v>
      </c>
      <c r="O51" s="38" t="s">
        <v>266</v>
      </c>
    </row>
    <row r="52" spans="3:15" ht="40.5" customHeight="1" x14ac:dyDescent="0.25">
      <c r="C52" s="17">
        <v>46</v>
      </c>
      <c r="D52" s="17" t="s">
        <v>174</v>
      </c>
      <c r="E52" s="83" t="s">
        <v>24</v>
      </c>
      <c r="F52" s="83"/>
      <c r="G52" s="83"/>
      <c r="H52" s="83"/>
      <c r="I52" s="64" t="s">
        <v>242</v>
      </c>
      <c r="J52" s="64" t="s">
        <v>30</v>
      </c>
      <c r="K52" s="62">
        <v>2020</v>
      </c>
      <c r="L52" s="59">
        <v>2</v>
      </c>
      <c r="M52" s="62">
        <v>561349000</v>
      </c>
      <c r="N52" s="59">
        <v>3.5</v>
      </c>
      <c r="O52" s="38" t="s">
        <v>25</v>
      </c>
    </row>
    <row r="53" spans="3:15" ht="40.5" customHeight="1" x14ac:dyDescent="0.25">
      <c r="C53" s="17">
        <v>47</v>
      </c>
      <c r="D53" s="17" t="s">
        <v>175</v>
      </c>
      <c r="E53" s="83" t="s">
        <v>24</v>
      </c>
      <c r="F53" s="83"/>
      <c r="G53" s="83"/>
      <c r="H53" s="83"/>
      <c r="I53" s="64" t="s">
        <v>242</v>
      </c>
      <c r="J53" s="64" t="s">
        <v>17</v>
      </c>
      <c r="K53" s="62">
        <v>1020</v>
      </c>
      <c r="L53" s="59">
        <v>3</v>
      </c>
      <c r="M53" s="62">
        <v>39000048</v>
      </c>
      <c r="N53" s="59">
        <v>2</v>
      </c>
      <c r="O53" s="70">
        <v>561349000</v>
      </c>
    </row>
    <row r="54" spans="3:15" ht="40.5" customHeight="1" x14ac:dyDescent="0.25">
      <c r="C54" s="17">
        <v>48</v>
      </c>
      <c r="D54" s="17" t="s">
        <v>176</v>
      </c>
      <c r="E54" s="83" t="s">
        <v>24</v>
      </c>
      <c r="F54" s="83"/>
      <c r="G54" s="83"/>
      <c r="H54" s="83"/>
      <c r="I54" s="64" t="s">
        <v>242</v>
      </c>
      <c r="J54" s="64" t="s">
        <v>33</v>
      </c>
      <c r="K54" s="62">
        <v>1020</v>
      </c>
      <c r="L54" s="59">
        <v>3</v>
      </c>
      <c r="M54" s="62">
        <v>39000048</v>
      </c>
      <c r="N54" s="59">
        <v>2</v>
      </c>
      <c r="O54" s="70">
        <v>561349000</v>
      </c>
    </row>
    <row r="55" spans="3:15" ht="40.5" customHeight="1" x14ac:dyDescent="0.25">
      <c r="C55" s="17">
        <v>49</v>
      </c>
      <c r="D55" s="17" t="s">
        <v>177</v>
      </c>
      <c r="E55" s="83" t="s">
        <v>24</v>
      </c>
      <c r="F55" s="83"/>
      <c r="G55" s="83"/>
      <c r="H55" s="83"/>
      <c r="I55" s="64" t="s">
        <v>242</v>
      </c>
      <c r="J55" s="64" t="s">
        <v>68</v>
      </c>
      <c r="K55" s="62">
        <v>1610</v>
      </c>
      <c r="L55" s="59">
        <v>3</v>
      </c>
      <c r="M55" s="62">
        <v>39000048</v>
      </c>
      <c r="N55" s="59">
        <v>2</v>
      </c>
      <c r="O55" s="70">
        <v>561349000</v>
      </c>
    </row>
    <row r="56" spans="3:15" ht="40.5" customHeight="1" x14ac:dyDescent="0.25">
      <c r="C56" s="17">
        <v>50</v>
      </c>
      <c r="D56" s="17" t="s">
        <v>178</v>
      </c>
      <c r="E56" s="83" t="s">
        <v>24</v>
      </c>
      <c r="F56" s="83"/>
      <c r="G56" s="83"/>
      <c r="H56" s="83"/>
      <c r="I56" s="64" t="s">
        <v>242</v>
      </c>
      <c r="J56" s="64" t="s">
        <v>26</v>
      </c>
      <c r="K56" s="62">
        <v>1610</v>
      </c>
      <c r="L56" s="59">
        <v>3</v>
      </c>
      <c r="M56" s="62">
        <v>39000048</v>
      </c>
      <c r="N56" s="59">
        <v>2</v>
      </c>
      <c r="O56" s="70">
        <v>561349000</v>
      </c>
    </row>
    <row r="57" spans="3:15" ht="40.5" customHeight="1" x14ac:dyDescent="0.25">
      <c r="C57" s="17">
        <v>51</v>
      </c>
      <c r="D57" s="17" t="s">
        <v>179</v>
      </c>
      <c r="E57" s="83" t="s">
        <v>24</v>
      </c>
      <c r="F57" s="83"/>
      <c r="G57" s="83"/>
      <c r="H57" s="83"/>
      <c r="I57" s="64" t="s">
        <v>242</v>
      </c>
      <c r="J57" s="64" t="s">
        <v>69</v>
      </c>
      <c r="K57" s="62">
        <v>960</v>
      </c>
      <c r="L57" s="59">
        <v>5</v>
      </c>
      <c r="M57" s="62" t="s">
        <v>50</v>
      </c>
      <c r="N57" s="59">
        <v>2</v>
      </c>
      <c r="O57" s="70">
        <v>561349000</v>
      </c>
    </row>
    <row r="58" spans="3:15" ht="40.5" customHeight="1" x14ac:dyDescent="0.25">
      <c r="C58" s="17">
        <v>52</v>
      </c>
      <c r="D58" s="17" t="s">
        <v>180</v>
      </c>
      <c r="E58" s="83" t="s">
        <v>24</v>
      </c>
      <c r="F58" s="83"/>
      <c r="G58" s="83"/>
      <c r="H58" s="83"/>
      <c r="I58" s="64" t="s">
        <v>242</v>
      </c>
      <c r="J58" s="64" t="s">
        <v>57</v>
      </c>
      <c r="K58" s="62">
        <v>960</v>
      </c>
      <c r="L58" s="59">
        <v>5</v>
      </c>
      <c r="M58" s="62" t="s">
        <v>50</v>
      </c>
      <c r="N58" s="59">
        <v>2</v>
      </c>
      <c r="O58" s="70">
        <v>561349000</v>
      </c>
    </row>
    <row r="59" spans="3:15" ht="40.5" customHeight="1" x14ac:dyDescent="0.25">
      <c r="C59" s="17">
        <v>53</v>
      </c>
      <c r="D59" s="17" t="s">
        <v>181</v>
      </c>
      <c r="E59" s="83" t="s">
        <v>24</v>
      </c>
      <c r="F59" s="83"/>
      <c r="G59" s="83"/>
      <c r="H59" s="83"/>
      <c r="I59" s="64" t="s">
        <v>242</v>
      </c>
      <c r="J59" s="64" t="s">
        <v>18</v>
      </c>
      <c r="K59" s="62">
        <f>1320+5</f>
        <v>1325</v>
      </c>
      <c r="L59" s="59">
        <v>3</v>
      </c>
      <c r="M59" s="62">
        <v>39000048</v>
      </c>
      <c r="N59" s="59">
        <v>2</v>
      </c>
      <c r="O59" s="70">
        <v>561349000</v>
      </c>
    </row>
    <row r="60" spans="3:15" ht="40.5" customHeight="1" x14ac:dyDescent="0.25">
      <c r="C60" s="17">
        <v>54</v>
      </c>
      <c r="D60" s="17" t="s">
        <v>182</v>
      </c>
      <c r="E60" s="83" t="s">
        <v>24</v>
      </c>
      <c r="F60" s="83"/>
      <c r="G60" s="83"/>
      <c r="H60" s="83"/>
      <c r="I60" s="64" t="s">
        <v>242</v>
      </c>
      <c r="J60" s="64" t="s">
        <v>29</v>
      </c>
      <c r="K60" s="62">
        <f>1320+5</f>
        <v>1325</v>
      </c>
      <c r="L60" s="59">
        <v>2</v>
      </c>
      <c r="M60" s="62">
        <v>561349000</v>
      </c>
      <c r="N60" s="59">
        <v>3</v>
      </c>
      <c r="O60" s="38">
        <v>39000048</v>
      </c>
    </row>
    <row r="61" spans="3:15" ht="40.5" customHeight="1" x14ac:dyDescent="0.25">
      <c r="C61" s="17">
        <v>55</v>
      </c>
      <c r="D61" s="17" t="s">
        <v>183</v>
      </c>
      <c r="E61" s="83" t="s">
        <v>24</v>
      </c>
      <c r="F61" s="83"/>
      <c r="G61" s="83"/>
      <c r="H61" s="83"/>
      <c r="I61" s="64" t="s">
        <v>242</v>
      </c>
      <c r="J61" s="64" t="s">
        <v>29</v>
      </c>
      <c r="K61" s="62">
        <v>520</v>
      </c>
      <c r="L61" s="59">
        <v>2</v>
      </c>
      <c r="M61" s="62" t="s">
        <v>36</v>
      </c>
      <c r="N61" s="59">
        <v>7</v>
      </c>
      <c r="O61" s="38" t="s">
        <v>70</v>
      </c>
    </row>
    <row r="62" spans="3:15" ht="40.5" customHeight="1" x14ac:dyDescent="0.25">
      <c r="C62" s="17">
        <v>56</v>
      </c>
      <c r="D62" s="17" t="s">
        <v>184</v>
      </c>
      <c r="E62" s="83" t="s">
        <v>24</v>
      </c>
      <c r="F62" s="83"/>
      <c r="G62" s="83"/>
      <c r="H62" s="83"/>
      <c r="I62" s="64" t="s">
        <v>242</v>
      </c>
      <c r="J62" s="64" t="s">
        <v>16</v>
      </c>
      <c r="K62" s="62">
        <f>1550+5</f>
        <v>1555</v>
      </c>
      <c r="L62" s="59">
        <v>2</v>
      </c>
      <c r="M62" s="62">
        <v>561349000</v>
      </c>
      <c r="N62" s="59">
        <v>3</v>
      </c>
      <c r="O62" s="38">
        <v>39000048</v>
      </c>
    </row>
    <row r="63" spans="3:15" ht="40.5" customHeight="1" x14ac:dyDescent="0.25">
      <c r="C63" s="17">
        <v>57</v>
      </c>
      <c r="D63" s="17" t="s">
        <v>185</v>
      </c>
      <c r="E63" s="83" t="s">
        <v>24</v>
      </c>
      <c r="F63" s="83"/>
      <c r="G63" s="83"/>
      <c r="H63" s="83"/>
      <c r="I63" s="64" t="s">
        <v>242</v>
      </c>
      <c r="J63" s="64" t="s">
        <v>19</v>
      </c>
      <c r="K63" s="62">
        <f>1550+5</f>
        <v>1555</v>
      </c>
      <c r="L63" s="59">
        <v>2</v>
      </c>
      <c r="M63" s="62">
        <v>561349000</v>
      </c>
      <c r="N63" s="59">
        <v>3</v>
      </c>
      <c r="O63" s="38">
        <v>39000048</v>
      </c>
    </row>
    <row r="64" spans="3:15" ht="40.5" customHeight="1" x14ac:dyDescent="0.25">
      <c r="C64" s="17">
        <v>58</v>
      </c>
      <c r="D64" s="17" t="s">
        <v>219</v>
      </c>
      <c r="E64" s="83" t="s">
        <v>24</v>
      </c>
      <c r="F64" s="83"/>
      <c r="G64" s="83"/>
      <c r="H64" s="83"/>
      <c r="I64" s="64" t="s">
        <v>242</v>
      </c>
      <c r="J64" s="64" t="s">
        <v>30</v>
      </c>
      <c r="K64" s="62">
        <f>1320+10</f>
        <v>1330</v>
      </c>
      <c r="L64" s="59">
        <v>2</v>
      </c>
      <c r="M64" s="62">
        <v>561349000</v>
      </c>
      <c r="N64" s="59">
        <v>3</v>
      </c>
      <c r="O64" s="38">
        <v>39000048</v>
      </c>
    </row>
    <row r="65" spans="3:15" ht="40.5" customHeight="1" x14ac:dyDescent="0.25">
      <c r="C65" s="17">
        <v>59</v>
      </c>
      <c r="D65" s="17" t="s">
        <v>186</v>
      </c>
      <c r="E65" s="83" t="s">
        <v>24</v>
      </c>
      <c r="F65" s="83"/>
      <c r="G65" s="83"/>
      <c r="H65" s="83"/>
      <c r="I65" s="64" t="s">
        <v>242</v>
      </c>
      <c r="J65" s="64" t="s">
        <v>71</v>
      </c>
      <c r="K65" s="62">
        <v>920</v>
      </c>
      <c r="L65" s="59">
        <v>2</v>
      </c>
      <c r="M65" s="62">
        <v>561349000</v>
      </c>
      <c r="N65" s="59">
        <v>5</v>
      </c>
      <c r="O65" s="38" t="s">
        <v>73</v>
      </c>
    </row>
    <row r="66" spans="3:15" ht="40.5" customHeight="1" x14ac:dyDescent="0.25">
      <c r="C66" s="17">
        <v>60</v>
      </c>
      <c r="D66" s="17" t="s">
        <v>187</v>
      </c>
      <c r="E66" s="83" t="s">
        <v>24</v>
      </c>
      <c r="F66" s="83"/>
      <c r="G66" s="83"/>
      <c r="H66" s="83"/>
      <c r="I66" s="64" t="s">
        <v>242</v>
      </c>
      <c r="J66" s="64" t="s">
        <v>72</v>
      </c>
      <c r="K66" s="62">
        <f>920-15</f>
        <v>905</v>
      </c>
      <c r="L66" s="59">
        <v>2</v>
      </c>
      <c r="M66" s="62">
        <v>561349000</v>
      </c>
      <c r="N66" s="59">
        <v>5</v>
      </c>
      <c r="O66" s="38" t="s">
        <v>50</v>
      </c>
    </row>
    <row r="67" spans="3:15" ht="40.5" customHeight="1" x14ac:dyDescent="0.25">
      <c r="C67" s="17">
        <v>61</v>
      </c>
      <c r="D67" s="17" t="s">
        <v>188</v>
      </c>
      <c r="E67" s="83" t="s">
        <v>24</v>
      </c>
      <c r="F67" s="83"/>
      <c r="G67" s="83"/>
      <c r="H67" s="83"/>
      <c r="I67" s="64" t="s">
        <v>242</v>
      </c>
      <c r="J67" s="64" t="s">
        <v>74</v>
      </c>
      <c r="K67" s="62">
        <v>1830</v>
      </c>
      <c r="L67" s="59">
        <v>3</v>
      </c>
      <c r="M67" s="62">
        <v>39000048</v>
      </c>
      <c r="N67" s="59">
        <v>2</v>
      </c>
      <c r="O67" s="70">
        <v>561349000</v>
      </c>
    </row>
    <row r="68" spans="3:15" ht="40.5" customHeight="1" x14ac:dyDescent="0.25">
      <c r="C68" s="17">
        <v>62</v>
      </c>
      <c r="D68" s="17" t="s">
        <v>189</v>
      </c>
      <c r="E68" s="83" t="s">
        <v>24</v>
      </c>
      <c r="F68" s="83"/>
      <c r="G68" s="83"/>
      <c r="H68" s="83"/>
      <c r="I68" s="64" t="s">
        <v>242</v>
      </c>
      <c r="J68" s="64" t="s">
        <v>27</v>
      </c>
      <c r="K68" s="62">
        <v>1830</v>
      </c>
      <c r="L68" s="59">
        <v>3</v>
      </c>
      <c r="M68" s="62">
        <v>39000048</v>
      </c>
      <c r="N68" s="59">
        <v>2</v>
      </c>
      <c r="O68" s="70">
        <v>561349000</v>
      </c>
    </row>
    <row r="69" spans="3:15" ht="40.5" customHeight="1" x14ac:dyDescent="0.25">
      <c r="C69" s="17">
        <v>63</v>
      </c>
      <c r="D69" s="17" t="s">
        <v>190</v>
      </c>
      <c r="E69" s="83" t="s">
        <v>24</v>
      </c>
      <c r="F69" s="83"/>
      <c r="G69" s="83"/>
      <c r="H69" s="83"/>
      <c r="I69" s="64" t="s">
        <v>242</v>
      </c>
      <c r="J69" s="64" t="s">
        <v>75</v>
      </c>
      <c r="K69" s="73">
        <f>2410+10</f>
        <v>2420</v>
      </c>
      <c r="L69" s="59">
        <v>3</v>
      </c>
      <c r="M69" s="62">
        <v>39000048</v>
      </c>
      <c r="N69" s="59">
        <v>2</v>
      </c>
      <c r="O69" s="70">
        <v>561349000</v>
      </c>
    </row>
    <row r="70" spans="3:15" ht="40.5" customHeight="1" x14ac:dyDescent="0.25">
      <c r="C70" s="17">
        <v>64</v>
      </c>
      <c r="D70" s="17" t="s">
        <v>191</v>
      </c>
      <c r="E70" s="83" t="s">
        <v>24</v>
      </c>
      <c r="F70" s="83"/>
      <c r="G70" s="83"/>
      <c r="H70" s="83"/>
      <c r="I70" s="64" t="s">
        <v>242</v>
      </c>
      <c r="J70" s="64" t="s">
        <v>76</v>
      </c>
      <c r="K70" s="62">
        <v>2410</v>
      </c>
      <c r="L70" s="59">
        <v>3</v>
      </c>
      <c r="M70" s="62">
        <v>39000048</v>
      </c>
      <c r="N70" s="59">
        <v>2</v>
      </c>
      <c r="O70" s="70">
        <v>561349000</v>
      </c>
    </row>
    <row r="71" spans="3:15" ht="40.5" customHeight="1" x14ac:dyDescent="0.25">
      <c r="C71" s="17">
        <v>65</v>
      </c>
      <c r="D71" s="17" t="s">
        <v>192</v>
      </c>
      <c r="E71" s="83" t="s">
        <v>24</v>
      </c>
      <c r="F71" s="83"/>
      <c r="G71" s="83"/>
      <c r="H71" s="83"/>
      <c r="I71" s="64" t="s">
        <v>242</v>
      </c>
      <c r="J71" s="64" t="s">
        <v>16</v>
      </c>
      <c r="K71" s="62">
        <v>960</v>
      </c>
      <c r="L71" s="59">
        <v>2</v>
      </c>
      <c r="M71" s="62" t="s">
        <v>36</v>
      </c>
      <c r="N71" s="59">
        <v>3.5</v>
      </c>
      <c r="O71" s="38" t="s">
        <v>77</v>
      </c>
    </row>
    <row r="72" spans="3:15" ht="40.5" customHeight="1" x14ac:dyDescent="0.25">
      <c r="C72" s="17">
        <v>66</v>
      </c>
      <c r="D72" s="17" t="s">
        <v>193</v>
      </c>
      <c r="E72" s="83" t="s">
        <v>24</v>
      </c>
      <c r="F72" s="83"/>
      <c r="G72" s="83"/>
      <c r="H72" s="83"/>
      <c r="I72" s="64" t="s">
        <v>242</v>
      </c>
      <c r="J72" s="64" t="s">
        <v>33</v>
      </c>
      <c r="K72" s="62">
        <v>960</v>
      </c>
      <c r="L72" s="59">
        <v>2</v>
      </c>
      <c r="M72" s="62" t="s">
        <v>36</v>
      </c>
      <c r="N72" s="59">
        <v>3.5</v>
      </c>
      <c r="O72" s="38" t="s">
        <v>77</v>
      </c>
    </row>
    <row r="73" spans="3:15" ht="40.5" customHeight="1" x14ac:dyDescent="0.25">
      <c r="C73" s="17">
        <v>67</v>
      </c>
      <c r="D73" s="17" t="s">
        <v>194</v>
      </c>
      <c r="E73" s="83" t="s">
        <v>24</v>
      </c>
      <c r="F73" s="83"/>
      <c r="G73" s="83"/>
      <c r="H73" s="83"/>
      <c r="I73" s="64" t="s">
        <v>242</v>
      </c>
      <c r="J73" s="64" t="s">
        <v>78</v>
      </c>
      <c r="K73" s="62">
        <v>960</v>
      </c>
      <c r="L73" s="59">
        <v>2</v>
      </c>
      <c r="M73" s="62" t="s">
        <v>36</v>
      </c>
      <c r="N73" s="59">
        <v>3.5</v>
      </c>
      <c r="O73" s="38" t="s">
        <v>77</v>
      </c>
    </row>
    <row r="74" spans="3:15" ht="40.5" customHeight="1" x14ac:dyDescent="0.25">
      <c r="C74" s="17">
        <v>68</v>
      </c>
      <c r="D74" s="17" t="s">
        <v>195</v>
      </c>
      <c r="E74" s="83" t="s">
        <v>24</v>
      </c>
      <c r="F74" s="83"/>
      <c r="G74" s="83"/>
      <c r="H74" s="83"/>
      <c r="I74" s="64" t="s">
        <v>242</v>
      </c>
      <c r="J74" s="64" t="s">
        <v>26</v>
      </c>
      <c r="K74" s="62">
        <v>960</v>
      </c>
      <c r="L74" s="59">
        <v>2</v>
      </c>
      <c r="M74" s="62" t="s">
        <v>36</v>
      </c>
      <c r="N74" s="59">
        <v>3.5</v>
      </c>
      <c r="O74" s="38" t="s">
        <v>77</v>
      </c>
    </row>
    <row r="75" spans="3:15" ht="40.5" customHeight="1" x14ac:dyDescent="0.25">
      <c r="C75" s="17">
        <v>69</v>
      </c>
      <c r="D75" s="17" t="s">
        <v>196</v>
      </c>
      <c r="E75" s="83" t="s">
        <v>24</v>
      </c>
      <c r="F75" s="83"/>
      <c r="G75" s="83"/>
      <c r="H75" s="83"/>
      <c r="I75" s="64" t="s">
        <v>242</v>
      </c>
      <c r="J75" s="64" t="s">
        <v>71</v>
      </c>
      <c r="K75" s="72">
        <v>1520</v>
      </c>
      <c r="L75" s="59">
        <v>2</v>
      </c>
      <c r="M75" s="62" t="s">
        <v>36</v>
      </c>
      <c r="N75" s="59">
        <v>3.5</v>
      </c>
      <c r="O75" s="38" t="s">
        <v>77</v>
      </c>
    </row>
    <row r="76" spans="3:15" ht="40.5" customHeight="1" x14ac:dyDescent="0.25">
      <c r="C76" s="17">
        <v>70</v>
      </c>
      <c r="D76" s="17" t="s">
        <v>197</v>
      </c>
      <c r="E76" s="83" t="s">
        <v>24</v>
      </c>
      <c r="F76" s="83"/>
      <c r="G76" s="83"/>
      <c r="H76" s="83"/>
      <c r="I76" s="64" t="s">
        <v>242</v>
      </c>
      <c r="J76" s="64" t="s">
        <v>79</v>
      </c>
      <c r="K76" s="72">
        <v>1525</v>
      </c>
      <c r="L76" s="59">
        <v>2</v>
      </c>
      <c r="M76" s="62" t="s">
        <v>36</v>
      </c>
      <c r="N76" s="59">
        <v>3.5</v>
      </c>
      <c r="O76" s="38" t="s">
        <v>77</v>
      </c>
    </row>
    <row r="77" spans="3:15" ht="40.5" customHeight="1" x14ac:dyDescent="0.25">
      <c r="C77" s="17">
        <v>71</v>
      </c>
      <c r="D77" s="17" t="s">
        <v>198</v>
      </c>
      <c r="E77" s="83" t="s">
        <v>24</v>
      </c>
      <c r="F77" s="83"/>
      <c r="G77" s="83"/>
      <c r="H77" s="83"/>
      <c r="I77" s="64" t="s">
        <v>242</v>
      </c>
      <c r="J77" s="64" t="s">
        <v>80</v>
      </c>
      <c r="K77" s="72">
        <v>1525</v>
      </c>
      <c r="L77" s="59">
        <v>2</v>
      </c>
      <c r="M77" s="62" t="s">
        <v>36</v>
      </c>
      <c r="N77" s="59">
        <v>3.5</v>
      </c>
      <c r="O77" s="38" t="s">
        <v>77</v>
      </c>
    </row>
    <row r="78" spans="3:15" ht="40.5" customHeight="1" x14ac:dyDescent="0.25">
      <c r="C78" s="17">
        <v>72</v>
      </c>
      <c r="D78" s="17" t="s">
        <v>199</v>
      </c>
      <c r="E78" s="83" t="s">
        <v>24</v>
      </c>
      <c r="F78" s="83"/>
      <c r="G78" s="83"/>
      <c r="H78" s="83"/>
      <c r="I78" s="64" t="s">
        <v>242</v>
      </c>
      <c r="J78" s="64" t="s">
        <v>43</v>
      </c>
      <c r="K78" s="72">
        <v>1525</v>
      </c>
      <c r="L78" s="59">
        <v>2</v>
      </c>
      <c r="M78" s="62" t="s">
        <v>36</v>
      </c>
      <c r="N78" s="59">
        <v>3.5</v>
      </c>
      <c r="O78" s="38" t="s">
        <v>77</v>
      </c>
    </row>
    <row r="79" spans="3:15" ht="40.5" customHeight="1" x14ac:dyDescent="0.25">
      <c r="C79" s="17">
        <v>73</v>
      </c>
      <c r="D79" s="17" t="s">
        <v>200</v>
      </c>
      <c r="E79" s="83" t="s">
        <v>24</v>
      </c>
      <c r="F79" s="83"/>
      <c r="G79" s="83"/>
      <c r="H79" s="83"/>
      <c r="I79" s="64" t="s">
        <v>242</v>
      </c>
      <c r="J79" s="64" t="s">
        <v>30</v>
      </c>
      <c r="K79" s="72">
        <v>1665</v>
      </c>
      <c r="L79" s="59">
        <v>3.5</v>
      </c>
      <c r="M79" s="38" t="s">
        <v>77</v>
      </c>
      <c r="N79" s="59">
        <v>2</v>
      </c>
      <c r="O79" s="38">
        <v>561349000</v>
      </c>
    </row>
    <row r="80" spans="3:15" ht="40.5" customHeight="1" x14ac:dyDescent="0.25">
      <c r="C80" s="17">
        <v>74</v>
      </c>
      <c r="D80" s="17" t="s">
        <v>201</v>
      </c>
      <c r="E80" s="83" t="s">
        <v>24</v>
      </c>
      <c r="F80" s="83"/>
      <c r="G80" s="83"/>
      <c r="H80" s="83"/>
      <c r="I80" s="64" t="s">
        <v>242</v>
      </c>
      <c r="J80" s="64" t="s">
        <v>48</v>
      </c>
      <c r="K80" s="72">
        <v>1665</v>
      </c>
      <c r="L80" s="59">
        <v>3.5</v>
      </c>
      <c r="M80" s="38" t="s">
        <v>77</v>
      </c>
      <c r="N80" s="59">
        <v>2</v>
      </c>
      <c r="O80" s="38">
        <v>561349000</v>
      </c>
    </row>
    <row r="81" spans="3:15" ht="40.5" customHeight="1" x14ac:dyDescent="0.25">
      <c r="C81" s="17">
        <v>75</v>
      </c>
      <c r="D81" s="17" t="s">
        <v>202</v>
      </c>
      <c r="E81" s="83" t="s">
        <v>24</v>
      </c>
      <c r="F81" s="83"/>
      <c r="G81" s="83"/>
      <c r="H81" s="83"/>
      <c r="I81" s="64" t="s">
        <v>242</v>
      </c>
      <c r="J81" s="64" t="s">
        <v>33</v>
      </c>
      <c r="K81" s="72">
        <v>1665</v>
      </c>
      <c r="L81" s="59">
        <v>3.5</v>
      </c>
      <c r="M81" s="38" t="s">
        <v>77</v>
      </c>
      <c r="N81" s="59">
        <v>2</v>
      </c>
      <c r="O81" s="38">
        <v>561349000</v>
      </c>
    </row>
    <row r="82" spans="3:15" ht="40.5" customHeight="1" x14ac:dyDescent="0.25">
      <c r="C82" s="17">
        <v>76</v>
      </c>
      <c r="D82" s="17" t="s">
        <v>203</v>
      </c>
      <c r="E82" s="83" t="s">
        <v>24</v>
      </c>
      <c r="F82" s="83"/>
      <c r="G82" s="83"/>
      <c r="H82" s="83"/>
      <c r="I82" s="64" t="s">
        <v>242</v>
      </c>
      <c r="J82" s="64" t="s">
        <v>19</v>
      </c>
      <c r="K82" s="62">
        <v>1100</v>
      </c>
      <c r="L82" s="59">
        <v>3.5</v>
      </c>
      <c r="M82" s="38" t="s">
        <v>77</v>
      </c>
      <c r="N82" s="59">
        <v>2</v>
      </c>
      <c r="O82" s="38">
        <v>561349000</v>
      </c>
    </row>
    <row r="83" spans="3:15" ht="40.5" customHeight="1" x14ac:dyDescent="0.25">
      <c r="C83" s="17">
        <v>77</v>
      </c>
      <c r="D83" s="17" t="s">
        <v>204</v>
      </c>
      <c r="E83" s="83" t="s">
        <v>24</v>
      </c>
      <c r="F83" s="83"/>
      <c r="G83" s="83"/>
      <c r="H83" s="83"/>
      <c r="I83" s="64" t="s">
        <v>242</v>
      </c>
      <c r="J83" s="64" t="s">
        <v>81</v>
      </c>
      <c r="K83" s="62">
        <v>1100</v>
      </c>
      <c r="L83" s="59">
        <v>3.5</v>
      </c>
      <c r="M83" s="38" t="s">
        <v>77</v>
      </c>
      <c r="N83" s="59">
        <v>2</v>
      </c>
      <c r="O83" s="38">
        <v>561349000</v>
      </c>
    </row>
    <row r="84" spans="3:15" ht="40.5" customHeight="1" x14ac:dyDescent="0.25">
      <c r="C84" s="17">
        <v>78</v>
      </c>
      <c r="D84" s="17" t="s">
        <v>205</v>
      </c>
      <c r="E84" s="83" t="s">
        <v>24</v>
      </c>
      <c r="F84" s="83"/>
      <c r="G84" s="83"/>
      <c r="H84" s="83"/>
      <c r="I84" s="64" t="s">
        <v>242</v>
      </c>
      <c r="J84" s="64" t="s">
        <v>82</v>
      </c>
      <c r="K84" s="62">
        <v>1100</v>
      </c>
      <c r="L84" s="59">
        <v>3.5</v>
      </c>
      <c r="M84" s="38" t="s">
        <v>77</v>
      </c>
      <c r="N84" s="59">
        <v>2</v>
      </c>
      <c r="O84" s="38">
        <v>561349000</v>
      </c>
    </row>
    <row r="85" spans="3:15" ht="40.5" customHeight="1" x14ac:dyDescent="0.25">
      <c r="C85" s="17">
        <v>79</v>
      </c>
      <c r="D85" s="17" t="s">
        <v>206</v>
      </c>
      <c r="E85" s="83" t="s">
        <v>24</v>
      </c>
      <c r="F85" s="83"/>
      <c r="G85" s="83"/>
      <c r="H85" s="83"/>
      <c r="I85" s="64" t="s">
        <v>242</v>
      </c>
      <c r="J85" s="64" t="s">
        <v>75</v>
      </c>
      <c r="K85" s="62">
        <v>300</v>
      </c>
      <c r="L85" s="59">
        <v>2</v>
      </c>
      <c r="M85" s="62" t="s">
        <v>36</v>
      </c>
      <c r="N85" s="59">
        <v>7</v>
      </c>
      <c r="O85" s="38" t="s">
        <v>84</v>
      </c>
    </row>
    <row r="86" spans="3:15" ht="40.5" customHeight="1" x14ac:dyDescent="0.25">
      <c r="C86" s="17">
        <v>80</v>
      </c>
      <c r="D86" s="17" t="s">
        <v>207</v>
      </c>
      <c r="E86" s="83" t="s">
        <v>24</v>
      </c>
      <c r="F86" s="83"/>
      <c r="G86" s="83"/>
      <c r="H86" s="83"/>
      <c r="I86" s="64" t="s">
        <v>242</v>
      </c>
      <c r="J86" s="64" t="s">
        <v>75</v>
      </c>
      <c r="K86" s="62">
        <v>605</v>
      </c>
      <c r="L86" s="59">
        <v>3.5</v>
      </c>
      <c r="M86" s="38" t="s">
        <v>77</v>
      </c>
      <c r="N86" s="59">
        <v>7</v>
      </c>
      <c r="O86" s="38" t="s">
        <v>83</v>
      </c>
    </row>
    <row r="87" spans="3:15" ht="40.5" customHeight="1" x14ac:dyDescent="0.25">
      <c r="C87" s="17">
        <v>81</v>
      </c>
      <c r="D87" s="17" t="s">
        <v>208</v>
      </c>
      <c r="E87" s="83" t="s">
        <v>24</v>
      </c>
      <c r="F87" s="83"/>
      <c r="G87" s="83"/>
      <c r="H87" s="83"/>
      <c r="I87" s="64" t="s">
        <v>242</v>
      </c>
      <c r="J87" s="64" t="s">
        <v>75</v>
      </c>
      <c r="K87" s="72">
        <v>1150</v>
      </c>
      <c r="L87" s="59">
        <v>3.5</v>
      </c>
      <c r="M87" s="38" t="s">
        <v>77</v>
      </c>
      <c r="N87" s="59">
        <v>7</v>
      </c>
      <c r="O87" s="38" t="s">
        <v>83</v>
      </c>
    </row>
    <row r="88" spans="3:15" ht="40.5" customHeight="1" x14ac:dyDescent="0.25">
      <c r="C88" s="17">
        <v>82</v>
      </c>
      <c r="D88" s="17" t="s">
        <v>209</v>
      </c>
      <c r="E88" s="83" t="s">
        <v>24</v>
      </c>
      <c r="F88" s="83"/>
      <c r="G88" s="83"/>
      <c r="H88" s="83"/>
      <c r="I88" s="64" t="s">
        <v>242</v>
      </c>
      <c r="J88" s="64" t="s">
        <v>48</v>
      </c>
      <c r="K88" s="62">
        <v>1610</v>
      </c>
      <c r="L88" s="59">
        <v>2</v>
      </c>
      <c r="M88" s="62" t="s">
        <v>36</v>
      </c>
      <c r="N88" s="59">
        <v>7</v>
      </c>
      <c r="O88" s="38" t="s">
        <v>85</v>
      </c>
    </row>
    <row r="89" spans="3:15" ht="40.5" customHeight="1" x14ac:dyDescent="0.25">
      <c r="C89" s="17">
        <v>83</v>
      </c>
      <c r="D89" s="17" t="s">
        <v>210</v>
      </c>
      <c r="E89" s="83" t="s">
        <v>24</v>
      </c>
      <c r="F89" s="83"/>
      <c r="G89" s="83"/>
      <c r="H89" s="83"/>
      <c r="I89" s="64" t="s">
        <v>242</v>
      </c>
      <c r="J89" s="64" t="s">
        <v>15</v>
      </c>
      <c r="K89" s="62">
        <v>650</v>
      </c>
      <c r="L89" s="59">
        <v>3</v>
      </c>
      <c r="M89" s="62">
        <v>39000048</v>
      </c>
      <c r="N89" s="59">
        <v>7</v>
      </c>
      <c r="O89" s="38" t="s">
        <v>86</v>
      </c>
    </row>
    <row r="90" spans="3:15" ht="59.25" customHeight="1" x14ac:dyDescent="0.25">
      <c r="C90" s="17">
        <v>84</v>
      </c>
      <c r="D90" s="17" t="s">
        <v>211</v>
      </c>
      <c r="E90" s="83" t="s">
        <v>24</v>
      </c>
      <c r="F90" s="83"/>
      <c r="G90" s="83"/>
      <c r="H90" s="83"/>
      <c r="I90" s="64" t="s">
        <v>242</v>
      </c>
      <c r="J90" s="64" t="s">
        <v>15</v>
      </c>
      <c r="K90" s="62">
        <v>610</v>
      </c>
      <c r="L90" s="59">
        <v>7</v>
      </c>
      <c r="M90" s="38" t="s">
        <v>87</v>
      </c>
      <c r="N90" s="59">
        <v>7</v>
      </c>
      <c r="O90" s="38" t="s">
        <v>244</v>
      </c>
    </row>
    <row r="91" spans="3:15" ht="49.5" customHeight="1" x14ac:dyDescent="0.25">
      <c r="C91" s="17">
        <v>85</v>
      </c>
      <c r="D91" s="17" t="s">
        <v>212</v>
      </c>
      <c r="E91" s="83" t="s">
        <v>24</v>
      </c>
      <c r="F91" s="83"/>
      <c r="G91" s="83"/>
      <c r="H91" s="83"/>
      <c r="I91" s="64" t="s">
        <v>242</v>
      </c>
      <c r="J91" s="64" t="s">
        <v>48</v>
      </c>
      <c r="K91" s="62">
        <v>610</v>
      </c>
      <c r="L91" s="59">
        <v>7</v>
      </c>
      <c r="M91" s="38" t="s">
        <v>88</v>
      </c>
      <c r="N91" s="59">
        <v>7</v>
      </c>
      <c r="O91" s="38" t="s">
        <v>245</v>
      </c>
    </row>
    <row r="92" spans="3:15" ht="40.5" customHeight="1" x14ac:dyDescent="0.25">
      <c r="C92" s="17">
        <v>86</v>
      </c>
      <c r="D92" s="17" t="s">
        <v>213</v>
      </c>
      <c r="E92" s="83" t="s">
        <v>24</v>
      </c>
      <c r="F92" s="83"/>
      <c r="G92" s="83"/>
      <c r="H92" s="83"/>
      <c r="I92" s="64" t="s">
        <v>242</v>
      </c>
      <c r="J92" s="64" t="s">
        <v>75</v>
      </c>
      <c r="K92" s="62">
        <v>930</v>
      </c>
      <c r="L92" s="59">
        <v>3.2</v>
      </c>
      <c r="M92" s="62" t="s">
        <v>25</v>
      </c>
      <c r="N92" s="59">
        <v>2</v>
      </c>
      <c r="O92" s="70" t="s">
        <v>36</v>
      </c>
    </row>
    <row r="93" spans="3:15" ht="40.5" customHeight="1" x14ac:dyDescent="0.25">
      <c r="C93" s="17">
        <v>87</v>
      </c>
      <c r="D93" s="17" t="s">
        <v>214</v>
      </c>
      <c r="E93" s="83" t="s">
        <v>24</v>
      </c>
      <c r="F93" s="83"/>
      <c r="G93" s="83"/>
      <c r="H93" s="83"/>
      <c r="I93" s="64" t="s">
        <v>242</v>
      </c>
      <c r="J93" s="64" t="s">
        <v>27</v>
      </c>
      <c r="K93" s="62">
        <v>930</v>
      </c>
      <c r="L93" s="59">
        <v>2</v>
      </c>
      <c r="M93" s="62" t="s">
        <v>36</v>
      </c>
      <c r="N93" s="59">
        <v>3.2</v>
      </c>
      <c r="O93" s="70" t="s">
        <v>25</v>
      </c>
    </row>
    <row r="94" spans="3:15" ht="40.5" customHeight="1" x14ac:dyDescent="0.25">
      <c r="C94" s="17">
        <v>88</v>
      </c>
      <c r="D94" s="17" t="s">
        <v>215</v>
      </c>
      <c r="E94" s="83" t="s">
        <v>24</v>
      </c>
      <c r="F94" s="83"/>
      <c r="G94" s="83"/>
      <c r="H94" s="83"/>
      <c r="I94" s="64" t="s">
        <v>242</v>
      </c>
      <c r="J94" s="64" t="s">
        <v>19</v>
      </c>
      <c r="K94" s="62">
        <v>500</v>
      </c>
      <c r="L94" s="59">
        <v>3</v>
      </c>
      <c r="M94" s="62">
        <v>39000048</v>
      </c>
      <c r="N94" s="59">
        <v>7</v>
      </c>
      <c r="O94" s="38" t="s">
        <v>90</v>
      </c>
    </row>
    <row r="95" spans="3:15" ht="40.5" customHeight="1" x14ac:dyDescent="0.25">
      <c r="C95" s="17">
        <v>89</v>
      </c>
      <c r="D95" s="17" t="s">
        <v>216</v>
      </c>
      <c r="E95" s="83" t="s">
        <v>24</v>
      </c>
      <c r="F95" s="83"/>
      <c r="G95" s="83"/>
      <c r="H95" s="83"/>
      <c r="I95" s="64" t="s">
        <v>242</v>
      </c>
      <c r="J95" s="64" t="s">
        <v>16</v>
      </c>
      <c r="K95" s="62">
        <v>470</v>
      </c>
      <c r="L95" s="59">
        <v>3</v>
      </c>
      <c r="M95" s="62">
        <v>39000048</v>
      </c>
      <c r="N95" s="59">
        <v>7</v>
      </c>
      <c r="O95" s="38" t="s">
        <v>91</v>
      </c>
    </row>
    <row r="96" spans="3:15" ht="40.5" customHeight="1" x14ac:dyDescent="0.25">
      <c r="C96" s="17">
        <v>90</v>
      </c>
      <c r="D96" s="17" t="s">
        <v>217</v>
      </c>
      <c r="E96" s="83" t="s">
        <v>24</v>
      </c>
      <c r="F96" s="83"/>
      <c r="G96" s="83"/>
      <c r="H96" s="83"/>
      <c r="I96" s="64" t="s">
        <v>242</v>
      </c>
      <c r="J96" s="64" t="s">
        <v>18</v>
      </c>
      <c r="K96" s="62">
        <v>460</v>
      </c>
      <c r="L96" s="59">
        <v>3</v>
      </c>
      <c r="M96" s="62">
        <v>39000048</v>
      </c>
      <c r="N96" s="59">
        <v>7</v>
      </c>
      <c r="O96" s="38" t="s">
        <v>92</v>
      </c>
    </row>
    <row r="97" spans="3:15" ht="40.5" customHeight="1" x14ac:dyDescent="0.25">
      <c r="C97" s="17">
        <v>91</v>
      </c>
      <c r="D97" s="17" t="s">
        <v>239</v>
      </c>
      <c r="E97" s="83" t="s">
        <v>24</v>
      </c>
      <c r="F97" s="83"/>
      <c r="G97" s="83"/>
      <c r="H97" s="83"/>
      <c r="I97" s="64" t="s">
        <v>242</v>
      </c>
      <c r="J97" s="64" t="s">
        <v>18</v>
      </c>
      <c r="K97" s="62">
        <f>2220-130</f>
        <v>2090</v>
      </c>
      <c r="L97" s="59">
        <v>2</v>
      </c>
      <c r="M97" s="62" t="s">
        <v>39</v>
      </c>
      <c r="N97" s="59">
        <v>3</v>
      </c>
      <c r="O97" s="70" t="s">
        <v>238</v>
      </c>
    </row>
    <row r="98" spans="3:15" ht="40.5" customHeight="1" x14ac:dyDescent="0.25">
      <c r="C98" s="17">
        <v>92</v>
      </c>
      <c r="D98" s="17" t="s">
        <v>108</v>
      </c>
      <c r="E98" s="83" t="s">
        <v>31</v>
      </c>
      <c r="F98" s="83"/>
      <c r="G98" s="83"/>
      <c r="H98" s="83"/>
      <c r="I98" s="64" t="s">
        <v>234</v>
      </c>
      <c r="J98" s="64" t="s">
        <v>93</v>
      </c>
      <c r="K98" s="62">
        <v>360</v>
      </c>
      <c r="L98" s="59">
        <v>5</v>
      </c>
      <c r="M98" s="62" t="s">
        <v>44</v>
      </c>
      <c r="N98" s="59">
        <v>11</v>
      </c>
      <c r="O98" s="38" t="s">
        <v>226</v>
      </c>
    </row>
    <row r="99" spans="3:15" ht="40.5" customHeight="1" x14ac:dyDescent="0.25">
      <c r="C99" s="17">
        <v>93</v>
      </c>
      <c r="D99" s="17" t="s">
        <v>109</v>
      </c>
      <c r="E99" s="83" t="s">
        <v>24</v>
      </c>
      <c r="F99" s="83"/>
      <c r="G99" s="83"/>
      <c r="H99" s="83"/>
      <c r="I99" s="64" t="s">
        <v>242</v>
      </c>
      <c r="J99" s="64" t="s">
        <v>94</v>
      </c>
      <c r="K99" s="62">
        <v>2020</v>
      </c>
      <c r="L99" s="59">
        <v>2</v>
      </c>
      <c r="M99" s="62">
        <v>561349000</v>
      </c>
      <c r="N99" s="59">
        <v>3.2</v>
      </c>
      <c r="O99" s="38" t="s">
        <v>25</v>
      </c>
    </row>
    <row r="100" spans="3:15" ht="40.5" customHeight="1" x14ac:dyDescent="0.25">
      <c r="C100" s="17">
        <v>94</v>
      </c>
      <c r="D100" s="17" t="s">
        <v>110</v>
      </c>
      <c r="E100" s="83" t="s">
        <v>24</v>
      </c>
      <c r="F100" s="83"/>
      <c r="G100" s="83"/>
      <c r="H100" s="83"/>
      <c r="I100" s="64" t="s">
        <v>242</v>
      </c>
      <c r="J100" s="64" t="s">
        <v>95</v>
      </c>
      <c r="K100" s="62">
        <v>1825</v>
      </c>
      <c r="L100" s="59">
        <v>2</v>
      </c>
      <c r="M100" s="62">
        <v>561349000</v>
      </c>
      <c r="N100" s="59">
        <v>3</v>
      </c>
      <c r="O100" s="38" t="s">
        <v>107</v>
      </c>
    </row>
    <row r="101" spans="3:15" ht="40.5" customHeight="1" x14ac:dyDescent="0.25">
      <c r="C101" s="17">
        <v>95</v>
      </c>
      <c r="D101" s="17" t="s">
        <v>111</v>
      </c>
      <c r="E101" s="83" t="s">
        <v>24</v>
      </c>
      <c r="F101" s="83"/>
      <c r="G101" s="83"/>
      <c r="H101" s="83"/>
      <c r="I101" s="64" t="s">
        <v>242</v>
      </c>
      <c r="J101" s="64" t="s">
        <v>96</v>
      </c>
      <c r="K101" s="62">
        <v>1825</v>
      </c>
      <c r="L101" s="59">
        <v>2</v>
      </c>
      <c r="M101" s="62">
        <v>561349000</v>
      </c>
      <c r="N101" s="59">
        <v>3</v>
      </c>
      <c r="O101" s="38" t="s">
        <v>107</v>
      </c>
    </row>
    <row r="102" spans="3:15" ht="40.5" customHeight="1" x14ac:dyDescent="0.25">
      <c r="C102" s="17">
        <v>96</v>
      </c>
      <c r="D102" s="17" t="s">
        <v>112</v>
      </c>
      <c r="E102" s="83" t="s">
        <v>24</v>
      </c>
      <c r="F102" s="83"/>
      <c r="G102" s="83"/>
      <c r="H102" s="83"/>
      <c r="I102" s="64" t="s">
        <v>242</v>
      </c>
      <c r="J102" s="64" t="s">
        <v>97</v>
      </c>
      <c r="K102" s="62">
        <v>1825</v>
      </c>
      <c r="L102" s="59">
        <v>2</v>
      </c>
      <c r="M102" s="62">
        <v>561349000</v>
      </c>
      <c r="N102" s="59">
        <v>3</v>
      </c>
      <c r="O102" s="38" t="s">
        <v>107</v>
      </c>
    </row>
    <row r="103" spans="3:15" ht="40.5" customHeight="1" x14ac:dyDescent="0.25">
      <c r="C103" s="17">
        <v>97</v>
      </c>
      <c r="D103" s="17" t="s">
        <v>113</v>
      </c>
      <c r="E103" s="83" t="s">
        <v>24</v>
      </c>
      <c r="F103" s="83"/>
      <c r="G103" s="83"/>
      <c r="H103" s="83"/>
      <c r="I103" s="64" t="s">
        <v>242</v>
      </c>
      <c r="J103" s="64" t="s">
        <v>98</v>
      </c>
      <c r="K103" s="62">
        <v>1825</v>
      </c>
      <c r="L103" s="59">
        <v>2</v>
      </c>
      <c r="M103" s="62">
        <v>561349000</v>
      </c>
      <c r="N103" s="59">
        <v>3</v>
      </c>
      <c r="O103" s="38" t="s">
        <v>107</v>
      </c>
    </row>
    <row r="104" spans="3:15" ht="40.5" customHeight="1" x14ac:dyDescent="0.25">
      <c r="C104" s="17">
        <v>98</v>
      </c>
      <c r="D104" s="17" t="s">
        <v>114</v>
      </c>
      <c r="E104" s="83" t="s">
        <v>24</v>
      </c>
      <c r="F104" s="83"/>
      <c r="G104" s="83"/>
      <c r="H104" s="83"/>
      <c r="I104" s="64" t="s">
        <v>242</v>
      </c>
      <c r="J104" s="64" t="s">
        <v>95</v>
      </c>
      <c r="K104" s="62">
        <f>2400+10</f>
        <v>2410</v>
      </c>
      <c r="L104" s="59">
        <v>3</v>
      </c>
      <c r="M104" s="62" t="s">
        <v>107</v>
      </c>
      <c r="N104" s="59">
        <v>2</v>
      </c>
      <c r="O104" s="38">
        <v>561349000</v>
      </c>
    </row>
    <row r="105" spans="3:15" ht="40.5" customHeight="1" x14ac:dyDescent="0.25">
      <c r="C105" s="17">
        <v>99</v>
      </c>
      <c r="D105" s="17" t="s">
        <v>115</v>
      </c>
      <c r="E105" s="83" t="s">
        <v>24</v>
      </c>
      <c r="F105" s="83"/>
      <c r="G105" s="83"/>
      <c r="H105" s="83"/>
      <c r="I105" s="64" t="s">
        <v>242</v>
      </c>
      <c r="J105" s="64" t="s">
        <v>99</v>
      </c>
      <c r="K105" s="62">
        <f t="shared" ref="K105:K107" si="1">2400+10</f>
        <v>2410</v>
      </c>
      <c r="L105" s="59">
        <v>3</v>
      </c>
      <c r="M105" s="62" t="s">
        <v>107</v>
      </c>
      <c r="N105" s="59">
        <v>2</v>
      </c>
      <c r="O105" s="38">
        <v>561349000</v>
      </c>
    </row>
    <row r="106" spans="3:15" ht="40.5" customHeight="1" x14ac:dyDescent="0.25">
      <c r="C106" s="17">
        <v>100</v>
      </c>
      <c r="D106" s="17" t="s">
        <v>116</v>
      </c>
      <c r="E106" s="83" t="s">
        <v>24</v>
      </c>
      <c r="F106" s="83"/>
      <c r="G106" s="83"/>
      <c r="H106" s="83"/>
      <c r="I106" s="64" t="s">
        <v>242</v>
      </c>
      <c r="J106" s="64" t="s">
        <v>100</v>
      </c>
      <c r="K106" s="62">
        <f t="shared" si="1"/>
        <v>2410</v>
      </c>
      <c r="L106" s="59">
        <v>2</v>
      </c>
      <c r="M106" s="62">
        <v>561349000</v>
      </c>
      <c r="N106" s="59">
        <v>3</v>
      </c>
      <c r="O106" s="38" t="s">
        <v>107</v>
      </c>
    </row>
    <row r="107" spans="3:15" ht="40.5" customHeight="1" x14ac:dyDescent="0.25">
      <c r="C107" s="17">
        <v>101</v>
      </c>
      <c r="D107" s="17" t="s">
        <v>117</v>
      </c>
      <c r="E107" s="83" t="s">
        <v>24</v>
      </c>
      <c r="F107" s="83"/>
      <c r="G107" s="83"/>
      <c r="H107" s="83"/>
      <c r="I107" s="64" t="s">
        <v>242</v>
      </c>
      <c r="J107" s="64" t="s">
        <v>101</v>
      </c>
      <c r="K107" s="62">
        <f t="shared" si="1"/>
        <v>2410</v>
      </c>
      <c r="L107" s="59">
        <v>2</v>
      </c>
      <c r="M107" s="62">
        <v>561349000</v>
      </c>
      <c r="N107" s="59">
        <v>3</v>
      </c>
      <c r="O107" s="38" t="s">
        <v>107</v>
      </c>
    </row>
    <row r="108" spans="3:15" ht="40.5" customHeight="1" x14ac:dyDescent="0.25">
      <c r="C108" s="17">
        <v>102</v>
      </c>
      <c r="D108" s="17" t="s">
        <v>118</v>
      </c>
      <c r="E108" s="83" t="s">
        <v>24</v>
      </c>
      <c r="F108" s="83"/>
      <c r="G108" s="83"/>
      <c r="H108" s="83"/>
      <c r="I108" s="64" t="s">
        <v>242</v>
      </c>
      <c r="J108" s="64" t="s">
        <v>102</v>
      </c>
      <c r="K108" s="62">
        <v>1810</v>
      </c>
      <c r="L108" s="59">
        <v>2</v>
      </c>
      <c r="M108" s="62" t="s">
        <v>36</v>
      </c>
      <c r="N108" s="59">
        <v>3.5</v>
      </c>
      <c r="O108" s="38" t="s">
        <v>89</v>
      </c>
    </row>
    <row r="109" spans="3:15" ht="40.5" customHeight="1" x14ac:dyDescent="0.25">
      <c r="C109" s="17">
        <v>103</v>
      </c>
      <c r="D109" s="17" t="s">
        <v>119</v>
      </c>
      <c r="E109" s="83" t="s">
        <v>24</v>
      </c>
      <c r="F109" s="83"/>
      <c r="G109" s="83"/>
      <c r="H109" s="83"/>
      <c r="I109" s="64" t="s">
        <v>242</v>
      </c>
      <c r="J109" s="64" t="s">
        <v>95</v>
      </c>
      <c r="K109" s="62">
        <v>1810</v>
      </c>
      <c r="L109" s="59">
        <v>2</v>
      </c>
      <c r="M109" s="62" t="s">
        <v>36</v>
      </c>
      <c r="N109" s="59">
        <v>3.5</v>
      </c>
      <c r="O109" s="38" t="s">
        <v>89</v>
      </c>
    </row>
    <row r="110" spans="3:15" ht="40.5" customHeight="1" x14ac:dyDescent="0.25">
      <c r="C110" s="17">
        <v>104</v>
      </c>
      <c r="D110" s="17" t="s">
        <v>120</v>
      </c>
      <c r="E110" s="83" t="s">
        <v>24</v>
      </c>
      <c r="F110" s="83"/>
      <c r="G110" s="83"/>
      <c r="H110" s="83"/>
      <c r="I110" s="64" t="s">
        <v>242</v>
      </c>
      <c r="J110" s="64" t="s">
        <v>103</v>
      </c>
      <c r="K110" s="62">
        <v>1810</v>
      </c>
      <c r="L110" s="59">
        <v>2</v>
      </c>
      <c r="M110" s="62" t="s">
        <v>36</v>
      </c>
      <c r="N110" s="59">
        <v>3.5</v>
      </c>
      <c r="O110" s="38" t="s">
        <v>89</v>
      </c>
    </row>
    <row r="111" spans="3:15" ht="40.5" customHeight="1" x14ac:dyDescent="0.25">
      <c r="C111" s="17">
        <v>105</v>
      </c>
      <c r="D111" s="17" t="s">
        <v>121</v>
      </c>
      <c r="E111" s="83" t="s">
        <v>24</v>
      </c>
      <c r="F111" s="83"/>
      <c r="G111" s="83"/>
      <c r="H111" s="83"/>
      <c r="I111" s="64" t="s">
        <v>242</v>
      </c>
      <c r="J111" s="64" t="s">
        <v>94</v>
      </c>
      <c r="K111" s="62">
        <v>1810</v>
      </c>
      <c r="L111" s="59">
        <v>2</v>
      </c>
      <c r="M111" s="62" t="s">
        <v>36</v>
      </c>
      <c r="N111" s="59">
        <v>3.5</v>
      </c>
      <c r="O111" s="38" t="s">
        <v>89</v>
      </c>
    </row>
    <row r="112" spans="3:15" ht="40.5" customHeight="1" x14ac:dyDescent="0.25">
      <c r="C112" s="17">
        <v>106</v>
      </c>
      <c r="D112" s="17" t="s">
        <v>122</v>
      </c>
      <c r="E112" s="83" t="s">
        <v>24</v>
      </c>
      <c r="F112" s="83"/>
      <c r="G112" s="83"/>
      <c r="H112" s="83"/>
      <c r="I112" s="64" t="s">
        <v>242</v>
      </c>
      <c r="J112" s="64" t="s">
        <v>94</v>
      </c>
      <c r="K112" s="62">
        <f>1060+35</f>
        <v>1095</v>
      </c>
      <c r="L112" s="59">
        <v>3</v>
      </c>
      <c r="M112" s="62" t="s">
        <v>107</v>
      </c>
      <c r="N112" s="59">
        <v>7</v>
      </c>
      <c r="O112" s="38" t="s">
        <v>227</v>
      </c>
    </row>
    <row r="113" spans="3:15" ht="40.5" customHeight="1" x14ac:dyDescent="0.25">
      <c r="C113" s="17">
        <v>107</v>
      </c>
      <c r="D113" s="17" t="s">
        <v>123</v>
      </c>
      <c r="E113" s="83" t="s">
        <v>24</v>
      </c>
      <c r="F113" s="83"/>
      <c r="G113" s="83"/>
      <c r="H113" s="83"/>
      <c r="I113" s="64" t="s">
        <v>242</v>
      </c>
      <c r="J113" s="64" t="s">
        <v>104</v>
      </c>
      <c r="K113" s="62">
        <f>1840+5</f>
        <v>1845</v>
      </c>
      <c r="L113" s="59">
        <v>3</v>
      </c>
      <c r="M113" s="62" t="s">
        <v>107</v>
      </c>
      <c r="N113" s="59">
        <v>2</v>
      </c>
      <c r="O113" s="38">
        <v>561349000</v>
      </c>
    </row>
    <row r="114" spans="3:15" ht="40.5" customHeight="1" x14ac:dyDescent="0.25">
      <c r="C114" s="17">
        <v>108</v>
      </c>
      <c r="D114" s="17" t="s">
        <v>124</v>
      </c>
      <c r="E114" s="83" t="s">
        <v>24</v>
      </c>
      <c r="F114" s="83"/>
      <c r="G114" s="83"/>
      <c r="H114" s="83"/>
      <c r="I114" s="64" t="s">
        <v>242</v>
      </c>
      <c r="J114" s="64" t="s">
        <v>97</v>
      </c>
      <c r="K114" s="62">
        <f>1825+25</f>
        <v>1850</v>
      </c>
      <c r="L114" s="59">
        <v>2</v>
      </c>
      <c r="M114" s="62">
        <v>561349000</v>
      </c>
      <c r="N114" s="59">
        <v>3</v>
      </c>
      <c r="O114" s="38" t="s">
        <v>107</v>
      </c>
    </row>
    <row r="115" spans="3:15" ht="40.5" customHeight="1" x14ac:dyDescent="0.25">
      <c r="C115" s="17">
        <v>109</v>
      </c>
      <c r="D115" s="17" t="s">
        <v>125</v>
      </c>
      <c r="E115" s="83" t="s">
        <v>24</v>
      </c>
      <c r="F115" s="83"/>
      <c r="G115" s="83"/>
      <c r="H115" s="83"/>
      <c r="I115" s="64" t="s">
        <v>242</v>
      </c>
      <c r="J115" s="64" t="s">
        <v>105</v>
      </c>
      <c r="K115" s="62">
        <f>1650+35</f>
        <v>1685</v>
      </c>
      <c r="L115" s="59">
        <v>3</v>
      </c>
      <c r="M115" s="62" t="s">
        <v>107</v>
      </c>
      <c r="N115" s="59">
        <v>2</v>
      </c>
      <c r="O115" s="38" t="s">
        <v>39</v>
      </c>
    </row>
    <row r="116" spans="3:15" ht="40.5" customHeight="1" x14ac:dyDescent="0.25">
      <c r="C116" s="17">
        <v>110</v>
      </c>
      <c r="D116" s="17" t="s">
        <v>126</v>
      </c>
      <c r="E116" s="83" t="s">
        <v>24</v>
      </c>
      <c r="F116" s="83"/>
      <c r="G116" s="83"/>
      <c r="H116" s="83"/>
      <c r="I116" s="64" t="s">
        <v>242</v>
      </c>
      <c r="J116" s="64" t="s">
        <v>106</v>
      </c>
      <c r="K116" s="62">
        <f>1650+35</f>
        <v>1685</v>
      </c>
      <c r="L116" s="59">
        <v>3</v>
      </c>
      <c r="M116" s="62" t="s">
        <v>107</v>
      </c>
      <c r="N116" s="60">
        <v>2</v>
      </c>
      <c r="O116" s="38" t="s">
        <v>39</v>
      </c>
    </row>
    <row r="117" spans="3:15" ht="40.5" customHeight="1" x14ac:dyDescent="0.25">
      <c r="C117" s="17">
        <v>111</v>
      </c>
      <c r="D117" s="17" t="s">
        <v>127</v>
      </c>
      <c r="E117" s="83" t="s">
        <v>24</v>
      </c>
      <c r="F117" s="83"/>
      <c r="G117" s="83"/>
      <c r="H117" s="83"/>
      <c r="I117" s="64" t="s">
        <v>242</v>
      </c>
      <c r="J117" s="64" t="s">
        <v>101</v>
      </c>
      <c r="K117" s="62">
        <v>3130</v>
      </c>
      <c r="L117" s="60">
        <v>2</v>
      </c>
      <c r="M117" s="62" t="s">
        <v>39</v>
      </c>
      <c r="N117" s="60">
        <v>3</v>
      </c>
      <c r="O117" s="38" t="s">
        <v>47</v>
      </c>
    </row>
    <row r="118" spans="3:15" ht="40.5" customHeight="1" x14ac:dyDescent="0.25">
      <c r="C118" s="17">
        <v>112</v>
      </c>
      <c r="D118" s="17" t="s">
        <v>128</v>
      </c>
      <c r="E118" s="83" t="s">
        <v>24</v>
      </c>
      <c r="F118" s="83"/>
      <c r="G118" s="83"/>
      <c r="H118" s="83"/>
      <c r="I118" s="64" t="s">
        <v>242</v>
      </c>
      <c r="J118" s="64" t="s">
        <v>94</v>
      </c>
      <c r="K118" s="62">
        <f>4680+50</f>
        <v>4730</v>
      </c>
      <c r="L118" s="60">
        <v>3</v>
      </c>
      <c r="M118" s="62" t="s">
        <v>47</v>
      </c>
      <c r="N118" s="60">
        <v>3</v>
      </c>
      <c r="O118" s="38" t="s">
        <v>47</v>
      </c>
    </row>
    <row r="119" spans="3:15" ht="40.5" customHeight="1" x14ac:dyDescent="0.25">
      <c r="C119" s="17">
        <v>113</v>
      </c>
      <c r="D119" s="17" t="s">
        <v>129</v>
      </c>
      <c r="E119" s="83" t="s">
        <v>24</v>
      </c>
      <c r="F119" s="83"/>
      <c r="G119" s="83"/>
      <c r="H119" s="83"/>
      <c r="I119" s="64" t="s">
        <v>242</v>
      </c>
      <c r="J119" s="64" t="s">
        <v>97</v>
      </c>
      <c r="K119" s="62">
        <f>2115+20</f>
        <v>2135</v>
      </c>
      <c r="L119" s="60">
        <v>3</v>
      </c>
      <c r="M119" s="62" t="s">
        <v>47</v>
      </c>
      <c r="N119" s="60">
        <v>2</v>
      </c>
      <c r="O119" s="38" t="s">
        <v>39</v>
      </c>
    </row>
    <row r="120" spans="3:15" ht="35.450000000000003" customHeight="1" thickBot="1" x14ac:dyDescent="0.3">
      <c r="C120" s="84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6"/>
    </row>
    <row r="121" spans="3:15" ht="31.35" customHeight="1" x14ac:dyDescent="0.25">
      <c r="C121" s="87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9"/>
    </row>
    <row r="122" spans="3:15" ht="9.75" hidden="1" customHeight="1" x14ac:dyDescent="0.25">
      <c r="C122" s="1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"/>
    </row>
    <row r="123" spans="3:15" ht="21" customHeight="1" thickBot="1" x14ac:dyDescent="0.3">
      <c r="C123" s="90" t="s">
        <v>20</v>
      </c>
      <c r="D123" s="91"/>
      <c r="E123" s="91"/>
      <c r="F123" s="91"/>
      <c r="G123" s="91"/>
      <c r="H123" s="91"/>
      <c r="I123" s="8"/>
      <c r="J123" s="91" t="s">
        <v>21</v>
      </c>
      <c r="K123" s="91"/>
      <c r="L123" s="8"/>
      <c r="M123" s="8"/>
      <c r="N123" s="9" t="s">
        <v>22</v>
      </c>
      <c r="O123" s="10"/>
    </row>
    <row r="124" spans="3:15" ht="24" customHeight="1" thickBot="1" x14ac:dyDescent="0.3">
      <c r="C124" s="80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2"/>
    </row>
    <row r="125" spans="3:15" ht="15.75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</sheetData>
  <sheetProtection password="DE0D" sheet="1" objects="1" scenarios="1"/>
  <mergeCells count="142">
    <mergeCell ref="C1:O1"/>
    <mergeCell ref="C2:O2"/>
    <mergeCell ref="C3:H3"/>
    <mergeCell ref="L3:M3"/>
    <mergeCell ref="N3:O3"/>
    <mergeCell ref="C4:H4"/>
    <mergeCell ref="L4:M4"/>
    <mergeCell ref="N4:O4"/>
    <mergeCell ref="E9:H9"/>
    <mergeCell ref="E10:H10"/>
    <mergeCell ref="E11:H11"/>
    <mergeCell ref="E12:H12"/>
    <mergeCell ref="E13:H13"/>
    <mergeCell ref="E14:H14"/>
    <mergeCell ref="C5:H5"/>
    <mergeCell ref="L5:M5"/>
    <mergeCell ref="N5:O5"/>
    <mergeCell ref="E6:H6"/>
    <mergeCell ref="E7:H7"/>
    <mergeCell ref="E8:H8"/>
    <mergeCell ref="E20:H20"/>
    <mergeCell ref="S20:V20"/>
    <mergeCell ref="E21:H21"/>
    <mergeCell ref="S21:V21"/>
    <mergeCell ref="E22:H22"/>
    <mergeCell ref="S22:V22"/>
    <mergeCell ref="E15:H15"/>
    <mergeCell ref="E16:H16"/>
    <mergeCell ref="E17:H17"/>
    <mergeCell ref="E18:H18"/>
    <mergeCell ref="E19:H19"/>
    <mergeCell ref="S19:V19"/>
    <mergeCell ref="E26:H26"/>
    <mergeCell ref="S26:V26"/>
    <mergeCell ref="E27:H27"/>
    <mergeCell ref="S27:V27"/>
    <mergeCell ref="E28:H28"/>
    <mergeCell ref="S28:V28"/>
    <mergeCell ref="E23:H23"/>
    <mergeCell ref="S23:V23"/>
    <mergeCell ref="E24:H24"/>
    <mergeCell ref="S24:V24"/>
    <mergeCell ref="E25:H25"/>
    <mergeCell ref="S25:V25"/>
    <mergeCell ref="E33:H33"/>
    <mergeCell ref="E34:H34"/>
    <mergeCell ref="E35:H35"/>
    <mergeCell ref="E36:H36"/>
    <mergeCell ref="E37:H37"/>
    <mergeCell ref="E38:H38"/>
    <mergeCell ref="E29:H29"/>
    <mergeCell ref="S29:V29"/>
    <mergeCell ref="E30:H30"/>
    <mergeCell ref="S30:V30"/>
    <mergeCell ref="E31:H31"/>
    <mergeCell ref="E32:H32"/>
    <mergeCell ref="E45:H45"/>
    <mergeCell ref="E46:H46"/>
    <mergeCell ref="E47:H47"/>
    <mergeCell ref="E48:H48"/>
    <mergeCell ref="E49:H49"/>
    <mergeCell ref="E50:H50"/>
    <mergeCell ref="E39:H39"/>
    <mergeCell ref="E40:H40"/>
    <mergeCell ref="E41:H41"/>
    <mergeCell ref="E42:H42"/>
    <mergeCell ref="E43:H43"/>
    <mergeCell ref="E44:H44"/>
    <mergeCell ref="E57:H57"/>
    <mergeCell ref="E58:H58"/>
    <mergeCell ref="E59:H59"/>
    <mergeCell ref="E60:H60"/>
    <mergeCell ref="E61:H61"/>
    <mergeCell ref="E62:H62"/>
    <mergeCell ref="E51:H51"/>
    <mergeCell ref="E52:H52"/>
    <mergeCell ref="E53:H53"/>
    <mergeCell ref="E54:H54"/>
    <mergeCell ref="E55:H55"/>
    <mergeCell ref="E56:H56"/>
    <mergeCell ref="E69:H69"/>
    <mergeCell ref="E70:H70"/>
    <mergeCell ref="E71:H71"/>
    <mergeCell ref="E72:H72"/>
    <mergeCell ref="E73:H73"/>
    <mergeCell ref="E74:H74"/>
    <mergeCell ref="E63:H63"/>
    <mergeCell ref="E64:H64"/>
    <mergeCell ref="E65:H65"/>
    <mergeCell ref="E66:H66"/>
    <mergeCell ref="E67:H67"/>
    <mergeCell ref="E68:H68"/>
    <mergeCell ref="E81:H81"/>
    <mergeCell ref="E82:H82"/>
    <mergeCell ref="E83:H83"/>
    <mergeCell ref="E84:H84"/>
    <mergeCell ref="E85:H85"/>
    <mergeCell ref="E86:H86"/>
    <mergeCell ref="E75:H75"/>
    <mergeCell ref="E76:H76"/>
    <mergeCell ref="E77:H77"/>
    <mergeCell ref="E78:H78"/>
    <mergeCell ref="E79:H79"/>
    <mergeCell ref="E80:H80"/>
    <mergeCell ref="E93:H93"/>
    <mergeCell ref="E94:H94"/>
    <mergeCell ref="E95:H95"/>
    <mergeCell ref="E96:H96"/>
    <mergeCell ref="E97:H97"/>
    <mergeCell ref="E98:H98"/>
    <mergeCell ref="E87:H87"/>
    <mergeCell ref="E88:H88"/>
    <mergeCell ref="E89:H89"/>
    <mergeCell ref="E90:H90"/>
    <mergeCell ref="E91:H91"/>
    <mergeCell ref="E92:H92"/>
    <mergeCell ref="E105:H105"/>
    <mergeCell ref="E106:H106"/>
    <mergeCell ref="E107:H107"/>
    <mergeCell ref="E108:H108"/>
    <mergeCell ref="E109:H109"/>
    <mergeCell ref="E110:H110"/>
    <mergeCell ref="E99:H99"/>
    <mergeCell ref="E100:H100"/>
    <mergeCell ref="E101:H101"/>
    <mergeCell ref="E102:H102"/>
    <mergeCell ref="E103:H103"/>
    <mergeCell ref="E104:H104"/>
    <mergeCell ref="C124:O124"/>
    <mergeCell ref="E117:H117"/>
    <mergeCell ref="E118:H118"/>
    <mergeCell ref="E119:H119"/>
    <mergeCell ref="C120:O120"/>
    <mergeCell ref="C121:O121"/>
    <mergeCell ref="C123:H123"/>
    <mergeCell ref="J123:K123"/>
    <mergeCell ref="E111:H111"/>
    <mergeCell ref="E112:H112"/>
    <mergeCell ref="E113:H113"/>
    <mergeCell ref="E114:H114"/>
    <mergeCell ref="E115:H115"/>
    <mergeCell ref="E116:H116"/>
  </mergeCells>
  <printOptions horizontalCentered="1" verticalCentered="1"/>
  <pageMargins left="0" right="0" top="0" bottom="0" header="0" footer="0"/>
  <pageSetup scale="40" orientation="landscape" r:id="rId1"/>
  <rowBreaks count="3" manualBreakCount="3">
    <brk id="36" max="14" man="1"/>
    <brk id="66" max="14" man="1"/>
    <brk id="96" max="14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Q119"/>
  <sheetViews>
    <sheetView tabSelected="1" workbookViewId="0">
      <selection activeCell="A7" sqref="A7"/>
    </sheetView>
  </sheetViews>
  <sheetFormatPr defaultRowHeight="15" x14ac:dyDescent="0.25"/>
  <cols>
    <col min="7" max="7" width="24.140625" bestFit="1" customWidth="1"/>
    <col min="8" max="8" width="24.85546875" bestFit="1" customWidth="1"/>
    <col min="13" max="13" width="18" bestFit="1" customWidth="1"/>
    <col min="14" max="14" width="15.28515625" bestFit="1" customWidth="1"/>
    <col min="15" max="15" width="34.5703125" bestFit="1" customWidth="1"/>
    <col min="16" max="16" width="31.140625" hidden="1" customWidth="1"/>
    <col min="17" max="17" width="0" hidden="1" customWidth="1"/>
  </cols>
  <sheetData>
    <row r="1" spans="1:17" ht="46.5" x14ac:dyDescent="0.25">
      <c r="A1" s="101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3"/>
    </row>
    <row r="2" spans="1:17" ht="30" customHeight="1" x14ac:dyDescent="0.25">
      <c r="A2" s="104" t="s">
        <v>1</v>
      </c>
      <c r="B2" s="105"/>
      <c r="C2" s="105"/>
      <c r="D2" s="105"/>
      <c r="E2" s="105"/>
      <c r="F2" s="106"/>
      <c r="G2" s="106"/>
      <c r="H2" s="106"/>
      <c r="I2" s="106"/>
      <c r="J2" s="106"/>
      <c r="K2" s="106"/>
      <c r="L2" s="106"/>
      <c r="M2" s="107"/>
    </row>
    <row r="3" spans="1:17" ht="30" customHeight="1" x14ac:dyDescent="0.25">
      <c r="A3" s="108" t="s">
        <v>2</v>
      </c>
      <c r="B3" s="109"/>
      <c r="C3" s="109"/>
      <c r="D3" s="109"/>
      <c r="E3" s="109"/>
      <c r="F3" s="94"/>
      <c r="G3" s="76" t="s">
        <v>218</v>
      </c>
      <c r="H3" s="11" t="s">
        <v>228</v>
      </c>
      <c r="I3" s="78" t="s">
        <v>253</v>
      </c>
      <c r="J3" s="110" t="s">
        <v>229</v>
      </c>
      <c r="K3" s="94"/>
      <c r="L3" s="110" t="s">
        <v>276</v>
      </c>
      <c r="M3" s="111"/>
    </row>
    <row r="4" spans="1:17" ht="30" customHeight="1" x14ac:dyDescent="0.25">
      <c r="A4" s="112" t="s">
        <v>3</v>
      </c>
      <c r="B4" s="113"/>
      <c r="C4" s="113"/>
      <c r="D4" s="113"/>
      <c r="E4" s="113"/>
      <c r="F4" s="114"/>
      <c r="G4" s="78" t="s">
        <v>4</v>
      </c>
      <c r="H4" s="13" t="s">
        <v>231</v>
      </c>
      <c r="I4" s="78">
        <v>5</v>
      </c>
      <c r="J4" s="115" t="s">
        <v>232</v>
      </c>
      <c r="K4" s="113"/>
      <c r="L4" s="114" t="s">
        <v>277</v>
      </c>
      <c r="M4" s="116"/>
    </row>
    <row r="5" spans="1:17" ht="30" customHeight="1" x14ac:dyDescent="0.25">
      <c r="A5" s="93" t="s">
        <v>5</v>
      </c>
      <c r="B5" s="94"/>
      <c r="C5" s="94"/>
      <c r="D5" s="94"/>
      <c r="E5" s="94"/>
      <c r="F5" s="95"/>
      <c r="G5" s="76" t="s">
        <v>23</v>
      </c>
      <c r="H5" s="13" t="s">
        <v>233</v>
      </c>
      <c r="I5" s="53">
        <v>45926</v>
      </c>
      <c r="J5" s="96" t="s">
        <v>6</v>
      </c>
      <c r="K5" s="97"/>
      <c r="L5" s="98" t="s">
        <v>7</v>
      </c>
      <c r="M5" s="99"/>
    </row>
    <row r="6" spans="1:17" ht="30" customHeight="1" x14ac:dyDescent="0.25">
      <c r="A6" s="6" t="s">
        <v>236</v>
      </c>
      <c r="B6" s="6" t="s">
        <v>8</v>
      </c>
      <c r="C6" s="100" t="s">
        <v>9</v>
      </c>
      <c r="D6" s="100"/>
      <c r="E6" s="100"/>
      <c r="F6" s="100"/>
      <c r="G6" s="5" t="s">
        <v>10</v>
      </c>
      <c r="H6" s="77" t="s">
        <v>11</v>
      </c>
      <c r="I6" s="77" t="s">
        <v>12</v>
      </c>
      <c r="J6" s="5" t="s">
        <v>13</v>
      </c>
      <c r="K6" s="5" t="s">
        <v>14</v>
      </c>
      <c r="L6" s="5" t="s">
        <v>13</v>
      </c>
      <c r="M6" s="7" t="s">
        <v>14</v>
      </c>
      <c r="N6" s="79" t="s">
        <v>368</v>
      </c>
      <c r="O6" s="79" t="s">
        <v>369</v>
      </c>
      <c r="P6" s="79" t="s">
        <v>278</v>
      </c>
    </row>
    <row r="7" spans="1:17" ht="30" customHeight="1" x14ac:dyDescent="0.25">
      <c r="A7" s="17">
        <v>1</v>
      </c>
      <c r="B7" s="17" t="s">
        <v>130</v>
      </c>
      <c r="C7" s="83" t="s">
        <v>31</v>
      </c>
      <c r="D7" s="83"/>
      <c r="E7" s="83"/>
      <c r="F7" s="83"/>
      <c r="G7" s="75" t="s">
        <v>234</v>
      </c>
      <c r="H7" s="75" t="s">
        <v>32</v>
      </c>
      <c r="I7" s="24">
        <v>980</v>
      </c>
      <c r="J7" s="60">
        <v>5</v>
      </c>
      <c r="K7" s="62" t="s">
        <v>246</v>
      </c>
      <c r="L7" s="59">
        <v>11</v>
      </c>
      <c r="M7" s="38" t="s">
        <v>37</v>
      </c>
      <c r="N7" t="s">
        <v>284</v>
      </c>
      <c r="O7" t="s">
        <v>370</v>
      </c>
      <c r="P7" t="s">
        <v>285</v>
      </c>
      <c r="Q7" t="b">
        <f>+P7=O7</f>
        <v>1</v>
      </c>
    </row>
    <row r="8" spans="1:17" ht="30" customHeight="1" x14ac:dyDescent="0.25">
      <c r="A8" s="17">
        <v>2</v>
      </c>
      <c r="B8" s="17" t="s">
        <v>131</v>
      </c>
      <c r="C8" s="83" t="s">
        <v>31</v>
      </c>
      <c r="D8" s="83"/>
      <c r="E8" s="83"/>
      <c r="F8" s="83"/>
      <c r="G8" s="75" t="s">
        <v>234</v>
      </c>
      <c r="H8" s="75" t="s">
        <v>33</v>
      </c>
      <c r="I8" s="69">
        <f>1200-15</f>
        <v>1185</v>
      </c>
      <c r="J8" s="59">
        <v>12</v>
      </c>
      <c r="K8" s="38" t="s">
        <v>265</v>
      </c>
      <c r="L8" s="59">
        <v>5</v>
      </c>
      <c r="M8" s="70" t="s">
        <v>246</v>
      </c>
      <c r="N8" t="s">
        <v>286</v>
      </c>
      <c r="O8" t="s">
        <v>287</v>
      </c>
      <c r="P8" t="s">
        <v>287</v>
      </c>
      <c r="Q8" t="b">
        <f t="shared" ref="Q8:Q71" si="0">+P8=O8</f>
        <v>1</v>
      </c>
    </row>
    <row r="9" spans="1:17" ht="30" customHeight="1" x14ac:dyDescent="0.25">
      <c r="A9" s="17">
        <v>3</v>
      </c>
      <c r="B9" s="17" t="s">
        <v>132</v>
      </c>
      <c r="C9" s="83" t="s">
        <v>34</v>
      </c>
      <c r="D9" s="83"/>
      <c r="E9" s="83"/>
      <c r="F9" s="83"/>
      <c r="G9" s="75" t="s">
        <v>235</v>
      </c>
      <c r="H9" s="75" t="s">
        <v>29</v>
      </c>
      <c r="I9" s="62">
        <f>2615+15</f>
        <v>2630</v>
      </c>
      <c r="J9" s="59">
        <v>3.5</v>
      </c>
      <c r="K9" s="62" t="s">
        <v>35</v>
      </c>
      <c r="L9" s="59">
        <v>3</v>
      </c>
      <c r="M9" s="70">
        <v>39000040</v>
      </c>
      <c r="N9" t="s">
        <v>288</v>
      </c>
      <c r="O9" t="s">
        <v>371</v>
      </c>
      <c r="P9" t="s">
        <v>289</v>
      </c>
      <c r="Q9" t="b">
        <f t="shared" si="0"/>
        <v>1</v>
      </c>
    </row>
    <row r="10" spans="1:17" ht="30" customHeight="1" x14ac:dyDescent="0.25">
      <c r="A10" s="17">
        <v>4</v>
      </c>
      <c r="B10" s="17" t="s">
        <v>133</v>
      </c>
      <c r="C10" s="83" t="s">
        <v>31</v>
      </c>
      <c r="D10" s="83"/>
      <c r="E10" s="83"/>
      <c r="F10" s="83"/>
      <c r="G10" s="75" t="s">
        <v>234</v>
      </c>
      <c r="H10" s="75" t="s">
        <v>32</v>
      </c>
      <c r="I10" s="62">
        <v>625</v>
      </c>
      <c r="J10" s="59">
        <v>3</v>
      </c>
      <c r="K10" s="70">
        <v>39000040</v>
      </c>
      <c r="L10" s="59">
        <v>11</v>
      </c>
      <c r="M10" s="38" t="s">
        <v>220</v>
      </c>
      <c r="N10" t="s">
        <v>284</v>
      </c>
      <c r="O10" t="s">
        <v>370</v>
      </c>
      <c r="P10" t="s">
        <v>285</v>
      </c>
      <c r="Q10" t="b">
        <f t="shared" si="0"/>
        <v>1</v>
      </c>
    </row>
    <row r="11" spans="1:17" ht="30" customHeight="1" x14ac:dyDescent="0.25">
      <c r="A11" s="17">
        <v>5</v>
      </c>
      <c r="B11" s="17" t="s">
        <v>134</v>
      </c>
      <c r="C11" s="83" t="s">
        <v>24</v>
      </c>
      <c r="D11" s="83"/>
      <c r="E11" s="83"/>
      <c r="F11" s="83"/>
      <c r="G11" s="75" t="s">
        <v>242</v>
      </c>
      <c r="H11" s="75" t="s">
        <v>15</v>
      </c>
      <c r="I11" s="62">
        <v>1610</v>
      </c>
      <c r="J11" s="59">
        <v>2</v>
      </c>
      <c r="K11" s="62" t="s">
        <v>36</v>
      </c>
      <c r="L11" s="59">
        <v>7</v>
      </c>
      <c r="M11" s="38" t="s">
        <v>221</v>
      </c>
      <c r="N11" t="s">
        <v>290</v>
      </c>
      <c r="O11" t="s">
        <v>372</v>
      </c>
      <c r="P11" t="s">
        <v>291</v>
      </c>
      <c r="Q11" t="b">
        <f t="shared" si="0"/>
        <v>1</v>
      </c>
    </row>
    <row r="12" spans="1:17" ht="30" customHeight="1" x14ac:dyDescent="0.25">
      <c r="A12" s="17">
        <v>6</v>
      </c>
      <c r="B12" s="17" t="s">
        <v>135</v>
      </c>
      <c r="C12" s="83" t="s">
        <v>24</v>
      </c>
      <c r="D12" s="83"/>
      <c r="E12" s="83"/>
      <c r="F12" s="83"/>
      <c r="G12" s="75" t="s">
        <v>242</v>
      </c>
      <c r="H12" s="75" t="s">
        <v>33</v>
      </c>
      <c r="I12" s="62">
        <v>650</v>
      </c>
      <c r="J12" s="59">
        <v>3</v>
      </c>
      <c r="K12" s="62">
        <v>39000048</v>
      </c>
      <c r="L12" s="59">
        <v>7</v>
      </c>
      <c r="M12" s="38" t="s">
        <v>222</v>
      </c>
      <c r="N12" t="s">
        <v>292</v>
      </c>
      <c r="O12" t="s">
        <v>363</v>
      </c>
      <c r="P12" t="s">
        <v>293</v>
      </c>
      <c r="Q12" t="b">
        <f t="shared" si="0"/>
        <v>1</v>
      </c>
    </row>
    <row r="13" spans="1:17" ht="30" customHeight="1" x14ac:dyDescent="0.25">
      <c r="A13" s="17">
        <v>7</v>
      </c>
      <c r="B13" s="17" t="s">
        <v>136</v>
      </c>
      <c r="C13" s="83" t="s">
        <v>24</v>
      </c>
      <c r="D13" s="83"/>
      <c r="E13" s="83"/>
      <c r="F13" s="83"/>
      <c r="G13" s="75" t="s">
        <v>242</v>
      </c>
      <c r="H13" s="75" t="s">
        <v>15</v>
      </c>
      <c r="I13" s="62">
        <f>1400+10</f>
        <v>1410</v>
      </c>
      <c r="J13" s="59">
        <v>2</v>
      </c>
      <c r="K13" s="62" t="s">
        <v>39</v>
      </c>
      <c r="L13" s="59">
        <v>3</v>
      </c>
      <c r="M13" s="70">
        <v>39000048</v>
      </c>
      <c r="N13" t="s">
        <v>290</v>
      </c>
      <c r="O13" t="s">
        <v>372</v>
      </c>
      <c r="P13" t="s">
        <v>291</v>
      </c>
      <c r="Q13" t="b">
        <f t="shared" si="0"/>
        <v>1</v>
      </c>
    </row>
    <row r="14" spans="1:17" ht="30" customHeight="1" x14ac:dyDescent="0.25">
      <c r="A14" s="17">
        <v>8</v>
      </c>
      <c r="B14" s="17" t="s">
        <v>137</v>
      </c>
      <c r="C14" s="83" t="s">
        <v>24</v>
      </c>
      <c r="D14" s="83"/>
      <c r="E14" s="83"/>
      <c r="F14" s="83"/>
      <c r="G14" s="75" t="s">
        <v>242</v>
      </c>
      <c r="H14" s="75" t="s">
        <v>17</v>
      </c>
      <c r="I14" s="62">
        <f>1400+10</f>
        <v>1410</v>
      </c>
      <c r="J14" s="59">
        <v>3</v>
      </c>
      <c r="K14" s="62">
        <v>39000048</v>
      </c>
      <c r="L14" s="59">
        <v>2</v>
      </c>
      <c r="M14" s="38" t="s">
        <v>39</v>
      </c>
      <c r="N14" t="s">
        <v>294</v>
      </c>
      <c r="O14" t="s">
        <v>373</v>
      </c>
      <c r="P14" t="s">
        <v>279</v>
      </c>
      <c r="Q14" t="b">
        <f t="shared" si="0"/>
        <v>0</v>
      </c>
    </row>
    <row r="15" spans="1:17" ht="30" customHeight="1" x14ac:dyDescent="0.25">
      <c r="A15" s="17">
        <v>9</v>
      </c>
      <c r="B15" s="17" t="s">
        <v>138</v>
      </c>
      <c r="C15" s="83" t="s">
        <v>34</v>
      </c>
      <c r="D15" s="83"/>
      <c r="E15" s="83"/>
      <c r="F15" s="83"/>
      <c r="G15" s="75" t="s">
        <v>235</v>
      </c>
      <c r="H15" s="75" t="s">
        <v>16</v>
      </c>
      <c r="I15" s="62">
        <v>1230</v>
      </c>
      <c r="J15" s="59">
        <v>3.5</v>
      </c>
      <c r="K15" s="62" t="s">
        <v>35</v>
      </c>
      <c r="L15" s="59">
        <v>7</v>
      </c>
      <c r="M15" s="38" t="s">
        <v>40</v>
      </c>
      <c r="N15" t="s">
        <v>295</v>
      </c>
      <c r="O15" t="s">
        <v>374</v>
      </c>
      <c r="P15" t="s">
        <v>296</v>
      </c>
      <c r="Q15" t="b">
        <f t="shared" si="0"/>
        <v>1</v>
      </c>
    </row>
    <row r="16" spans="1:17" ht="30" customHeight="1" x14ac:dyDescent="0.25">
      <c r="A16" s="17">
        <v>10</v>
      </c>
      <c r="B16" s="17" t="s">
        <v>237</v>
      </c>
      <c r="C16" s="83" t="s">
        <v>24</v>
      </c>
      <c r="D16" s="83"/>
      <c r="E16" s="83"/>
      <c r="F16" s="83"/>
      <c r="G16" s="75" t="s">
        <v>242</v>
      </c>
      <c r="H16" s="75" t="s">
        <v>17</v>
      </c>
      <c r="I16" s="62">
        <v>2090</v>
      </c>
      <c r="J16" s="59">
        <v>2</v>
      </c>
      <c r="K16" s="62" t="s">
        <v>39</v>
      </c>
      <c r="L16" s="59">
        <v>3.5</v>
      </c>
      <c r="M16" s="70" t="s">
        <v>238</v>
      </c>
      <c r="N16" t="s">
        <v>294</v>
      </c>
      <c r="O16" t="s">
        <v>373</v>
      </c>
      <c r="P16" t="s">
        <v>279</v>
      </c>
      <c r="Q16" t="b">
        <f t="shared" si="0"/>
        <v>0</v>
      </c>
    </row>
    <row r="17" spans="1:17" ht="30" customHeight="1" x14ac:dyDescent="0.25">
      <c r="A17" s="17">
        <v>11</v>
      </c>
      <c r="B17" s="17" t="s">
        <v>139</v>
      </c>
      <c r="C17" s="83" t="s">
        <v>24</v>
      </c>
      <c r="D17" s="83"/>
      <c r="E17" s="83"/>
      <c r="F17" s="83"/>
      <c r="G17" s="75" t="s">
        <v>242</v>
      </c>
      <c r="H17" s="75" t="s">
        <v>27</v>
      </c>
      <c r="I17" s="62">
        <f>1320+5</f>
        <v>1325</v>
      </c>
      <c r="J17" s="59">
        <v>3</v>
      </c>
      <c r="K17" s="62">
        <v>39000048</v>
      </c>
      <c r="L17" s="59">
        <v>2</v>
      </c>
      <c r="M17" s="70">
        <v>561349000</v>
      </c>
      <c r="N17" t="s">
        <v>297</v>
      </c>
      <c r="O17" t="s">
        <v>361</v>
      </c>
      <c r="P17" t="s">
        <v>298</v>
      </c>
      <c r="Q17" t="b">
        <f t="shared" si="0"/>
        <v>1</v>
      </c>
    </row>
    <row r="18" spans="1:17" ht="30" customHeight="1" x14ac:dyDescent="0.25">
      <c r="A18" s="17">
        <v>12</v>
      </c>
      <c r="B18" s="17" t="s">
        <v>140</v>
      </c>
      <c r="C18" s="83" t="s">
        <v>31</v>
      </c>
      <c r="D18" s="83"/>
      <c r="E18" s="83"/>
      <c r="F18" s="83"/>
      <c r="G18" s="75" t="s">
        <v>234</v>
      </c>
      <c r="H18" s="75" t="s">
        <v>32</v>
      </c>
      <c r="I18" s="72">
        <v>950</v>
      </c>
      <c r="J18" s="59">
        <v>3.5</v>
      </c>
      <c r="K18" s="62" t="s">
        <v>41</v>
      </c>
      <c r="L18" s="59">
        <v>11</v>
      </c>
      <c r="M18" s="38" t="s">
        <v>42</v>
      </c>
      <c r="N18" t="s">
        <v>284</v>
      </c>
      <c r="O18" t="s">
        <v>370</v>
      </c>
      <c r="P18" t="s">
        <v>285</v>
      </c>
      <c r="Q18" t="b">
        <f t="shared" si="0"/>
        <v>1</v>
      </c>
    </row>
    <row r="19" spans="1:17" ht="30" customHeight="1" x14ac:dyDescent="0.25">
      <c r="A19" s="17">
        <v>13</v>
      </c>
      <c r="B19" s="17" t="s">
        <v>141</v>
      </c>
      <c r="C19" s="83" t="s">
        <v>24</v>
      </c>
      <c r="D19" s="83"/>
      <c r="E19" s="83"/>
      <c r="F19" s="83"/>
      <c r="G19" s="75" t="s">
        <v>242</v>
      </c>
      <c r="H19" s="75" t="s">
        <v>26</v>
      </c>
      <c r="I19" s="62">
        <f>1230-20</f>
        <v>1210</v>
      </c>
      <c r="J19" s="59">
        <v>2</v>
      </c>
      <c r="K19" s="70">
        <v>561349000</v>
      </c>
      <c r="L19" s="59">
        <v>3</v>
      </c>
      <c r="M19" s="70">
        <v>39000048</v>
      </c>
      <c r="N19" t="s">
        <v>299</v>
      </c>
      <c r="O19" t="s">
        <v>362</v>
      </c>
      <c r="P19" t="s">
        <v>300</v>
      </c>
      <c r="Q19" t="b">
        <f t="shared" si="0"/>
        <v>1</v>
      </c>
    </row>
    <row r="20" spans="1:17" ht="30" customHeight="1" x14ac:dyDescent="0.25">
      <c r="A20" s="17">
        <v>14</v>
      </c>
      <c r="B20" s="17" t="s">
        <v>142</v>
      </c>
      <c r="C20" s="83" t="s">
        <v>24</v>
      </c>
      <c r="D20" s="83"/>
      <c r="E20" s="83"/>
      <c r="F20" s="83"/>
      <c r="G20" s="75" t="s">
        <v>242</v>
      </c>
      <c r="H20" s="75" t="s">
        <v>29</v>
      </c>
      <c r="I20" s="62">
        <f>1060+20</f>
        <v>1080</v>
      </c>
      <c r="J20" s="59">
        <v>2</v>
      </c>
      <c r="K20" s="62" t="s">
        <v>36</v>
      </c>
      <c r="L20" s="59">
        <v>3</v>
      </c>
      <c r="M20" s="70">
        <v>39000048</v>
      </c>
      <c r="N20" t="s">
        <v>301</v>
      </c>
      <c r="O20" t="s">
        <v>359</v>
      </c>
      <c r="P20" t="s">
        <v>302</v>
      </c>
      <c r="Q20" t="b">
        <f t="shared" si="0"/>
        <v>1</v>
      </c>
    </row>
    <row r="21" spans="1:17" ht="30" customHeight="1" x14ac:dyDescent="0.25">
      <c r="A21" s="17">
        <v>15</v>
      </c>
      <c r="B21" s="17" t="s">
        <v>143</v>
      </c>
      <c r="C21" s="83" t="s">
        <v>34</v>
      </c>
      <c r="D21" s="83"/>
      <c r="E21" s="83"/>
      <c r="F21" s="83"/>
      <c r="G21" s="75" t="s">
        <v>235</v>
      </c>
      <c r="H21" s="75" t="s">
        <v>28</v>
      </c>
      <c r="I21" s="62">
        <f>2590+10</f>
        <v>2600</v>
      </c>
      <c r="J21" s="59">
        <v>3.5</v>
      </c>
      <c r="K21" s="62" t="s">
        <v>35</v>
      </c>
      <c r="L21" s="59">
        <v>3</v>
      </c>
      <c r="M21" s="70">
        <v>39000040</v>
      </c>
      <c r="N21" t="s">
        <v>303</v>
      </c>
      <c r="O21" t="s">
        <v>304</v>
      </c>
      <c r="P21" t="s">
        <v>304</v>
      </c>
      <c r="Q21" t="b">
        <f t="shared" si="0"/>
        <v>1</v>
      </c>
    </row>
    <row r="22" spans="1:17" ht="30" customHeight="1" x14ac:dyDescent="0.25">
      <c r="A22" s="17">
        <v>16</v>
      </c>
      <c r="B22" s="17" t="s">
        <v>144</v>
      </c>
      <c r="C22" s="83" t="s">
        <v>24</v>
      </c>
      <c r="D22" s="83"/>
      <c r="E22" s="83"/>
      <c r="F22" s="83"/>
      <c r="G22" s="75" t="s">
        <v>242</v>
      </c>
      <c r="H22" s="75" t="s">
        <v>43</v>
      </c>
      <c r="I22" s="62">
        <v>1400</v>
      </c>
      <c r="J22" s="59">
        <v>2</v>
      </c>
      <c r="K22" s="62" t="s">
        <v>39</v>
      </c>
      <c r="L22" s="59">
        <v>3</v>
      </c>
      <c r="M22" s="70">
        <v>39000048</v>
      </c>
      <c r="N22" t="s">
        <v>305</v>
      </c>
      <c r="O22" t="s">
        <v>360</v>
      </c>
      <c r="P22" t="s">
        <v>306</v>
      </c>
      <c r="Q22" t="b">
        <f t="shared" si="0"/>
        <v>1</v>
      </c>
    </row>
    <row r="23" spans="1:17" ht="30" customHeight="1" x14ac:dyDescent="0.25">
      <c r="A23" s="17">
        <v>17</v>
      </c>
      <c r="B23" s="17" t="s">
        <v>145</v>
      </c>
      <c r="C23" s="83" t="s">
        <v>31</v>
      </c>
      <c r="D23" s="83"/>
      <c r="E23" s="83"/>
      <c r="F23" s="83"/>
      <c r="G23" s="75" t="s">
        <v>234</v>
      </c>
      <c r="H23" s="75" t="s">
        <v>19</v>
      </c>
      <c r="I23" s="62">
        <f>1120+10</f>
        <v>1130</v>
      </c>
      <c r="J23" s="59">
        <v>3.5</v>
      </c>
      <c r="K23" s="62" t="s">
        <v>41</v>
      </c>
      <c r="L23" s="59">
        <v>5</v>
      </c>
      <c r="M23" s="38" t="s">
        <v>44</v>
      </c>
      <c r="N23" t="s">
        <v>307</v>
      </c>
      <c r="O23" t="s">
        <v>375</v>
      </c>
      <c r="P23" t="s">
        <v>308</v>
      </c>
      <c r="Q23" t="b">
        <f t="shared" si="0"/>
        <v>1</v>
      </c>
    </row>
    <row r="24" spans="1:17" ht="30" customHeight="1" x14ac:dyDescent="0.25">
      <c r="A24" s="17">
        <v>18</v>
      </c>
      <c r="B24" s="17" t="s">
        <v>146</v>
      </c>
      <c r="C24" s="83" t="s">
        <v>24</v>
      </c>
      <c r="D24" s="83"/>
      <c r="E24" s="83"/>
      <c r="F24" s="83"/>
      <c r="G24" s="75" t="s">
        <v>242</v>
      </c>
      <c r="H24" s="75" t="s">
        <v>45</v>
      </c>
      <c r="I24" s="62">
        <f>660+5</f>
        <v>665</v>
      </c>
      <c r="J24" s="59">
        <v>7</v>
      </c>
      <c r="K24" s="71" t="s">
        <v>223</v>
      </c>
      <c r="L24" s="59">
        <v>3</v>
      </c>
      <c r="M24" s="70">
        <v>39000048</v>
      </c>
      <c r="N24" t="s">
        <v>309</v>
      </c>
      <c r="O24" t="s">
        <v>280</v>
      </c>
      <c r="P24" t="s">
        <v>280</v>
      </c>
      <c r="Q24" t="b">
        <f t="shared" si="0"/>
        <v>1</v>
      </c>
    </row>
    <row r="25" spans="1:17" ht="30" customHeight="1" x14ac:dyDescent="0.25">
      <c r="A25" s="17">
        <v>19</v>
      </c>
      <c r="B25" s="17" t="s">
        <v>147</v>
      </c>
      <c r="C25" s="83" t="s">
        <v>24</v>
      </c>
      <c r="D25" s="83"/>
      <c r="E25" s="83"/>
      <c r="F25" s="83"/>
      <c r="G25" s="75" t="s">
        <v>242</v>
      </c>
      <c r="H25" s="75" t="s">
        <v>30</v>
      </c>
      <c r="I25" s="62">
        <f>1320-15</f>
        <v>1305</v>
      </c>
      <c r="J25" s="59">
        <v>3</v>
      </c>
      <c r="K25" s="62" t="s">
        <v>47</v>
      </c>
      <c r="L25" s="59">
        <v>2</v>
      </c>
      <c r="M25" s="70" t="s">
        <v>39</v>
      </c>
      <c r="N25" t="s">
        <v>310</v>
      </c>
      <c r="O25" t="s">
        <v>376</v>
      </c>
      <c r="P25" t="s">
        <v>311</v>
      </c>
      <c r="Q25" t="b">
        <f t="shared" si="0"/>
        <v>1</v>
      </c>
    </row>
    <row r="26" spans="1:17" ht="30" customHeight="1" x14ac:dyDescent="0.25">
      <c r="A26" s="17">
        <v>20</v>
      </c>
      <c r="B26" s="17" t="s">
        <v>148</v>
      </c>
      <c r="C26" s="83" t="s">
        <v>24</v>
      </c>
      <c r="D26" s="83"/>
      <c r="E26" s="83"/>
      <c r="F26" s="83"/>
      <c r="G26" s="75" t="s">
        <v>242</v>
      </c>
      <c r="H26" s="75" t="s">
        <v>46</v>
      </c>
      <c r="I26" s="62">
        <v>1305</v>
      </c>
      <c r="J26" s="59">
        <v>3</v>
      </c>
      <c r="K26" s="62" t="s">
        <v>47</v>
      </c>
      <c r="L26" s="59">
        <v>2</v>
      </c>
      <c r="M26" s="70" t="s">
        <v>39</v>
      </c>
      <c r="N26" t="s">
        <v>309</v>
      </c>
      <c r="O26" t="s">
        <v>280</v>
      </c>
      <c r="P26" t="s">
        <v>312</v>
      </c>
      <c r="Q26" t="b">
        <f t="shared" si="0"/>
        <v>1</v>
      </c>
    </row>
    <row r="27" spans="1:17" ht="30" customHeight="1" x14ac:dyDescent="0.25">
      <c r="A27" s="17">
        <v>21</v>
      </c>
      <c r="B27" s="17" t="s">
        <v>149</v>
      </c>
      <c r="C27" s="83" t="s">
        <v>34</v>
      </c>
      <c r="D27" s="83"/>
      <c r="E27" s="83"/>
      <c r="F27" s="83"/>
      <c r="G27" s="75" t="s">
        <v>235</v>
      </c>
      <c r="H27" s="75" t="s">
        <v>18</v>
      </c>
      <c r="I27" s="62">
        <v>1235</v>
      </c>
      <c r="J27" s="59">
        <v>3.5</v>
      </c>
      <c r="K27" s="62" t="s">
        <v>35</v>
      </c>
      <c r="L27" s="59">
        <v>7</v>
      </c>
      <c r="M27" s="38" t="s">
        <v>224</v>
      </c>
      <c r="N27" t="s">
        <v>313</v>
      </c>
      <c r="O27" t="s">
        <v>377</v>
      </c>
      <c r="P27" t="s">
        <v>314</v>
      </c>
      <c r="Q27" t="b">
        <f t="shared" si="0"/>
        <v>1</v>
      </c>
    </row>
    <row r="28" spans="1:17" ht="30" customHeight="1" x14ac:dyDescent="0.25">
      <c r="A28" s="17">
        <v>22</v>
      </c>
      <c r="B28" s="17" t="s">
        <v>150</v>
      </c>
      <c r="C28" s="83" t="s">
        <v>31</v>
      </c>
      <c r="D28" s="83"/>
      <c r="E28" s="83"/>
      <c r="F28" s="83"/>
      <c r="G28" s="75" t="s">
        <v>234</v>
      </c>
      <c r="H28" s="75" t="s">
        <v>48</v>
      </c>
      <c r="I28" s="62">
        <f>1280-300</f>
        <v>980</v>
      </c>
      <c r="J28" s="59">
        <v>3</v>
      </c>
      <c r="K28" s="62">
        <v>39000040</v>
      </c>
      <c r="L28" s="59">
        <v>12</v>
      </c>
      <c r="M28" s="38" t="s">
        <v>49</v>
      </c>
      <c r="N28" t="s">
        <v>315</v>
      </c>
      <c r="O28" t="s">
        <v>378</v>
      </c>
      <c r="P28" t="s">
        <v>316</v>
      </c>
      <c r="Q28" t="b">
        <f t="shared" si="0"/>
        <v>1</v>
      </c>
    </row>
    <row r="29" spans="1:17" ht="30" customHeight="1" x14ac:dyDescent="0.25">
      <c r="A29" s="17">
        <v>23</v>
      </c>
      <c r="B29" s="17" t="s">
        <v>151</v>
      </c>
      <c r="C29" s="83" t="s">
        <v>24</v>
      </c>
      <c r="D29" s="83"/>
      <c r="E29" s="83"/>
      <c r="F29" s="83"/>
      <c r="G29" s="75" t="s">
        <v>242</v>
      </c>
      <c r="H29" s="75" t="s">
        <v>43</v>
      </c>
      <c r="I29" s="62">
        <f>220+15</f>
        <v>235</v>
      </c>
      <c r="J29" s="59">
        <v>5</v>
      </c>
      <c r="K29" s="62" t="s">
        <v>50</v>
      </c>
      <c r="L29" s="59">
        <v>7</v>
      </c>
      <c r="M29" s="38" t="s">
        <v>51</v>
      </c>
      <c r="N29" t="s">
        <v>305</v>
      </c>
      <c r="O29" t="s">
        <v>360</v>
      </c>
      <c r="P29" t="s">
        <v>306</v>
      </c>
      <c r="Q29" t="b">
        <f t="shared" si="0"/>
        <v>1</v>
      </c>
    </row>
    <row r="30" spans="1:17" ht="30" customHeight="1" x14ac:dyDescent="0.25">
      <c r="A30" s="17">
        <v>24</v>
      </c>
      <c r="B30" s="17" t="s">
        <v>152</v>
      </c>
      <c r="C30" s="83" t="s">
        <v>31</v>
      </c>
      <c r="D30" s="83"/>
      <c r="E30" s="83"/>
      <c r="F30" s="83"/>
      <c r="G30" s="75" t="s">
        <v>234</v>
      </c>
      <c r="H30" s="75" t="s">
        <v>19</v>
      </c>
      <c r="I30" s="62">
        <v>625</v>
      </c>
      <c r="J30" s="59">
        <v>3</v>
      </c>
      <c r="K30" s="62">
        <v>39000040</v>
      </c>
      <c r="L30" s="59">
        <v>11</v>
      </c>
      <c r="M30" s="38" t="s">
        <v>52</v>
      </c>
      <c r="N30" t="s">
        <v>307</v>
      </c>
      <c r="O30" t="s">
        <v>375</v>
      </c>
      <c r="P30" t="s">
        <v>308</v>
      </c>
      <c r="Q30" t="b">
        <f t="shared" si="0"/>
        <v>1</v>
      </c>
    </row>
    <row r="31" spans="1:17" ht="30" customHeight="1" x14ac:dyDescent="0.25">
      <c r="A31" s="17">
        <v>25</v>
      </c>
      <c r="B31" s="17" t="s">
        <v>153</v>
      </c>
      <c r="C31" s="83" t="s">
        <v>34</v>
      </c>
      <c r="D31" s="83"/>
      <c r="E31" s="83"/>
      <c r="F31" s="83"/>
      <c r="G31" s="75" t="s">
        <v>235</v>
      </c>
      <c r="H31" s="75" t="s">
        <v>19</v>
      </c>
      <c r="I31" s="62">
        <v>855</v>
      </c>
      <c r="J31" s="59">
        <v>3.5</v>
      </c>
      <c r="K31" s="62" t="s">
        <v>35</v>
      </c>
      <c r="L31" s="59">
        <v>7</v>
      </c>
      <c r="M31" s="38" t="s">
        <v>53</v>
      </c>
      <c r="N31" t="s">
        <v>317</v>
      </c>
      <c r="O31" t="s">
        <v>379</v>
      </c>
      <c r="P31" t="s">
        <v>318</v>
      </c>
      <c r="Q31" t="b">
        <f t="shared" si="0"/>
        <v>1</v>
      </c>
    </row>
    <row r="32" spans="1:17" ht="30" customHeight="1" x14ac:dyDescent="0.25">
      <c r="A32" s="17">
        <v>26</v>
      </c>
      <c r="B32" s="17" t="s">
        <v>154</v>
      </c>
      <c r="C32" s="83" t="s">
        <v>31</v>
      </c>
      <c r="D32" s="83"/>
      <c r="E32" s="83"/>
      <c r="F32" s="83"/>
      <c r="G32" s="75" t="s">
        <v>234</v>
      </c>
      <c r="H32" s="75" t="s">
        <v>54</v>
      </c>
      <c r="I32" s="62">
        <v>2200</v>
      </c>
      <c r="J32" s="59">
        <v>3</v>
      </c>
      <c r="K32" s="62">
        <v>39000040</v>
      </c>
      <c r="L32" s="59">
        <v>11</v>
      </c>
      <c r="M32" s="38" t="s">
        <v>55</v>
      </c>
      <c r="N32" t="s">
        <v>319</v>
      </c>
      <c r="O32" t="s">
        <v>283</v>
      </c>
      <c r="P32" t="s">
        <v>320</v>
      </c>
      <c r="Q32" t="b">
        <f t="shared" si="0"/>
        <v>1</v>
      </c>
    </row>
    <row r="33" spans="1:17" ht="30" customHeight="1" x14ac:dyDescent="0.25">
      <c r="A33" s="17">
        <v>27</v>
      </c>
      <c r="B33" s="17" t="s">
        <v>155</v>
      </c>
      <c r="C33" s="83" t="s">
        <v>31</v>
      </c>
      <c r="D33" s="83"/>
      <c r="E33" s="83"/>
      <c r="F33" s="83"/>
      <c r="G33" s="75" t="s">
        <v>234</v>
      </c>
      <c r="H33" s="75" t="s">
        <v>54</v>
      </c>
      <c r="I33" s="62">
        <v>780</v>
      </c>
      <c r="J33" s="59">
        <v>3</v>
      </c>
      <c r="K33" s="62">
        <v>39000040</v>
      </c>
      <c r="L33" s="59">
        <v>11</v>
      </c>
      <c r="M33" s="38" t="s">
        <v>56</v>
      </c>
      <c r="N33" t="s">
        <v>319</v>
      </c>
      <c r="O33" t="s">
        <v>283</v>
      </c>
      <c r="P33" t="s">
        <v>320</v>
      </c>
      <c r="Q33" t="b">
        <f t="shared" si="0"/>
        <v>1</v>
      </c>
    </row>
    <row r="34" spans="1:17" ht="30" customHeight="1" x14ac:dyDescent="0.25">
      <c r="A34" s="17">
        <v>28</v>
      </c>
      <c r="B34" s="17" t="s">
        <v>156</v>
      </c>
      <c r="C34" s="83" t="s">
        <v>24</v>
      </c>
      <c r="D34" s="83"/>
      <c r="E34" s="83"/>
      <c r="F34" s="83"/>
      <c r="G34" s="75" t="s">
        <v>242</v>
      </c>
      <c r="H34" s="75" t="s">
        <v>16</v>
      </c>
      <c r="I34" s="62">
        <f>1230-20</f>
        <v>1210</v>
      </c>
      <c r="J34" s="59">
        <v>2</v>
      </c>
      <c r="K34" s="70">
        <v>561349000</v>
      </c>
      <c r="L34" s="59">
        <v>3</v>
      </c>
      <c r="M34" s="38">
        <v>39000048</v>
      </c>
      <c r="N34" t="s">
        <v>321</v>
      </c>
      <c r="O34" t="s">
        <v>380</v>
      </c>
      <c r="P34" t="s">
        <v>322</v>
      </c>
      <c r="Q34" t="b">
        <f t="shared" si="0"/>
        <v>1</v>
      </c>
    </row>
    <row r="35" spans="1:17" ht="30" customHeight="1" x14ac:dyDescent="0.25">
      <c r="A35" s="17">
        <v>29</v>
      </c>
      <c r="B35" s="17" t="s">
        <v>157</v>
      </c>
      <c r="C35" s="83" t="s">
        <v>24</v>
      </c>
      <c r="D35" s="83"/>
      <c r="E35" s="83"/>
      <c r="F35" s="83"/>
      <c r="G35" s="75" t="s">
        <v>242</v>
      </c>
      <c r="H35" s="75" t="s">
        <v>15</v>
      </c>
      <c r="I35" s="62">
        <f t="shared" ref="I35:I36" si="1">1230-20</f>
        <v>1210</v>
      </c>
      <c r="J35" s="59">
        <v>2</v>
      </c>
      <c r="K35" s="70">
        <v>561349000</v>
      </c>
      <c r="L35" s="59">
        <v>3</v>
      </c>
      <c r="M35" s="38">
        <v>39000048</v>
      </c>
      <c r="N35" t="s">
        <v>290</v>
      </c>
      <c r="O35" t="s">
        <v>372</v>
      </c>
      <c r="P35" t="s">
        <v>291</v>
      </c>
      <c r="Q35" t="b">
        <f t="shared" si="0"/>
        <v>1</v>
      </c>
    </row>
    <row r="36" spans="1:17" ht="30" customHeight="1" x14ac:dyDescent="0.25">
      <c r="A36" s="17">
        <v>30</v>
      </c>
      <c r="B36" s="17" t="s">
        <v>158</v>
      </c>
      <c r="C36" s="83" t="s">
        <v>24</v>
      </c>
      <c r="D36" s="83"/>
      <c r="E36" s="83"/>
      <c r="F36" s="83"/>
      <c r="G36" s="75" t="s">
        <v>242</v>
      </c>
      <c r="H36" s="75" t="s">
        <v>57</v>
      </c>
      <c r="I36" s="62">
        <f t="shared" si="1"/>
        <v>1210</v>
      </c>
      <c r="J36" s="59">
        <v>2</v>
      </c>
      <c r="K36" s="70">
        <v>561349000</v>
      </c>
      <c r="L36" s="59">
        <v>3</v>
      </c>
      <c r="M36" s="38">
        <v>39000048</v>
      </c>
      <c r="N36" t="s">
        <v>323</v>
      </c>
      <c r="O36" t="s">
        <v>281</v>
      </c>
      <c r="P36" t="s">
        <v>281</v>
      </c>
      <c r="Q36" t="b">
        <f t="shared" si="0"/>
        <v>1</v>
      </c>
    </row>
    <row r="37" spans="1:17" ht="30" customHeight="1" x14ac:dyDescent="0.25">
      <c r="A37" s="17">
        <v>31</v>
      </c>
      <c r="B37" s="17" t="s">
        <v>159</v>
      </c>
      <c r="C37" s="83" t="s">
        <v>24</v>
      </c>
      <c r="D37" s="83"/>
      <c r="E37" s="83"/>
      <c r="F37" s="83"/>
      <c r="G37" s="75" t="s">
        <v>242</v>
      </c>
      <c r="H37" s="75" t="s">
        <v>48</v>
      </c>
      <c r="I37" s="62">
        <f>1120-35-25+10</f>
        <v>1070</v>
      </c>
      <c r="J37" s="59">
        <v>2</v>
      </c>
      <c r="K37" s="62" t="s">
        <v>36</v>
      </c>
      <c r="L37" s="59">
        <v>3</v>
      </c>
      <c r="M37" s="38">
        <v>39000048</v>
      </c>
      <c r="N37" t="s">
        <v>324</v>
      </c>
      <c r="O37" t="s">
        <v>364</v>
      </c>
      <c r="P37" t="s">
        <v>325</v>
      </c>
      <c r="Q37" t="b">
        <f t="shared" si="0"/>
        <v>1</v>
      </c>
    </row>
    <row r="38" spans="1:17" ht="30" customHeight="1" x14ac:dyDescent="0.25">
      <c r="A38" s="17">
        <v>32</v>
      </c>
      <c r="B38" s="17" t="s">
        <v>160</v>
      </c>
      <c r="C38" s="83" t="s">
        <v>24</v>
      </c>
      <c r="D38" s="83"/>
      <c r="E38" s="83"/>
      <c r="F38" s="83"/>
      <c r="G38" s="75" t="s">
        <v>242</v>
      </c>
      <c r="H38" s="75" t="s">
        <v>29</v>
      </c>
      <c r="I38" s="62">
        <v>890</v>
      </c>
      <c r="J38" s="59">
        <v>3</v>
      </c>
      <c r="K38" s="38">
        <v>39000048</v>
      </c>
      <c r="L38" s="59">
        <v>7</v>
      </c>
      <c r="M38" s="38" t="s">
        <v>51</v>
      </c>
      <c r="N38" t="s">
        <v>301</v>
      </c>
      <c r="O38" t="s">
        <v>359</v>
      </c>
      <c r="P38" t="s">
        <v>302</v>
      </c>
      <c r="Q38" t="b">
        <f t="shared" si="0"/>
        <v>1</v>
      </c>
    </row>
    <row r="39" spans="1:17" ht="30" customHeight="1" x14ac:dyDescent="0.25">
      <c r="A39" s="17">
        <v>33</v>
      </c>
      <c r="B39" s="17" t="s">
        <v>162</v>
      </c>
      <c r="C39" s="83" t="s">
        <v>34</v>
      </c>
      <c r="D39" s="83"/>
      <c r="E39" s="83"/>
      <c r="F39" s="83"/>
      <c r="G39" s="75" t="s">
        <v>235</v>
      </c>
      <c r="H39" s="75" t="s">
        <v>48</v>
      </c>
      <c r="I39" s="62">
        <v>2580</v>
      </c>
      <c r="J39" s="59">
        <v>3.5</v>
      </c>
      <c r="K39" s="62" t="s">
        <v>35</v>
      </c>
      <c r="L39" s="59">
        <v>3</v>
      </c>
      <c r="M39" s="70">
        <v>39000040</v>
      </c>
      <c r="N39" t="s">
        <v>326</v>
      </c>
      <c r="O39" t="s">
        <v>381</v>
      </c>
      <c r="P39" t="s">
        <v>327</v>
      </c>
      <c r="Q39" t="b">
        <f t="shared" si="0"/>
        <v>1</v>
      </c>
    </row>
    <row r="40" spans="1:17" ht="30" customHeight="1" x14ac:dyDescent="0.25">
      <c r="A40" s="17">
        <v>34</v>
      </c>
      <c r="B40" s="17" t="s">
        <v>161</v>
      </c>
      <c r="C40" s="83" t="s">
        <v>24</v>
      </c>
      <c r="D40" s="83"/>
      <c r="E40" s="83"/>
      <c r="F40" s="83"/>
      <c r="G40" s="75" t="s">
        <v>242</v>
      </c>
      <c r="H40" s="75" t="s">
        <v>57</v>
      </c>
      <c r="I40" s="62">
        <f>1400+10</f>
        <v>1410</v>
      </c>
      <c r="J40" s="59">
        <v>2</v>
      </c>
      <c r="K40" s="62" t="s">
        <v>39</v>
      </c>
      <c r="L40" s="59">
        <v>3</v>
      </c>
      <c r="M40" s="38">
        <v>39000048</v>
      </c>
      <c r="N40" t="s">
        <v>323</v>
      </c>
      <c r="O40" t="s">
        <v>281</v>
      </c>
      <c r="P40" t="s">
        <v>281</v>
      </c>
      <c r="Q40" t="b">
        <f t="shared" si="0"/>
        <v>1</v>
      </c>
    </row>
    <row r="41" spans="1:17" ht="30" customHeight="1" x14ac:dyDescent="0.25">
      <c r="A41" s="17">
        <v>35</v>
      </c>
      <c r="B41" s="17" t="s">
        <v>163</v>
      </c>
      <c r="C41" s="83" t="s">
        <v>31</v>
      </c>
      <c r="D41" s="83"/>
      <c r="E41" s="83"/>
      <c r="F41" s="83"/>
      <c r="G41" s="75" t="s">
        <v>234</v>
      </c>
      <c r="H41" s="75" t="s">
        <v>48</v>
      </c>
      <c r="I41" s="62">
        <f>450-30</f>
        <v>420</v>
      </c>
      <c r="J41" s="59">
        <v>3</v>
      </c>
      <c r="K41" s="62">
        <v>39000040</v>
      </c>
      <c r="L41" s="59">
        <v>12</v>
      </c>
      <c r="M41" s="38" t="s">
        <v>59</v>
      </c>
      <c r="N41" t="s">
        <v>315</v>
      </c>
      <c r="O41" t="s">
        <v>378</v>
      </c>
      <c r="P41" t="s">
        <v>316</v>
      </c>
      <c r="Q41" t="b">
        <f t="shared" si="0"/>
        <v>1</v>
      </c>
    </row>
    <row r="42" spans="1:17" ht="30" customHeight="1" x14ac:dyDescent="0.25">
      <c r="A42" s="17">
        <v>36</v>
      </c>
      <c r="B42" s="17" t="s">
        <v>164</v>
      </c>
      <c r="C42" s="83" t="s">
        <v>31</v>
      </c>
      <c r="D42" s="83"/>
      <c r="E42" s="83"/>
      <c r="F42" s="83"/>
      <c r="G42" s="75" t="s">
        <v>234</v>
      </c>
      <c r="H42" s="75" t="s">
        <v>58</v>
      </c>
      <c r="I42" s="62">
        <f>450-30</f>
        <v>420</v>
      </c>
      <c r="J42" s="59">
        <v>3</v>
      </c>
      <c r="K42" s="62">
        <v>39000040</v>
      </c>
      <c r="L42" s="59">
        <v>12</v>
      </c>
      <c r="M42" s="38" t="s">
        <v>59</v>
      </c>
      <c r="N42" t="s">
        <v>328</v>
      </c>
      <c r="O42" t="s">
        <v>382</v>
      </c>
      <c r="P42" t="s">
        <v>329</v>
      </c>
      <c r="Q42" t="b">
        <f t="shared" si="0"/>
        <v>1</v>
      </c>
    </row>
    <row r="43" spans="1:17" ht="30" customHeight="1" x14ac:dyDescent="0.25">
      <c r="A43" s="17">
        <v>37</v>
      </c>
      <c r="B43" s="17" t="s">
        <v>165</v>
      </c>
      <c r="C43" s="83" t="s">
        <v>34</v>
      </c>
      <c r="D43" s="83"/>
      <c r="E43" s="83"/>
      <c r="F43" s="83"/>
      <c r="G43" s="75" t="s">
        <v>235</v>
      </c>
      <c r="H43" s="75" t="s">
        <v>48</v>
      </c>
      <c r="I43" s="62">
        <f>1505+15</f>
        <v>1520</v>
      </c>
      <c r="J43" s="59">
        <v>3</v>
      </c>
      <c r="K43" s="62">
        <v>39000040</v>
      </c>
      <c r="L43" s="59">
        <v>12</v>
      </c>
      <c r="M43" s="38" t="s">
        <v>59</v>
      </c>
      <c r="N43" t="s">
        <v>326</v>
      </c>
      <c r="O43" t="s">
        <v>381</v>
      </c>
      <c r="P43" t="s">
        <v>327</v>
      </c>
      <c r="Q43" t="b">
        <f t="shared" si="0"/>
        <v>1</v>
      </c>
    </row>
    <row r="44" spans="1:17" ht="30" customHeight="1" x14ac:dyDescent="0.25">
      <c r="A44" s="17">
        <v>38</v>
      </c>
      <c r="B44" s="17" t="s">
        <v>166</v>
      </c>
      <c r="C44" s="83" t="s">
        <v>24</v>
      </c>
      <c r="D44" s="83"/>
      <c r="E44" s="83"/>
      <c r="F44" s="83"/>
      <c r="G44" s="75" t="s">
        <v>242</v>
      </c>
      <c r="H44" s="75" t="s">
        <v>60</v>
      </c>
      <c r="I44" s="62">
        <v>1410</v>
      </c>
      <c r="J44" s="59">
        <v>2</v>
      </c>
      <c r="K44" s="62" t="s">
        <v>39</v>
      </c>
      <c r="L44" s="59">
        <v>3</v>
      </c>
      <c r="M44" s="38">
        <v>39000048</v>
      </c>
      <c r="N44" t="s">
        <v>330</v>
      </c>
      <c r="O44" t="s">
        <v>331</v>
      </c>
      <c r="P44" t="s">
        <v>331</v>
      </c>
      <c r="Q44" t="b">
        <f t="shared" si="0"/>
        <v>1</v>
      </c>
    </row>
    <row r="45" spans="1:17" ht="30" customHeight="1" x14ac:dyDescent="0.25">
      <c r="A45" s="17">
        <v>39</v>
      </c>
      <c r="B45" s="17" t="s">
        <v>167</v>
      </c>
      <c r="C45" s="83" t="s">
        <v>24</v>
      </c>
      <c r="D45" s="83"/>
      <c r="E45" s="83"/>
      <c r="F45" s="83"/>
      <c r="G45" s="75" t="s">
        <v>242</v>
      </c>
      <c r="H45" s="75" t="s">
        <v>18</v>
      </c>
      <c r="I45" s="62">
        <v>1355</v>
      </c>
      <c r="J45" s="59">
        <v>3.5</v>
      </c>
      <c r="K45" s="62" t="s">
        <v>61</v>
      </c>
      <c r="L45" s="59">
        <v>7</v>
      </c>
      <c r="M45" s="38" t="s">
        <v>62</v>
      </c>
      <c r="N45" t="s">
        <v>332</v>
      </c>
      <c r="O45" t="s">
        <v>383</v>
      </c>
      <c r="P45" t="s">
        <v>333</v>
      </c>
      <c r="Q45" t="b">
        <f t="shared" si="0"/>
        <v>1</v>
      </c>
    </row>
    <row r="46" spans="1:17" ht="30" customHeight="1" x14ac:dyDescent="0.25">
      <c r="A46" s="17">
        <v>40</v>
      </c>
      <c r="B46" s="17" t="s">
        <v>168</v>
      </c>
      <c r="C46" s="83" t="s">
        <v>24</v>
      </c>
      <c r="D46" s="83"/>
      <c r="E46" s="83"/>
      <c r="F46" s="83"/>
      <c r="G46" s="75" t="s">
        <v>242</v>
      </c>
      <c r="H46" s="75" t="s">
        <v>16</v>
      </c>
      <c r="I46" s="62">
        <v>1350</v>
      </c>
      <c r="J46" s="59">
        <v>3.5</v>
      </c>
      <c r="K46" s="62" t="s">
        <v>61</v>
      </c>
      <c r="L46" s="59">
        <v>7</v>
      </c>
      <c r="M46" s="38" t="s">
        <v>63</v>
      </c>
      <c r="N46" t="s">
        <v>321</v>
      </c>
      <c r="O46" t="s">
        <v>380</v>
      </c>
      <c r="P46" t="s">
        <v>322</v>
      </c>
      <c r="Q46" t="b">
        <f t="shared" si="0"/>
        <v>1</v>
      </c>
    </row>
    <row r="47" spans="1:17" ht="30" customHeight="1" x14ac:dyDescent="0.25">
      <c r="A47" s="17">
        <v>41</v>
      </c>
      <c r="B47" s="17" t="s">
        <v>169</v>
      </c>
      <c r="C47" s="83" t="s">
        <v>24</v>
      </c>
      <c r="D47" s="83"/>
      <c r="E47" s="83"/>
      <c r="F47" s="83"/>
      <c r="G47" s="75" t="s">
        <v>242</v>
      </c>
      <c r="H47" s="75" t="s">
        <v>19</v>
      </c>
      <c r="I47" s="62">
        <f>950+20</f>
        <v>970</v>
      </c>
      <c r="J47" s="59">
        <v>3.5</v>
      </c>
      <c r="K47" s="62" t="s">
        <v>61</v>
      </c>
      <c r="L47" s="59">
        <v>7</v>
      </c>
      <c r="M47" s="38" t="s">
        <v>53</v>
      </c>
      <c r="N47" t="s">
        <v>334</v>
      </c>
      <c r="O47" t="s">
        <v>357</v>
      </c>
      <c r="P47" t="s">
        <v>335</v>
      </c>
      <c r="Q47" t="b">
        <f t="shared" si="0"/>
        <v>1</v>
      </c>
    </row>
    <row r="48" spans="1:17" ht="30" customHeight="1" x14ac:dyDescent="0.25">
      <c r="A48" s="17">
        <v>42</v>
      </c>
      <c r="B48" s="17" t="s">
        <v>170</v>
      </c>
      <c r="C48" s="83" t="s">
        <v>34</v>
      </c>
      <c r="D48" s="83"/>
      <c r="E48" s="83"/>
      <c r="F48" s="83"/>
      <c r="G48" s="75" t="s">
        <v>235</v>
      </c>
      <c r="H48" s="75" t="s">
        <v>64</v>
      </c>
      <c r="I48" s="62">
        <f>1415+10</f>
        <v>1425</v>
      </c>
      <c r="J48" s="59">
        <v>3</v>
      </c>
      <c r="K48" s="62">
        <v>39000040</v>
      </c>
      <c r="L48" s="59">
        <v>7</v>
      </c>
      <c r="M48" s="38" t="s">
        <v>65</v>
      </c>
      <c r="N48" t="s">
        <v>336</v>
      </c>
      <c r="O48" t="s">
        <v>384</v>
      </c>
      <c r="P48" t="s">
        <v>337</v>
      </c>
      <c r="Q48" t="b">
        <f t="shared" si="0"/>
        <v>1</v>
      </c>
    </row>
    <row r="49" spans="1:17" ht="30" customHeight="1" x14ac:dyDescent="0.25">
      <c r="A49" s="17">
        <v>43</v>
      </c>
      <c r="B49" s="17" t="s">
        <v>171</v>
      </c>
      <c r="C49" s="83" t="s">
        <v>24</v>
      </c>
      <c r="D49" s="83"/>
      <c r="E49" s="83"/>
      <c r="F49" s="83"/>
      <c r="G49" s="75" t="s">
        <v>242</v>
      </c>
      <c r="H49" s="75" t="s">
        <v>16</v>
      </c>
      <c r="I49" s="62">
        <v>1070</v>
      </c>
      <c r="J49" s="59">
        <v>3</v>
      </c>
      <c r="K49" s="62">
        <v>39000048</v>
      </c>
      <c r="L49" s="59">
        <v>7</v>
      </c>
      <c r="M49" s="38" t="s">
        <v>66</v>
      </c>
      <c r="N49" t="s">
        <v>321</v>
      </c>
      <c r="O49" t="s">
        <v>380</v>
      </c>
      <c r="P49" t="s">
        <v>322</v>
      </c>
      <c r="Q49" t="b">
        <f t="shared" si="0"/>
        <v>1</v>
      </c>
    </row>
    <row r="50" spans="1:17" ht="30" customHeight="1" x14ac:dyDescent="0.25">
      <c r="A50" s="17">
        <v>44</v>
      </c>
      <c r="B50" s="17" t="s">
        <v>172</v>
      </c>
      <c r="C50" s="83" t="s">
        <v>24</v>
      </c>
      <c r="D50" s="83"/>
      <c r="E50" s="83"/>
      <c r="F50" s="83"/>
      <c r="G50" s="75" t="s">
        <v>242</v>
      </c>
      <c r="H50" s="75" t="s">
        <v>18</v>
      </c>
      <c r="I50" s="62">
        <v>1060</v>
      </c>
      <c r="J50" s="59">
        <v>3</v>
      </c>
      <c r="K50" s="62">
        <v>39000048</v>
      </c>
      <c r="L50" s="59">
        <v>7</v>
      </c>
      <c r="M50" s="38" t="s">
        <v>67</v>
      </c>
      <c r="N50" t="s">
        <v>332</v>
      </c>
      <c r="O50" t="s">
        <v>383</v>
      </c>
      <c r="P50" t="s">
        <v>333</v>
      </c>
      <c r="Q50" t="b">
        <f t="shared" si="0"/>
        <v>1</v>
      </c>
    </row>
    <row r="51" spans="1:17" ht="30" customHeight="1" x14ac:dyDescent="0.25">
      <c r="A51" s="17">
        <v>45</v>
      </c>
      <c r="B51" s="17" t="s">
        <v>173</v>
      </c>
      <c r="C51" s="83" t="s">
        <v>24</v>
      </c>
      <c r="D51" s="83"/>
      <c r="E51" s="83"/>
      <c r="F51" s="83"/>
      <c r="G51" s="75" t="s">
        <v>242</v>
      </c>
      <c r="H51" s="75" t="s">
        <v>19</v>
      </c>
      <c r="I51" s="62">
        <v>1130</v>
      </c>
      <c r="J51" s="59">
        <v>2</v>
      </c>
      <c r="K51" s="62" t="s">
        <v>36</v>
      </c>
      <c r="L51" s="59">
        <v>7</v>
      </c>
      <c r="M51" s="38" t="s">
        <v>266</v>
      </c>
      <c r="N51" t="s">
        <v>334</v>
      </c>
      <c r="O51" t="s">
        <v>357</v>
      </c>
      <c r="P51" t="s">
        <v>335</v>
      </c>
      <c r="Q51" t="b">
        <f t="shared" si="0"/>
        <v>1</v>
      </c>
    </row>
    <row r="52" spans="1:17" ht="30" customHeight="1" x14ac:dyDescent="0.25">
      <c r="A52" s="17">
        <v>46</v>
      </c>
      <c r="B52" s="17" t="s">
        <v>174</v>
      </c>
      <c r="C52" s="83" t="s">
        <v>24</v>
      </c>
      <c r="D52" s="83"/>
      <c r="E52" s="83"/>
      <c r="F52" s="83"/>
      <c r="G52" s="75" t="s">
        <v>242</v>
      </c>
      <c r="H52" s="75" t="s">
        <v>30</v>
      </c>
      <c r="I52" s="62">
        <v>2020</v>
      </c>
      <c r="J52" s="59">
        <v>2</v>
      </c>
      <c r="K52" s="62">
        <v>561349000</v>
      </c>
      <c r="L52" s="59">
        <v>3.5</v>
      </c>
      <c r="M52" s="38" t="s">
        <v>25</v>
      </c>
      <c r="N52" t="s">
        <v>310</v>
      </c>
      <c r="O52" t="s">
        <v>376</v>
      </c>
      <c r="P52" t="s">
        <v>311</v>
      </c>
      <c r="Q52" t="b">
        <f t="shared" si="0"/>
        <v>1</v>
      </c>
    </row>
    <row r="53" spans="1:17" ht="30" customHeight="1" x14ac:dyDescent="0.25">
      <c r="A53" s="17">
        <v>47</v>
      </c>
      <c r="B53" s="17" t="s">
        <v>175</v>
      </c>
      <c r="C53" s="83" t="s">
        <v>24</v>
      </c>
      <c r="D53" s="83"/>
      <c r="E53" s="83"/>
      <c r="F53" s="83"/>
      <c r="G53" s="75" t="s">
        <v>242</v>
      </c>
      <c r="H53" s="75" t="s">
        <v>17</v>
      </c>
      <c r="I53" s="62">
        <v>1020</v>
      </c>
      <c r="J53" s="59">
        <v>3</v>
      </c>
      <c r="K53" s="62">
        <v>39000048</v>
      </c>
      <c r="L53" s="59">
        <v>2</v>
      </c>
      <c r="M53" s="70">
        <v>561349000</v>
      </c>
      <c r="N53" t="s">
        <v>294</v>
      </c>
      <c r="O53" t="s">
        <v>373</v>
      </c>
      <c r="P53" t="s">
        <v>279</v>
      </c>
      <c r="Q53" t="b">
        <f t="shared" si="0"/>
        <v>0</v>
      </c>
    </row>
    <row r="54" spans="1:17" ht="30" customHeight="1" x14ac:dyDescent="0.25">
      <c r="A54" s="17">
        <v>48</v>
      </c>
      <c r="B54" s="17" t="s">
        <v>176</v>
      </c>
      <c r="C54" s="83" t="s">
        <v>24</v>
      </c>
      <c r="D54" s="83"/>
      <c r="E54" s="83"/>
      <c r="F54" s="83"/>
      <c r="G54" s="75" t="s">
        <v>242</v>
      </c>
      <c r="H54" s="75" t="s">
        <v>33</v>
      </c>
      <c r="I54" s="62">
        <v>1020</v>
      </c>
      <c r="J54" s="59">
        <v>3</v>
      </c>
      <c r="K54" s="62">
        <v>39000048</v>
      </c>
      <c r="L54" s="59">
        <v>2</v>
      </c>
      <c r="M54" s="70">
        <v>561349000</v>
      </c>
      <c r="N54" t="s">
        <v>292</v>
      </c>
      <c r="O54" t="s">
        <v>363</v>
      </c>
      <c r="P54" t="s">
        <v>293</v>
      </c>
      <c r="Q54" t="b">
        <f t="shared" si="0"/>
        <v>1</v>
      </c>
    </row>
    <row r="55" spans="1:17" ht="30" customHeight="1" x14ac:dyDescent="0.25">
      <c r="A55" s="17">
        <v>49</v>
      </c>
      <c r="B55" s="17" t="s">
        <v>177</v>
      </c>
      <c r="C55" s="83" t="s">
        <v>24</v>
      </c>
      <c r="D55" s="83"/>
      <c r="E55" s="83"/>
      <c r="F55" s="83"/>
      <c r="G55" s="75" t="s">
        <v>242</v>
      </c>
      <c r="H55" s="75" t="s">
        <v>68</v>
      </c>
      <c r="I55" s="62">
        <v>1610</v>
      </c>
      <c r="J55" s="59">
        <v>3</v>
      </c>
      <c r="K55" s="62">
        <v>39000048</v>
      </c>
      <c r="L55" s="59">
        <v>2</v>
      </c>
      <c r="M55" s="70">
        <v>561349000</v>
      </c>
      <c r="N55" t="s">
        <v>338</v>
      </c>
      <c r="O55" t="s">
        <v>385</v>
      </c>
      <c r="P55" t="s">
        <v>339</v>
      </c>
      <c r="Q55" t="b">
        <f t="shared" si="0"/>
        <v>1</v>
      </c>
    </row>
    <row r="56" spans="1:17" ht="30" customHeight="1" x14ac:dyDescent="0.25">
      <c r="A56" s="17">
        <v>50</v>
      </c>
      <c r="B56" s="17" t="s">
        <v>178</v>
      </c>
      <c r="C56" s="83" t="s">
        <v>24</v>
      </c>
      <c r="D56" s="83"/>
      <c r="E56" s="83"/>
      <c r="F56" s="83"/>
      <c r="G56" s="75" t="s">
        <v>242</v>
      </c>
      <c r="H56" s="75" t="s">
        <v>26</v>
      </c>
      <c r="I56" s="62">
        <v>1610</v>
      </c>
      <c r="J56" s="59">
        <v>3</v>
      </c>
      <c r="K56" s="62">
        <v>39000048</v>
      </c>
      <c r="L56" s="59">
        <v>2</v>
      </c>
      <c r="M56" s="70">
        <v>561349000</v>
      </c>
      <c r="N56" t="s">
        <v>299</v>
      </c>
      <c r="O56" t="s">
        <v>362</v>
      </c>
      <c r="P56" t="s">
        <v>300</v>
      </c>
      <c r="Q56" t="b">
        <f t="shared" si="0"/>
        <v>1</v>
      </c>
    </row>
    <row r="57" spans="1:17" ht="30" customHeight="1" x14ac:dyDescent="0.25">
      <c r="A57" s="17">
        <v>51</v>
      </c>
      <c r="B57" s="17" t="s">
        <v>179</v>
      </c>
      <c r="C57" s="83" t="s">
        <v>24</v>
      </c>
      <c r="D57" s="83"/>
      <c r="E57" s="83"/>
      <c r="F57" s="83"/>
      <c r="G57" s="75" t="s">
        <v>242</v>
      </c>
      <c r="H57" s="75" t="s">
        <v>69</v>
      </c>
      <c r="I57" s="62">
        <v>960</v>
      </c>
      <c r="J57" s="59">
        <v>5</v>
      </c>
      <c r="K57" s="62" t="s">
        <v>50</v>
      </c>
      <c r="L57" s="59">
        <v>2</v>
      </c>
      <c r="M57" s="70">
        <v>561349000</v>
      </c>
      <c r="N57" t="s">
        <v>340</v>
      </c>
      <c r="O57" t="s">
        <v>282</v>
      </c>
      <c r="P57" t="s">
        <v>282</v>
      </c>
      <c r="Q57" t="b">
        <f t="shared" si="0"/>
        <v>1</v>
      </c>
    </row>
    <row r="58" spans="1:17" ht="30" customHeight="1" x14ac:dyDescent="0.25">
      <c r="A58" s="17">
        <v>52</v>
      </c>
      <c r="B58" s="17" t="s">
        <v>180</v>
      </c>
      <c r="C58" s="83" t="s">
        <v>24</v>
      </c>
      <c r="D58" s="83"/>
      <c r="E58" s="83"/>
      <c r="F58" s="83"/>
      <c r="G58" s="75" t="s">
        <v>242</v>
      </c>
      <c r="H58" s="75" t="s">
        <v>57</v>
      </c>
      <c r="I58" s="62">
        <v>960</v>
      </c>
      <c r="J58" s="59">
        <v>5</v>
      </c>
      <c r="K58" s="62" t="s">
        <v>50</v>
      </c>
      <c r="L58" s="59">
        <v>2</v>
      </c>
      <c r="M58" s="70">
        <v>561349000</v>
      </c>
      <c r="N58" t="s">
        <v>323</v>
      </c>
      <c r="O58" t="s">
        <v>281</v>
      </c>
      <c r="P58" t="s">
        <v>281</v>
      </c>
      <c r="Q58" t="b">
        <f t="shared" si="0"/>
        <v>1</v>
      </c>
    </row>
    <row r="59" spans="1:17" ht="30" customHeight="1" x14ac:dyDescent="0.25">
      <c r="A59" s="17">
        <v>53</v>
      </c>
      <c r="B59" s="17" t="s">
        <v>181</v>
      </c>
      <c r="C59" s="83" t="s">
        <v>24</v>
      </c>
      <c r="D59" s="83"/>
      <c r="E59" s="83"/>
      <c r="F59" s="83"/>
      <c r="G59" s="75" t="s">
        <v>242</v>
      </c>
      <c r="H59" s="75" t="s">
        <v>18</v>
      </c>
      <c r="I59" s="62">
        <f>1320+5</f>
        <v>1325</v>
      </c>
      <c r="J59" s="59">
        <v>3</v>
      </c>
      <c r="K59" s="62">
        <v>39000048</v>
      </c>
      <c r="L59" s="59">
        <v>2</v>
      </c>
      <c r="M59" s="70">
        <v>561349000</v>
      </c>
      <c r="N59" t="s">
        <v>332</v>
      </c>
      <c r="O59" t="s">
        <v>383</v>
      </c>
      <c r="P59" t="s">
        <v>333</v>
      </c>
      <c r="Q59" t="b">
        <f t="shared" si="0"/>
        <v>1</v>
      </c>
    </row>
    <row r="60" spans="1:17" ht="30" customHeight="1" x14ac:dyDescent="0.25">
      <c r="A60" s="17">
        <v>54</v>
      </c>
      <c r="B60" s="17" t="s">
        <v>182</v>
      </c>
      <c r="C60" s="83" t="s">
        <v>24</v>
      </c>
      <c r="D60" s="83"/>
      <c r="E60" s="83"/>
      <c r="F60" s="83"/>
      <c r="G60" s="75" t="s">
        <v>242</v>
      </c>
      <c r="H60" s="75" t="s">
        <v>29</v>
      </c>
      <c r="I60" s="62">
        <f>1320+5</f>
        <v>1325</v>
      </c>
      <c r="J60" s="59">
        <v>2</v>
      </c>
      <c r="K60" s="62">
        <v>561349000</v>
      </c>
      <c r="L60" s="59">
        <v>3</v>
      </c>
      <c r="M60" s="38">
        <v>39000048</v>
      </c>
      <c r="N60" t="s">
        <v>301</v>
      </c>
      <c r="O60" t="s">
        <v>359</v>
      </c>
      <c r="P60" t="s">
        <v>302</v>
      </c>
      <c r="Q60" t="b">
        <f t="shared" si="0"/>
        <v>1</v>
      </c>
    </row>
    <row r="61" spans="1:17" ht="30" customHeight="1" x14ac:dyDescent="0.25">
      <c r="A61" s="17">
        <v>55</v>
      </c>
      <c r="B61" s="17" t="s">
        <v>183</v>
      </c>
      <c r="C61" s="83" t="s">
        <v>24</v>
      </c>
      <c r="D61" s="83"/>
      <c r="E61" s="83"/>
      <c r="F61" s="83"/>
      <c r="G61" s="75" t="s">
        <v>242</v>
      </c>
      <c r="H61" s="75" t="s">
        <v>29</v>
      </c>
      <c r="I61" s="62">
        <v>520</v>
      </c>
      <c r="J61" s="59">
        <v>2</v>
      </c>
      <c r="K61" s="62" t="s">
        <v>36</v>
      </c>
      <c r="L61" s="59">
        <v>7</v>
      </c>
      <c r="M61" s="38" t="s">
        <v>70</v>
      </c>
      <c r="N61" t="s">
        <v>301</v>
      </c>
      <c r="O61" t="s">
        <v>359</v>
      </c>
      <c r="P61" t="s">
        <v>302</v>
      </c>
      <c r="Q61" t="b">
        <f t="shared" si="0"/>
        <v>1</v>
      </c>
    </row>
    <row r="62" spans="1:17" ht="30" customHeight="1" x14ac:dyDescent="0.25">
      <c r="A62" s="17">
        <v>56</v>
      </c>
      <c r="B62" s="17" t="s">
        <v>184</v>
      </c>
      <c r="C62" s="83" t="s">
        <v>24</v>
      </c>
      <c r="D62" s="83"/>
      <c r="E62" s="83"/>
      <c r="F62" s="83"/>
      <c r="G62" s="75" t="s">
        <v>242</v>
      </c>
      <c r="H62" s="75" t="s">
        <v>16</v>
      </c>
      <c r="I62" s="62">
        <f>1550+5</f>
        <v>1555</v>
      </c>
      <c r="J62" s="59">
        <v>2</v>
      </c>
      <c r="K62" s="62">
        <v>561349000</v>
      </c>
      <c r="L62" s="59">
        <v>3</v>
      </c>
      <c r="M62" s="38">
        <v>39000048</v>
      </c>
      <c r="N62" t="s">
        <v>321</v>
      </c>
      <c r="O62" t="s">
        <v>380</v>
      </c>
      <c r="P62" t="s">
        <v>322</v>
      </c>
      <c r="Q62" t="b">
        <f t="shared" si="0"/>
        <v>1</v>
      </c>
    </row>
    <row r="63" spans="1:17" ht="30" customHeight="1" x14ac:dyDescent="0.25">
      <c r="A63" s="17">
        <v>57</v>
      </c>
      <c r="B63" s="17" t="s">
        <v>185</v>
      </c>
      <c r="C63" s="83" t="s">
        <v>24</v>
      </c>
      <c r="D63" s="83"/>
      <c r="E63" s="83"/>
      <c r="F63" s="83"/>
      <c r="G63" s="75" t="s">
        <v>242</v>
      </c>
      <c r="H63" s="75" t="s">
        <v>19</v>
      </c>
      <c r="I63" s="62">
        <f>1550+5</f>
        <v>1555</v>
      </c>
      <c r="J63" s="59">
        <v>2</v>
      </c>
      <c r="K63" s="62">
        <v>561349000</v>
      </c>
      <c r="L63" s="59">
        <v>3</v>
      </c>
      <c r="M63" s="38">
        <v>39000048</v>
      </c>
      <c r="N63" t="s">
        <v>334</v>
      </c>
      <c r="O63" t="s">
        <v>357</v>
      </c>
      <c r="P63" t="s">
        <v>335</v>
      </c>
      <c r="Q63" t="b">
        <f t="shared" si="0"/>
        <v>1</v>
      </c>
    </row>
    <row r="64" spans="1:17" ht="30" customHeight="1" x14ac:dyDescent="0.25">
      <c r="A64" s="17">
        <v>58</v>
      </c>
      <c r="B64" s="17" t="s">
        <v>219</v>
      </c>
      <c r="C64" s="83" t="s">
        <v>24</v>
      </c>
      <c r="D64" s="83"/>
      <c r="E64" s="83"/>
      <c r="F64" s="83"/>
      <c r="G64" s="75" t="s">
        <v>242</v>
      </c>
      <c r="H64" s="75" t="s">
        <v>30</v>
      </c>
      <c r="I64" s="62">
        <f>1320+10</f>
        <v>1330</v>
      </c>
      <c r="J64" s="59">
        <v>2</v>
      </c>
      <c r="K64" s="62">
        <v>561349000</v>
      </c>
      <c r="L64" s="59">
        <v>3</v>
      </c>
      <c r="M64" s="38">
        <v>39000048</v>
      </c>
      <c r="N64" t="s">
        <v>310</v>
      </c>
      <c r="O64" t="s">
        <v>376</v>
      </c>
      <c r="P64" t="s">
        <v>311</v>
      </c>
      <c r="Q64" t="b">
        <f t="shared" si="0"/>
        <v>1</v>
      </c>
    </row>
    <row r="65" spans="1:17" ht="30" customHeight="1" x14ac:dyDescent="0.25">
      <c r="A65" s="17">
        <v>59</v>
      </c>
      <c r="B65" s="17" t="s">
        <v>186</v>
      </c>
      <c r="C65" s="83" t="s">
        <v>24</v>
      </c>
      <c r="D65" s="83"/>
      <c r="E65" s="83"/>
      <c r="F65" s="83"/>
      <c r="G65" s="75" t="s">
        <v>242</v>
      </c>
      <c r="H65" s="75" t="s">
        <v>71</v>
      </c>
      <c r="I65" s="62">
        <v>920</v>
      </c>
      <c r="J65" s="59">
        <v>2</v>
      </c>
      <c r="K65" s="62">
        <v>561349000</v>
      </c>
      <c r="L65" s="59">
        <v>5</v>
      </c>
      <c r="M65" s="38" t="s">
        <v>73</v>
      </c>
      <c r="N65" t="s">
        <v>341</v>
      </c>
      <c r="O65" t="s">
        <v>386</v>
      </c>
      <c r="P65" t="s">
        <v>342</v>
      </c>
      <c r="Q65" t="b">
        <f t="shared" si="0"/>
        <v>1</v>
      </c>
    </row>
    <row r="66" spans="1:17" ht="30" customHeight="1" x14ac:dyDescent="0.25">
      <c r="A66" s="17">
        <v>60</v>
      </c>
      <c r="B66" s="17" t="s">
        <v>187</v>
      </c>
      <c r="C66" s="83" t="s">
        <v>24</v>
      </c>
      <c r="D66" s="83"/>
      <c r="E66" s="83"/>
      <c r="F66" s="83"/>
      <c r="G66" s="75" t="s">
        <v>242</v>
      </c>
      <c r="H66" s="75" t="s">
        <v>72</v>
      </c>
      <c r="I66" s="62">
        <f>920-15</f>
        <v>905</v>
      </c>
      <c r="J66" s="59">
        <v>2</v>
      </c>
      <c r="K66" s="62">
        <v>561349000</v>
      </c>
      <c r="L66" s="59">
        <v>5</v>
      </c>
      <c r="M66" s="38" t="s">
        <v>50</v>
      </c>
      <c r="N66" t="s">
        <v>343</v>
      </c>
      <c r="O66" t="s">
        <v>365</v>
      </c>
      <c r="P66" t="s">
        <v>344</v>
      </c>
      <c r="Q66" t="b">
        <f t="shared" si="0"/>
        <v>1</v>
      </c>
    </row>
    <row r="67" spans="1:17" ht="30" customHeight="1" x14ac:dyDescent="0.25">
      <c r="A67" s="17">
        <v>61</v>
      </c>
      <c r="B67" s="17" t="s">
        <v>188</v>
      </c>
      <c r="C67" s="83" t="s">
        <v>24</v>
      </c>
      <c r="D67" s="83"/>
      <c r="E67" s="83"/>
      <c r="F67" s="83"/>
      <c r="G67" s="75" t="s">
        <v>242</v>
      </c>
      <c r="H67" s="75" t="s">
        <v>74</v>
      </c>
      <c r="I67" s="62">
        <v>1830</v>
      </c>
      <c r="J67" s="59">
        <v>3</v>
      </c>
      <c r="K67" s="62">
        <v>39000048</v>
      </c>
      <c r="L67" s="59">
        <v>2</v>
      </c>
      <c r="M67" s="70">
        <v>561349000</v>
      </c>
      <c r="N67" t="s">
        <v>345</v>
      </c>
      <c r="O67" t="s">
        <v>387</v>
      </c>
      <c r="P67" t="s">
        <v>346</v>
      </c>
      <c r="Q67" t="b">
        <f t="shared" si="0"/>
        <v>1</v>
      </c>
    </row>
    <row r="68" spans="1:17" ht="30" customHeight="1" x14ac:dyDescent="0.25">
      <c r="A68" s="17">
        <v>62</v>
      </c>
      <c r="B68" s="17" t="s">
        <v>189</v>
      </c>
      <c r="C68" s="83" t="s">
        <v>24</v>
      </c>
      <c r="D68" s="83"/>
      <c r="E68" s="83"/>
      <c r="F68" s="83"/>
      <c r="G68" s="75" t="s">
        <v>242</v>
      </c>
      <c r="H68" s="75" t="s">
        <v>27</v>
      </c>
      <c r="I68" s="62">
        <v>1830</v>
      </c>
      <c r="J68" s="59">
        <v>3</v>
      </c>
      <c r="K68" s="62">
        <v>39000048</v>
      </c>
      <c r="L68" s="59">
        <v>2</v>
      </c>
      <c r="M68" s="70">
        <v>561349000</v>
      </c>
      <c r="N68" t="s">
        <v>297</v>
      </c>
      <c r="O68" t="s">
        <v>361</v>
      </c>
      <c r="P68" t="s">
        <v>298</v>
      </c>
      <c r="Q68" t="b">
        <f t="shared" si="0"/>
        <v>1</v>
      </c>
    </row>
    <row r="69" spans="1:17" ht="30" customHeight="1" x14ac:dyDescent="0.25">
      <c r="A69" s="17">
        <v>63</v>
      </c>
      <c r="B69" s="17" t="s">
        <v>190</v>
      </c>
      <c r="C69" s="83" t="s">
        <v>24</v>
      </c>
      <c r="D69" s="83"/>
      <c r="E69" s="83"/>
      <c r="F69" s="83"/>
      <c r="G69" s="75" t="s">
        <v>242</v>
      </c>
      <c r="H69" s="75" t="s">
        <v>75</v>
      </c>
      <c r="I69" s="73">
        <f>2410+10</f>
        <v>2420</v>
      </c>
      <c r="J69" s="59">
        <v>3</v>
      </c>
      <c r="K69" s="62">
        <v>39000048</v>
      </c>
      <c r="L69" s="59">
        <v>2</v>
      </c>
      <c r="M69" s="70">
        <v>561349000</v>
      </c>
      <c r="N69" t="s">
        <v>347</v>
      </c>
      <c r="O69" t="s">
        <v>358</v>
      </c>
      <c r="P69" t="s">
        <v>348</v>
      </c>
      <c r="Q69" t="b">
        <f t="shared" si="0"/>
        <v>1</v>
      </c>
    </row>
    <row r="70" spans="1:17" ht="30" customHeight="1" x14ac:dyDescent="0.25">
      <c r="A70" s="17">
        <v>64</v>
      </c>
      <c r="B70" s="17" t="s">
        <v>191</v>
      </c>
      <c r="C70" s="83" t="s">
        <v>24</v>
      </c>
      <c r="D70" s="83"/>
      <c r="E70" s="83"/>
      <c r="F70" s="83"/>
      <c r="G70" s="75" t="s">
        <v>242</v>
      </c>
      <c r="H70" s="75" t="s">
        <v>76</v>
      </c>
      <c r="I70" s="62">
        <v>2410</v>
      </c>
      <c r="J70" s="59">
        <v>3</v>
      </c>
      <c r="K70" s="62">
        <v>39000048</v>
      </c>
      <c r="L70" s="59">
        <v>2</v>
      </c>
      <c r="M70" s="70">
        <v>561349000</v>
      </c>
      <c r="N70" t="s">
        <v>349</v>
      </c>
      <c r="O70" t="s">
        <v>388</v>
      </c>
      <c r="P70" t="s">
        <v>350</v>
      </c>
      <c r="Q70" t="b">
        <f t="shared" si="0"/>
        <v>1</v>
      </c>
    </row>
    <row r="71" spans="1:17" ht="30" customHeight="1" x14ac:dyDescent="0.25">
      <c r="A71" s="17">
        <v>65</v>
      </c>
      <c r="B71" s="17" t="s">
        <v>192</v>
      </c>
      <c r="C71" s="83" t="s">
        <v>24</v>
      </c>
      <c r="D71" s="83"/>
      <c r="E71" s="83"/>
      <c r="F71" s="83"/>
      <c r="G71" s="75" t="s">
        <v>242</v>
      </c>
      <c r="H71" s="75" t="s">
        <v>16</v>
      </c>
      <c r="I71" s="62">
        <v>960</v>
      </c>
      <c r="J71" s="59">
        <v>2</v>
      </c>
      <c r="K71" s="62" t="s">
        <v>36</v>
      </c>
      <c r="L71" s="59">
        <v>3.5</v>
      </c>
      <c r="M71" s="38" t="s">
        <v>77</v>
      </c>
      <c r="N71" t="s">
        <v>321</v>
      </c>
      <c r="O71" t="s">
        <v>380</v>
      </c>
      <c r="P71" t="s">
        <v>322</v>
      </c>
      <c r="Q71" t="b">
        <f t="shared" si="0"/>
        <v>1</v>
      </c>
    </row>
    <row r="72" spans="1:17" ht="30" customHeight="1" x14ac:dyDescent="0.25">
      <c r="A72" s="17">
        <v>66</v>
      </c>
      <c r="B72" s="17" t="s">
        <v>193</v>
      </c>
      <c r="C72" s="83" t="s">
        <v>24</v>
      </c>
      <c r="D72" s="83"/>
      <c r="E72" s="83"/>
      <c r="F72" s="83"/>
      <c r="G72" s="75" t="s">
        <v>242</v>
      </c>
      <c r="H72" s="75" t="s">
        <v>33</v>
      </c>
      <c r="I72" s="62">
        <v>960</v>
      </c>
      <c r="J72" s="59">
        <v>2</v>
      </c>
      <c r="K72" s="62" t="s">
        <v>36</v>
      </c>
      <c r="L72" s="59">
        <v>3.5</v>
      </c>
      <c r="M72" s="38" t="s">
        <v>77</v>
      </c>
      <c r="N72" t="s">
        <v>292</v>
      </c>
      <c r="O72" t="s">
        <v>363</v>
      </c>
      <c r="P72" t="s">
        <v>293</v>
      </c>
      <c r="Q72" t="b">
        <f t="shared" ref="Q72:Q119" si="2">+P72=O72</f>
        <v>1</v>
      </c>
    </row>
    <row r="73" spans="1:17" ht="30" customHeight="1" x14ac:dyDescent="0.25">
      <c r="A73" s="17">
        <v>67</v>
      </c>
      <c r="B73" s="17" t="s">
        <v>194</v>
      </c>
      <c r="C73" s="83" t="s">
        <v>24</v>
      </c>
      <c r="D73" s="83"/>
      <c r="E73" s="83"/>
      <c r="F73" s="83"/>
      <c r="G73" s="75" t="s">
        <v>242</v>
      </c>
      <c r="H73" s="75" t="s">
        <v>78</v>
      </c>
      <c r="I73" s="62">
        <v>960</v>
      </c>
      <c r="J73" s="59">
        <v>2</v>
      </c>
      <c r="K73" s="62" t="s">
        <v>36</v>
      </c>
      <c r="L73" s="59">
        <v>3.5</v>
      </c>
      <c r="M73" s="38" t="s">
        <v>77</v>
      </c>
      <c r="N73" t="s">
        <v>309</v>
      </c>
      <c r="O73" t="s">
        <v>280</v>
      </c>
      <c r="P73" t="s">
        <v>312</v>
      </c>
      <c r="Q73" t="b">
        <f t="shared" si="2"/>
        <v>1</v>
      </c>
    </row>
    <row r="74" spans="1:17" ht="30" customHeight="1" x14ac:dyDescent="0.25">
      <c r="A74" s="17">
        <v>68</v>
      </c>
      <c r="B74" s="17" t="s">
        <v>195</v>
      </c>
      <c r="C74" s="83" t="s">
        <v>24</v>
      </c>
      <c r="D74" s="83"/>
      <c r="E74" s="83"/>
      <c r="F74" s="83"/>
      <c r="G74" s="75" t="s">
        <v>242</v>
      </c>
      <c r="H74" s="75" t="s">
        <v>26</v>
      </c>
      <c r="I74" s="62">
        <v>960</v>
      </c>
      <c r="J74" s="59">
        <v>2</v>
      </c>
      <c r="K74" s="62" t="s">
        <v>36</v>
      </c>
      <c r="L74" s="59">
        <v>3.5</v>
      </c>
      <c r="M74" s="38" t="s">
        <v>77</v>
      </c>
      <c r="N74" t="s">
        <v>299</v>
      </c>
      <c r="O74" t="s">
        <v>362</v>
      </c>
      <c r="P74" t="s">
        <v>300</v>
      </c>
      <c r="Q74" t="b">
        <f t="shared" si="2"/>
        <v>1</v>
      </c>
    </row>
    <row r="75" spans="1:17" ht="30" customHeight="1" x14ac:dyDescent="0.25">
      <c r="A75" s="17">
        <v>69</v>
      </c>
      <c r="B75" s="17" t="s">
        <v>196</v>
      </c>
      <c r="C75" s="83" t="s">
        <v>24</v>
      </c>
      <c r="D75" s="83"/>
      <c r="E75" s="83"/>
      <c r="F75" s="83"/>
      <c r="G75" s="75" t="s">
        <v>242</v>
      </c>
      <c r="H75" s="75" t="s">
        <v>71</v>
      </c>
      <c r="I75" s="72">
        <v>1520</v>
      </c>
      <c r="J75" s="59">
        <v>2</v>
      </c>
      <c r="K75" s="62" t="s">
        <v>36</v>
      </c>
      <c r="L75" s="59">
        <v>3.5</v>
      </c>
      <c r="M75" s="38" t="s">
        <v>77</v>
      </c>
      <c r="N75" t="s">
        <v>341</v>
      </c>
      <c r="O75" t="s">
        <v>386</v>
      </c>
      <c r="P75" t="s">
        <v>342</v>
      </c>
      <c r="Q75" t="b">
        <f t="shared" si="2"/>
        <v>1</v>
      </c>
    </row>
    <row r="76" spans="1:17" ht="30" customHeight="1" x14ac:dyDescent="0.25">
      <c r="A76" s="17">
        <v>70</v>
      </c>
      <c r="B76" s="17" t="s">
        <v>197</v>
      </c>
      <c r="C76" s="83" t="s">
        <v>24</v>
      </c>
      <c r="D76" s="83"/>
      <c r="E76" s="83"/>
      <c r="F76" s="83"/>
      <c r="G76" s="75" t="s">
        <v>242</v>
      </c>
      <c r="H76" s="75" t="s">
        <v>79</v>
      </c>
      <c r="I76" s="72">
        <v>1525</v>
      </c>
      <c r="J76" s="59">
        <v>2</v>
      </c>
      <c r="K76" s="62" t="s">
        <v>36</v>
      </c>
      <c r="L76" s="59">
        <v>3.5</v>
      </c>
      <c r="M76" s="38" t="s">
        <v>77</v>
      </c>
      <c r="N76" t="s">
        <v>351</v>
      </c>
      <c r="O76" t="s">
        <v>389</v>
      </c>
      <c r="P76" t="s">
        <v>352</v>
      </c>
      <c r="Q76" t="b">
        <f t="shared" si="2"/>
        <v>1</v>
      </c>
    </row>
    <row r="77" spans="1:17" ht="30" customHeight="1" x14ac:dyDescent="0.25">
      <c r="A77" s="17">
        <v>71</v>
      </c>
      <c r="B77" s="17" t="s">
        <v>198</v>
      </c>
      <c r="C77" s="83" t="s">
        <v>24</v>
      </c>
      <c r="D77" s="83"/>
      <c r="E77" s="83"/>
      <c r="F77" s="83"/>
      <c r="G77" s="75" t="s">
        <v>242</v>
      </c>
      <c r="H77" s="75" t="s">
        <v>80</v>
      </c>
      <c r="I77" s="72">
        <v>1525</v>
      </c>
      <c r="J77" s="59">
        <v>2</v>
      </c>
      <c r="K77" s="62" t="s">
        <v>36</v>
      </c>
      <c r="L77" s="59">
        <v>3.5</v>
      </c>
      <c r="M77" s="38" t="s">
        <v>77</v>
      </c>
      <c r="N77" t="s">
        <v>345</v>
      </c>
      <c r="O77" t="s">
        <v>387</v>
      </c>
      <c r="P77" t="s">
        <v>346</v>
      </c>
      <c r="Q77" t="b">
        <f t="shared" si="2"/>
        <v>1</v>
      </c>
    </row>
    <row r="78" spans="1:17" ht="30" customHeight="1" x14ac:dyDescent="0.25">
      <c r="A78" s="17">
        <v>72</v>
      </c>
      <c r="B78" s="17" t="s">
        <v>199</v>
      </c>
      <c r="C78" s="83" t="s">
        <v>24</v>
      </c>
      <c r="D78" s="83"/>
      <c r="E78" s="83"/>
      <c r="F78" s="83"/>
      <c r="G78" s="75" t="s">
        <v>242</v>
      </c>
      <c r="H78" s="75" t="s">
        <v>43</v>
      </c>
      <c r="I78" s="72">
        <v>1525</v>
      </c>
      <c r="J78" s="59">
        <v>2</v>
      </c>
      <c r="K78" s="62" t="s">
        <v>36</v>
      </c>
      <c r="L78" s="59">
        <v>3.5</v>
      </c>
      <c r="M78" s="38" t="s">
        <v>77</v>
      </c>
      <c r="N78" t="s">
        <v>305</v>
      </c>
      <c r="O78" t="s">
        <v>360</v>
      </c>
      <c r="P78" t="s">
        <v>306</v>
      </c>
      <c r="Q78" t="b">
        <f t="shared" si="2"/>
        <v>1</v>
      </c>
    </row>
    <row r="79" spans="1:17" ht="30" customHeight="1" x14ac:dyDescent="0.25">
      <c r="A79" s="17">
        <v>73</v>
      </c>
      <c r="B79" s="17" t="s">
        <v>200</v>
      </c>
      <c r="C79" s="83" t="s">
        <v>24</v>
      </c>
      <c r="D79" s="83"/>
      <c r="E79" s="83"/>
      <c r="F79" s="83"/>
      <c r="G79" s="75" t="s">
        <v>242</v>
      </c>
      <c r="H79" s="75" t="s">
        <v>30</v>
      </c>
      <c r="I79" s="72">
        <v>1665</v>
      </c>
      <c r="J79" s="59">
        <v>3.5</v>
      </c>
      <c r="K79" s="38" t="s">
        <v>77</v>
      </c>
      <c r="L79" s="59">
        <v>2</v>
      </c>
      <c r="M79" s="38">
        <v>561349000</v>
      </c>
      <c r="N79" t="s">
        <v>310</v>
      </c>
      <c r="O79" t="s">
        <v>376</v>
      </c>
      <c r="P79" t="s">
        <v>311</v>
      </c>
      <c r="Q79" t="b">
        <f t="shared" si="2"/>
        <v>1</v>
      </c>
    </row>
    <row r="80" spans="1:17" ht="30" customHeight="1" x14ac:dyDescent="0.25">
      <c r="A80" s="17">
        <v>74</v>
      </c>
      <c r="B80" s="17" t="s">
        <v>201</v>
      </c>
      <c r="C80" s="83" t="s">
        <v>24</v>
      </c>
      <c r="D80" s="83"/>
      <c r="E80" s="83"/>
      <c r="F80" s="83"/>
      <c r="G80" s="75" t="s">
        <v>242</v>
      </c>
      <c r="H80" s="75" t="s">
        <v>48</v>
      </c>
      <c r="I80" s="72">
        <v>1665</v>
      </c>
      <c r="J80" s="59">
        <v>3.5</v>
      </c>
      <c r="K80" s="38" t="s">
        <v>77</v>
      </c>
      <c r="L80" s="59">
        <v>2</v>
      </c>
      <c r="M80" s="38">
        <v>561349000</v>
      </c>
      <c r="N80" t="s">
        <v>324</v>
      </c>
      <c r="O80" t="s">
        <v>364</v>
      </c>
      <c r="P80" t="s">
        <v>325</v>
      </c>
      <c r="Q80" t="b">
        <f t="shared" si="2"/>
        <v>1</v>
      </c>
    </row>
    <row r="81" spans="1:17" ht="30" customHeight="1" x14ac:dyDescent="0.25">
      <c r="A81" s="17">
        <v>75</v>
      </c>
      <c r="B81" s="17" t="s">
        <v>202</v>
      </c>
      <c r="C81" s="83" t="s">
        <v>24</v>
      </c>
      <c r="D81" s="83"/>
      <c r="E81" s="83"/>
      <c r="F81" s="83"/>
      <c r="G81" s="75" t="s">
        <v>242</v>
      </c>
      <c r="H81" s="75" t="s">
        <v>33</v>
      </c>
      <c r="I81" s="72">
        <v>1665</v>
      </c>
      <c r="J81" s="59">
        <v>3.5</v>
      </c>
      <c r="K81" s="38" t="s">
        <v>77</v>
      </c>
      <c r="L81" s="59">
        <v>2</v>
      </c>
      <c r="M81" s="38">
        <v>561349000</v>
      </c>
      <c r="N81" t="s">
        <v>292</v>
      </c>
      <c r="O81" t="s">
        <v>363</v>
      </c>
      <c r="P81" t="s">
        <v>293</v>
      </c>
      <c r="Q81" t="b">
        <f t="shared" si="2"/>
        <v>1</v>
      </c>
    </row>
    <row r="82" spans="1:17" ht="30" customHeight="1" x14ac:dyDescent="0.25">
      <c r="A82" s="17">
        <v>76</v>
      </c>
      <c r="B82" s="17" t="s">
        <v>203</v>
      </c>
      <c r="C82" s="83" t="s">
        <v>24</v>
      </c>
      <c r="D82" s="83"/>
      <c r="E82" s="83"/>
      <c r="F82" s="83"/>
      <c r="G82" s="75" t="s">
        <v>242</v>
      </c>
      <c r="H82" s="75" t="s">
        <v>19</v>
      </c>
      <c r="I82" s="62">
        <v>1100</v>
      </c>
      <c r="J82" s="59">
        <v>3.5</v>
      </c>
      <c r="K82" s="38" t="s">
        <v>77</v>
      </c>
      <c r="L82" s="59">
        <v>2</v>
      </c>
      <c r="M82" s="38">
        <v>561349000</v>
      </c>
      <c r="N82" t="s">
        <v>334</v>
      </c>
      <c r="O82" t="s">
        <v>357</v>
      </c>
      <c r="P82" t="s">
        <v>335</v>
      </c>
      <c r="Q82" t="b">
        <f t="shared" si="2"/>
        <v>1</v>
      </c>
    </row>
    <row r="83" spans="1:17" ht="30" customHeight="1" x14ac:dyDescent="0.25">
      <c r="A83" s="17">
        <v>77</v>
      </c>
      <c r="B83" s="17" t="s">
        <v>204</v>
      </c>
      <c r="C83" s="83" t="s">
        <v>24</v>
      </c>
      <c r="D83" s="83"/>
      <c r="E83" s="83"/>
      <c r="F83" s="83"/>
      <c r="G83" s="75" t="s">
        <v>242</v>
      </c>
      <c r="H83" s="75" t="s">
        <v>81</v>
      </c>
      <c r="I83" s="62">
        <v>1100</v>
      </c>
      <c r="J83" s="59">
        <v>3.5</v>
      </c>
      <c r="K83" s="38" t="s">
        <v>77</v>
      </c>
      <c r="L83" s="59">
        <v>2</v>
      </c>
      <c r="M83" s="38">
        <v>561349000</v>
      </c>
      <c r="N83" t="s">
        <v>353</v>
      </c>
      <c r="O83" t="s">
        <v>390</v>
      </c>
      <c r="P83" t="s">
        <v>354</v>
      </c>
      <c r="Q83" t="b">
        <f t="shared" si="2"/>
        <v>1</v>
      </c>
    </row>
    <row r="84" spans="1:17" ht="30" customHeight="1" x14ac:dyDescent="0.25">
      <c r="A84" s="17">
        <v>78</v>
      </c>
      <c r="B84" s="17" t="s">
        <v>205</v>
      </c>
      <c r="C84" s="83" t="s">
        <v>24</v>
      </c>
      <c r="D84" s="83"/>
      <c r="E84" s="83"/>
      <c r="F84" s="83"/>
      <c r="G84" s="75" t="s">
        <v>242</v>
      </c>
      <c r="H84" s="75" t="s">
        <v>82</v>
      </c>
      <c r="I84" s="62">
        <v>1100</v>
      </c>
      <c r="J84" s="59">
        <v>3.5</v>
      </c>
      <c r="K84" s="38" t="s">
        <v>77</v>
      </c>
      <c r="L84" s="59">
        <v>2</v>
      </c>
      <c r="M84" s="38">
        <v>561349000</v>
      </c>
      <c r="N84" t="s">
        <v>355</v>
      </c>
      <c r="O84" t="s">
        <v>391</v>
      </c>
      <c r="P84" t="s">
        <v>356</v>
      </c>
      <c r="Q84" t="b">
        <f t="shared" si="2"/>
        <v>1</v>
      </c>
    </row>
    <row r="85" spans="1:17" ht="30" customHeight="1" x14ac:dyDescent="0.25">
      <c r="A85" s="17">
        <v>79</v>
      </c>
      <c r="B85" s="17" t="s">
        <v>206</v>
      </c>
      <c r="C85" s="83" t="s">
        <v>24</v>
      </c>
      <c r="D85" s="83"/>
      <c r="E85" s="83"/>
      <c r="F85" s="83"/>
      <c r="G85" s="75" t="s">
        <v>242</v>
      </c>
      <c r="H85" s="75" t="s">
        <v>75</v>
      </c>
      <c r="I85" s="62">
        <v>300</v>
      </c>
      <c r="J85" s="59">
        <v>2</v>
      </c>
      <c r="K85" s="62" t="s">
        <v>36</v>
      </c>
      <c r="L85" s="59">
        <v>7</v>
      </c>
      <c r="M85" s="38" t="s">
        <v>84</v>
      </c>
      <c r="N85" t="s">
        <v>347</v>
      </c>
      <c r="O85" t="s">
        <v>358</v>
      </c>
      <c r="P85" t="s">
        <v>348</v>
      </c>
      <c r="Q85" t="b">
        <f t="shared" si="2"/>
        <v>1</v>
      </c>
    </row>
    <row r="86" spans="1:17" ht="30" customHeight="1" x14ac:dyDescent="0.25">
      <c r="A86" s="17">
        <v>80</v>
      </c>
      <c r="B86" s="17" t="s">
        <v>207</v>
      </c>
      <c r="C86" s="83" t="s">
        <v>24</v>
      </c>
      <c r="D86" s="83"/>
      <c r="E86" s="83"/>
      <c r="F86" s="83"/>
      <c r="G86" s="75" t="s">
        <v>242</v>
      </c>
      <c r="H86" s="75" t="s">
        <v>75</v>
      </c>
      <c r="I86" s="62">
        <v>605</v>
      </c>
      <c r="J86" s="59">
        <v>3.5</v>
      </c>
      <c r="K86" s="38" t="s">
        <v>77</v>
      </c>
      <c r="L86" s="59">
        <v>7</v>
      </c>
      <c r="M86" s="38" t="s">
        <v>83</v>
      </c>
      <c r="N86" t="s">
        <v>347</v>
      </c>
      <c r="O86" t="s">
        <v>358</v>
      </c>
      <c r="P86" t="s">
        <v>348</v>
      </c>
      <c r="Q86" t="b">
        <f t="shared" si="2"/>
        <v>1</v>
      </c>
    </row>
    <row r="87" spans="1:17" ht="30" customHeight="1" x14ac:dyDescent="0.25">
      <c r="A87" s="17">
        <v>81</v>
      </c>
      <c r="B87" s="17" t="s">
        <v>208</v>
      </c>
      <c r="C87" s="83" t="s">
        <v>24</v>
      </c>
      <c r="D87" s="83"/>
      <c r="E87" s="83"/>
      <c r="F87" s="83"/>
      <c r="G87" s="75" t="s">
        <v>242</v>
      </c>
      <c r="H87" s="75" t="s">
        <v>75</v>
      </c>
      <c r="I87" s="72">
        <v>1150</v>
      </c>
      <c r="J87" s="59">
        <v>3.5</v>
      </c>
      <c r="K87" s="38" t="s">
        <v>77</v>
      </c>
      <c r="L87" s="59">
        <v>7</v>
      </c>
      <c r="M87" s="38" t="s">
        <v>83</v>
      </c>
      <c r="N87" t="s">
        <v>347</v>
      </c>
      <c r="O87" t="s">
        <v>358</v>
      </c>
      <c r="P87" t="s">
        <v>348</v>
      </c>
      <c r="Q87" t="b">
        <f t="shared" si="2"/>
        <v>1</v>
      </c>
    </row>
    <row r="88" spans="1:17" ht="30" customHeight="1" x14ac:dyDescent="0.25">
      <c r="A88" s="17">
        <v>82</v>
      </c>
      <c r="B88" s="17" t="s">
        <v>209</v>
      </c>
      <c r="C88" s="83" t="s">
        <v>24</v>
      </c>
      <c r="D88" s="83"/>
      <c r="E88" s="83"/>
      <c r="F88" s="83"/>
      <c r="G88" s="75" t="s">
        <v>242</v>
      </c>
      <c r="H88" s="75" t="s">
        <v>48</v>
      </c>
      <c r="I88" s="62">
        <v>1610</v>
      </c>
      <c r="J88" s="59">
        <v>2</v>
      </c>
      <c r="K88" s="62" t="s">
        <v>36</v>
      </c>
      <c r="L88" s="59">
        <v>7</v>
      </c>
      <c r="M88" s="38" t="s">
        <v>85</v>
      </c>
      <c r="N88" t="s">
        <v>324</v>
      </c>
      <c r="O88" t="s">
        <v>364</v>
      </c>
      <c r="P88" t="s">
        <v>325</v>
      </c>
      <c r="Q88" t="b">
        <f t="shared" si="2"/>
        <v>1</v>
      </c>
    </row>
    <row r="89" spans="1:17" ht="30" customHeight="1" x14ac:dyDescent="0.25">
      <c r="A89" s="17">
        <v>83</v>
      </c>
      <c r="B89" s="17" t="s">
        <v>210</v>
      </c>
      <c r="C89" s="83" t="s">
        <v>24</v>
      </c>
      <c r="D89" s="83"/>
      <c r="E89" s="83"/>
      <c r="F89" s="83"/>
      <c r="G89" s="75" t="s">
        <v>242</v>
      </c>
      <c r="H89" s="75" t="s">
        <v>15</v>
      </c>
      <c r="I89" s="62">
        <v>650</v>
      </c>
      <c r="J89" s="59">
        <v>3</v>
      </c>
      <c r="K89" s="62">
        <v>39000048</v>
      </c>
      <c r="L89" s="59">
        <v>7</v>
      </c>
      <c r="M89" s="38" t="s">
        <v>86</v>
      </c>
      <c r="N89" t="s">
        <v>290</v>
      </c>
      <c r="O89" t="s">
        <v>372</v>
      </c>
      <c r="P89" t="s">
        <v>291</v>
      </c>
      <c r="Q89" t="b">
        <f t="shared" si="2"/>
        <v>1</v>
      </c>
    </row>
    <row r="90" spans="1:17" ht="30" customHeight="1" x14ac:dyDescent="0.25">
      <c r="A90" s="17">
        <v>84</v>
      </c>
      <c r="B90" s="17" t="s">
        <v>211</v>
      </c>
      <c r="C90" s="83" t="s">
        <v>24</v>
      </c>
      <c r="D90" s="83"/>
      <c r="E90" s="83"/>
      <c r="F90" s="83"/>
      <c r="G90" s="75" t="s">
        <v>242</v>
      </c>
      <c r="H90" s="75" t="s">
        <v>15</v>
      </c>
      <c r="I90" s="62">
        <v>610</v>
      </c>
      <c r="J90" s="59">
        <v>7</v>
      </c>
      <c r="K90" s="38" t="s">
        <v>87</v>
      </c>
      <c r="L90" s="59">
        <v>7</v>
      </c>
      <c r="M90" s="38" t="s">
        <v>244</v>
      </c>
      <c r="N90" t="s">
        <v>290</v>
      </c>
      <c r="O90" t="s">
        <v>372</v>
      </c>
      <c r="P90" t="s">
        <v>291</v>
      </c>
      <c r="Q90" t="b">
        <f t="shared" si="2"/>
        <v>1</v>
      </c>
    </row>
    <row r="91" spans="1:17" ht="30" customHeight="1" x14ac:dyDescent="0.25">
      <c r="A91" s="17">
        <v>85</v>
      </c>
      <c r="B91" s="17" t="s">
        <v>212</v>
      </c>
      <c r="C91" s="83" t="s">
        <v>24</v>
      </c>
      <c r="D91" s="83"/>
      <c r="E91" s="83"/>
      <c r="F91" s="83"/>
      <c r="G91" s="75" t="s">
        <v>242</v>
      </c>
      <c r="H91" s="75" t="s">
        <v>48</v>
      </c>
      <c r="I91" s="62">
        <v>610</v>
      </c>
      <c r="J91" s="59">
        <v>7</v>
      </c>
      <c r="K91" s="38" t="s">
        <v>88</v>
      </c>
      <c r="L91" s="59">
        <v>7</v>
      </c>
      <c r="M91" s="38" t="s">
        <v>245</v>
      </c>
      <c r="N91" t="s">
        <v>324</v>
      </c>
      <c r="O91" t="s">
        <v>364</v>
      </c>
      <c r="P91" t="s">
        <v>325</v>
      </c>
      <c r="Q91" t="b">
        <f t="shared" si="2"/>
        <v>1</v>
      </c>
    </row>
    <row r="92" spans="1:17" ht="30" customHeight="1" x14ac:dyDescent="0.25">
      <c r="A92" s="17">
        <v>86</v>
      </c>
      <c r="B92" s="17" t="s">
        <v>213</v>
      </c>
      <c r="C92" s="83" t="s">
        <v>24</v>
      </c>
      <c r="D92" s="83"/>
      <c r="E92" s="83"/>
      <c r="F92" s="83"/>
      <c r="G92" s="75" t="s">
        <v>242</v>
      </c>
      <c r="H92" s="75" t="s">
        <v>75</v>
      </c>
      <c r="I92" s="62">
        <v>930</v>
      </c>
      <c r="J92" s="59">
        <v>3.2</v>
      </c>
      <c r="K92" s="62" t="s">
        <v>25</v>
      </c>
      <c r="L92" s="59">
        <v>2</v>
      </c>
      <c r="M92" s="70" t="s">
        <v>36</v>
      </c>
      <c r="N92" t="s">
        <v>347</v>
      </c>
      <c r="O92" t="s">
        <v>358</v>
      </c>
      <c r="P92" t="s">
        <v>348</v>
      </c>
      <c r="Q92" t="b">
        <f t="shared" si="2"/>
        <v>1</v>
      </c>
    </row>
    <row r="93" spans="1:17" ht="30" customHeight="1" x14ac:dyDescent="0.25">
      <c r="A93" s="17">
        <v>87</v>
      </c>
      <c r="B93" s="17" t="s">
        <v>214</v>
      </c>
      <c r="C93" s="83" t="s">
        <v>24</v>
      </c>
      <c r="D93" s="83"/>
      <c r="E93" s="83"/>
      <c r="F93" s="83"/>
      <c r="G93" s="75" t="s">
        <v>242</v>
      </c>
      <c r="H93" s="75" t="s">
        <v>27</v>
      </c>
      <c r="I93" s="62">
        <v>930</v>
      </c>
      <c r="J93" s="59">
        <v>2</v>
      </c>
      <c r="K93" s="62" t="s">
        <v>36</v>
      </c>
      <c r="L93" s="59">
        <v>3.2</v>
      </c>
      <c r="M93" s="70" t="s">
        <v>25</v>
      </c>
      <c r="N93" t="s">
        <v>297</v>
      </c>
      <c r="O93" t="s">
        <v>361</v>
      </c>
      <c r="P93" t="s">
        <v>298</v>
      </c>
      <c r="Q93" t="b">
        <f t="shared" si="2"/>
        <v>1</v>
      </c>
    </row>
    <row r="94" spans="1:17" ht="30" customHeight="1" x14ac:dyDescent="0.25">
      <c r="A94" s="17">
        <v>88</v>
      </c>
      <c r="B94" s="17" t="s">
        <v>215</v>
      </c>
      <c r="C94" s="83" t="s">
        <v>24</v>
      </c>
      <c r="D94" s="83"/>
      <c r="E94" s="83"/>
      <c r="F94" s="83"/>
      <c r="G94" s="75" t="s">
        <v>242</v>
      </c>
      <c r="H94" s="75" t="s">
        <v>19</v>
      </c>
      <c r="I94" s="62">
        <v>500</v>
      </c>
      <c r="J94" s="59">
        <v>3</v>
      </c>
      <c r="K94" s="62">
        <v>39000048</v>
      </c>
      <c r="L94" s="59">
        <v>7</v>
      </c>
      <c r="M94" s="38" t="s">
        <v>90</v>
      </c>
      <c r="N94" t="s">
        <v>334</v>
      </c>
      <c r="O94" t="s">
        <v>357</v>
      </c>
      <c r="P94" t="s">
        <v>335</v>
      </c>
      <c r="Q94" t="b">
        <f t="shared" si="2"/>
        <v>1</v>
      </c>
    </row>
    <row r="95" spans="1:17" ht="30" customHeight="1" x14ac:dyDescent="0.25">
      <c r="A95" s="17">
        <v>89</v>
      </c>
      <c r="B95" s="17" t="s">
        <v>216</v>
      </c>
      <c r="C95" s="83" t="s">
        <v>24</v>
      </c>
      <c r="D95" s="83"/>
      <c r="E95" s="83"/>
      <c r="F95" s="83"/>
      <c r="G95" s="75" t="s">
        <v>242</v>
      </c>
      <c r="H95" s="75" t="s">
        <v>16</v>
      </c>
      <c r="I95" s="62">
        <v>470</v>
      </c>
      <c r="J95" s="59">
        <v>3</v>
      </c>
      <c r="K95" s="62">
        <v>39000048</v>
      </c>
      <c r="L95" s="59">
        <v>7</v>
      </c>
      <c r="M95" s="38" t="s">
        <v>91</v>
      </c>
      <c r="N95" t="s">
        <v>321</v>
      </c>
      <c r="O95" t="s">
        <v>380</v>
      </c>
      <c r="P95" t="s">
        <v>322</v>
      </c>
      <c r="Q95" t="b">
        <f t="shared" si="2"/>
        <v>1</v>
      </c>
    </row>
    <row r="96" spans="1:17" ht="30" customHeight="1" x14ac:dyDescent="0.25">
      <c r="A96" s="17">
        <v>90</v>
      </c>
      <c r="B96" s="17" t="s">
        <v>217</v>
      </c>
      <c r="C96" s="83" t="s">
        <v>24</v>
      </c>
      <c r="D96" s="83"/>
      <c r="E96" s="83"/>
      <c r="F96" s="83"/>
      <c r="G96" s="75" t="s">
        <v>242</v>
      </c>
      <c r="H96" s="75" t="s">
        <v>18</v>
      </c>
      <c r="I96" s="62">
        <v>460</v>
      </c>
      <c r="J96" s="59">
        <v>3</v>
      </c>
      <c r="K96" s="62">
        <v>39000048</v>
      </c>
      <c r="L96" s="59">
        <v>7</v>
      </c>
      <c r="M96" s="38" t="s">
        <v>92</v>
      </c>
      <c r="N96" t="s">
        <v>332</v>
      </c>
      <c r="O96" t="s">
        <v>383</v>
      </c>
      <c r="P96" t="s">
        <v>333</v>
      </c>
      <c r="Q96" t="b">
        <f t="shared" si="2"/>
        <v>1</v>
      </c>
    </row>
    <row r="97" spans="1:17" ht="30" customHeight="1" x14ac:dyDescent="0.25">
      <c r="A97" s="17">
        <v>91</v>
      </c>
      <c r="B97" s="17" t="s">
        <v>239</v>
      </c>
      <c r="C97" s="83" t="s">
        <v>24</v>
      </c>
      <c r="D97" s="83"/>
      <c r="E97" s="83"/>
      <c r="F97" s="83"/>
      <c r="G97" s="75" t="s">
        <v>242</v>
      </c>
      <c r="H97" s="75" t="s">
        <v>18</v>
      </c>
      <c r="I97" s="62">
        <f>2220-130</f>
        <v>2090</v>
      </c>
      <c r="J97" s="59">
        <v>2</v>
      </c>
      <c r="K97" s="62" t="s">
        <v>39</v>
      </c>
      <c r="L97" s="59">
        <v>3</v>
      </c>
      <c r="M97" s="70" t="s">
        <v>238</v>
      </c>
      <c r="N97" t="s">
        <v>332</v>
      </c>
      <c r="O97" t="s">
        <v>383</v>
      </c>
      <c r="P97" t="s">
        <v>333</v>
      </c>
      <c r="Q97" t="b">
        <f t="shared" si="2"/>
        <v>1</v>
      </c>
    </row>
    <row r="98" spans="1:17" ht="30" customHeight="1" x14ac:dyDescent="0.25">
      <c r="A98" s="17">
        <v>92</v>
      </c>
      <c r="B98" s="17" t="s">
        <v>108</v>
      </c>
      <c r="C98" s="83" t="s">
        <v>31</v>
      </c>
      <c r="D98" s="83"/>
      <c r="E98" s="83"/>
      <c r="F98" s="83"/>
      <c r="G98" s="75" t="s">
        <v>234</v>
      </c>
      <c r="H98" s="75" t="s">
        <v>93</v>
      </c>
      <c r="I98" s="62">
        <v>360</v>
      </c>
      <c r="J98" s="59">
        <v>5</v>
      </c>
      <c r="K98" s="62" t="s">
        <v>44</v>
      </c>
      <c r="L98" s="59">
        <v>11</v>
      </c>
      <c r="M98" s="38" t="s">
        <v>226</v>
      </c>
      <c r="N98" t="s">
        <v>319</v>
      </c>
      <c r="O98" t="s">
        <v>283</v>
      </c>
      <c r="P98" t="s">
        <v>283</v>
      </c>
      <c r="Q98" t="b">
        <f t="shared" si="2"/>
        <v>1</v>
      </c>
    </row>
    <row r="99" spans="1:17" ht="30" customHeight="1" x14ac:dyDescent="0.25">
      <c r="A99" s="17">
        <v>93</v>
      </c>
      <c r="B99" s="17" t="s">
        <v>109</v>
      </c>
      <c r="C99" s="83" t="s">
        <v>24</v>
      </c>
      <c r="D99" s="83"/>
      <c r="E99" s="83"/>
      <c r="F99" s="83"/>
      <c r="G99" s="75" t="s">
        <v>242</v>
      </c>
      <c r="H99" s="75" t="s">
        <v>94</v>
      </c>
      <c r="I99" s="62">
        <v>2020</v>
      </c>
      <c r="J99" s="59">
        <v>2</v>
      </c>
      <c r="K99" s="62">
        <v>561349000</v>
      </c>
      <c r="L99" s="59">
        <v>3.2</v>
      </c>
      <c r="M99" s="38" t="s">
        <v>25</v>
      </c>
      <c r="N99" t="s">
        <v>334</v>
      </c>
      <c r="O99" t="s">
        <v>357</v>
      </c>
      <c r="P99" t="s">
        <v>357</v>
      </c>
      <c r="Q99" t="b">
        <f t="shared" si="2"/>
        <v>1</v>
      </c>
    </row>
    <row r="100" spans="1:17" ht="30" customHeight="1" x14ac:dyDescent="0.25">
      <c r="A100" s="17">
        <v>94</v>
      </c>
      <c r="B100" s="17" t="s">
        <v>110</v>
      </c>
      <c r="C100" s="83" t="s">
        <v>24</v>
      </c>
      <c r="D100" s="83"/>
      <c r="E100" s="83"/>
      <c r="F100" s="83"/>
      <c r="G100" s="75" t="s">
        <v>242</v>
      </c>
      <c r="H100" s="75" t="s">
        <v>95</v>
      </c>
      <c r="I100" s="62">
        <v>1825</v>
      </c>
      <c r="J100" s="59">
        <v>2</v>
      </c>
      <c r="K100" s="62">
        <v>561349000</v>
      </c>
      <c r="L100" s="59">
        <v>3</v>
      </c>
      <c r="M100" s="38" t="s">
        <v>107</v>
      </c>
      <c r="N100" t="s">
        <v>309</v>
      </c>
      <c r="O100" t="s">
        <v>280</v>
      </c>
      <c r="P100" t="s">
        <v>280</v>
      </c>
      <c r="Q100" t="b">
        <f t="shared" si="2"/>
        <v>1</v>
      </c>
    </row>
    <row r="101" spans="1:17" ht="30" customHeight="1" x14ac:dyDescent="0.25">
      <c r="A101" s="17">
        <v>95</v>
      </c>
      <c r="B101" s="17" t="s">
        <v>111</v>
      </c>
      <c r="C101" s="83" t="s">
        <v>24</v>
      </c>
      <c r="D101" s="83"/>
      <c r="E101" s="83"/>
      <c r="F101" s="83"/>
      <c r="G101" s="75" t="s">
        <v>242</v>
      </c>
      <c r="H101" s="75" t="s">
        <v>96</v>
      </c>
      <c r="I101" s="62">
        <v>1825</v>
      </c>
      <c r="J101" s="59">
        <v>2</v>
      </c>
      <c r="K101" s="62">
        <v>561349000</v>
      </c>
      <c r="L101" s="59">
        <v>3</v>
      </c>
      <c r="M101" s="38" t="s">
        <v>107</v>
      </c>
      <c r="N101" t="s">
        <v>347</v>
      </c>
      <c r="O101" t="s">
        <v>358</v>
      </c>
      <c r="P101" t="s">
        <v>358</v>
      </c>
      <c r="Q101" t="b">
        <f t="shared" si="2"/>
        <v>1</v>
      </c>
    </row>
    <row r="102" spans="1:17" ht="30" customHeight="1" x14ac:dyDescent="0.25">
      <c r="A102" s="17">
        <v>96</v>
      </c>
      <c r="B102" s="17" t="s">
        <v>112</v>
      </c>
      <c r="C102" s="83" t="s">
        <v>24</v>
      </c>
      <c r="D102" s="83"/>
      <c r="E102" s="83"/>
      <c r="F102" s="83"/>
      <c r="G102" s="75" t="s">
        <v>242</v>
      </c>
      <c r="H102" s="75" t="s">
        <v>97</v>
      </c>
      <c r="I102" s="62">
        <v>1825</v>
      </c>
      <c r="J102" s="59">
        <v>2</v>
      </c>
      <c r="K102" s="62">
        <v>561349000</v>
      </c>
      <c r="L102" s="59">
        <v>3</v>
      </c>
      <c r="M102" s="38" t="s">
        <v>107</v>
      </c>
      <c r="N102" t="s">
        <v>301</v>
      </c>
      <c r="O102" t="s">
        <v>359</v>
      </c>
      <c r="P102" t="s">
        <v>359</v>
      </c>
      <c r="Q102" t="b">
        <f t="shared" si="2"/>
        <v>1</v>
      </c>
    </row>
    <row r="103" spans="1:17" ht="30" customHeight="1" x14ac:dyDescent="0.25">
      <c r="A103" s="17">
        <v>97</v>
      </c>
      <c r="B103" s="17" t="s">
        <v>113</v>
      </c>
      <c r="C103" s="83" t="s">
        <v>24</v>
      </c>
      <c r="D103" s="83"/>
      <c r="E103" s="83"/>
      <c r="F103" s="83"/>
      <c r="G103" s="75" t="s">
        <v>242</v>
      </c>
      <c r="H103" s="75" t="s">
        <v>98</v>
      </c>
      <c r="I103" s="62">
        <v>1825</v>
      </c>
      <c r="J103" s="59">
        <v>2</v>
      </c>
      <c r="K103" s="62">
        <v>561349000</v>
      </c>
      <c r="L103" s="59">
        <v>3</v>
      </c>
      <c r="M103" s="38" t="s">
        <v>107</v>
      </c>
      <c r="N103" t="s">
        <v>340</v>
      </c>
      <c r="O103" t="s">
        <v>282</v>
      </c>
      <c r="P103" t="s">
        <v>282</v>
      </c>
      <c r="Q103" t="b">
        <f t="shared" si="2"/>
        <v>1</v>
      </c>
    </row>
    <row r="104" spans="1:17" ht="30" customHeight="1" x14ac:dyDescent="0.25">
      <c r="A104" s="17">
        <v>98</v>
      </c>
      <c r="B104" s="17" t="s">
        <v>114</v>
      </c>
      <c r="C104" s="83" t="s">
        <v>24</v>
      </c>
      <c r="D104" s="83"/>
      <c r="E104" s="83"/>
      <c r="F104" s="83"/>
      <c r="G104" s="75" t="s">
        <v>242</v>
      </c>
      <c r="H104" s="75" t="s">
        <v>95</v>
      </c>
      <c r="I104" s="62">
        <f>2400+10</f>
        <v>2410</v>
      </c>
      <c r="J104" s="59">
        <v>3</v>
      </c>
      <c r="K104" s="62" t="s">
        <v>107</v>
      </c>
      <c r="L104" s="59">
        <v>2</v>
      </c>
      <c r="M104" s="38">
        <v>561349000</v>
      </c>
      <c r="N104" t="s">
        <v>309</v>
      </c>
      <c r="O104" t="s">
        <v>280</v>
      </c>
      <c r="P104" t="s">
        <v>280</v>
      </c>
      <c r="Q104" t="b">
        <f t="shared" si="2"/>
        <v>1</v>
      </c>
    </row>
    <row r="105" spans="1:17" ht="30" customHeight="1" x14ac:dyDescent="0.25">
      <c r="A105" s="17">
        <v>99</v>
      </c>
      <c r="B105" s="17" t="s">
        <v>115</v>
      </c>
      <c r="C105" s="83" t="s">
        <v>24</v>
      </c>
      <c r="D105" s="83"/>
      <c r="E105" s="83"/>
      <c r="F105" s="83"/>
      <c r="G105" s="75" t="s">
        <v>242</v>
      </c>
      <c r="H105" s="75" t="s">
        <v>99</v>
      </c>
      <c r="I105" s="62">
        <f t="shared" ref="I105:I107" si="3">2400+10</f>
        <v>2410</v>
      </c>
      <c r="J105" s="59">
        <v>3</v>
      </c>
      <c r="K105" s="62" t="s">
        <v>107</v>
      </c>
      <c r="L105" s="59">
        <v>2</v>
      </c>
      <c r="M105" s="38">
        <v>561349000</v>
      </c>
      <c r="N105" t="s">
        <v>305</v>
      </c>
      <c r="O105" t="s">
        <v>360</v>
      </c>
      <c r="P105" t="s">
        <v>360</v>
      </c>
      <c r="Q105" t="b">
        <f t="shared" si="2"/>
        <v>1</v>
      </c>
    </row>
    <row r="106" spans="1:17" ht="30" customHeight="1" x14ac:dyDescent="0.25">
      <c r="A106" s="17">
        <v>100</v>
      </c>
      <c r="B106" s="17" t="s">
        <v>116</v>
      </c>
      <c r="C106" s="83" t="s">
        <v>24</v>
      </c>
      <c r="D106" s="83"/>
      <c r="E106" s="83"/>
      <c r="F106" s="83"/>
      <c r="G106" s="75" t="s">
        <v>242</v>
      </c>
      <c r="H106" s="75" t="s">
        <v>100</v>
      </c>
      <c r="I106" s="62">
        <f t="shared" si="3"/>
        <v>2410</v>
      </c>
      <c r="J106" s="59">
        <v>2</v>
      </c>
      <c r="K106" s="62">
        <v>561349000</v>
      </c>
      <c r="L106" s="59">
        <v>3</v>
      </c>
      <c r="M106" s="38" t="s">
        <v>107</v>
      </c>
      <c r="N106" t="s">
        <v>294</v>
      </c>
      <c r="O106" t="s">
        <v>373</v>
      </c>
      <c r="P106" t="s">
        <v>279</v>
      </c>
      <c r="Q106" t="b">
        <f t="shared" si="2"/>
        <v>0</v>
      </c>
    </row>
    <row r="107" spans="1:17" ht="30" customHeight="1" x14ac:dyDescent="0.25">
      <c r="A107" s="17">
        <v>101</v>
      </c>
      <c r="B107" s="17" t="s">
        <v>117</v>
      </c>
      <c r="C107" s="83" t="s">
        <v>24</v>
      </c>
      <c r="D107" s="83"/>
      <c r="E107" s="83"/>
      <c r="F107" s="83"/>
      <c r="G107" s="75" t="s">
        <v>242</v>
      </c>
      <c r="H107" s="75" t="s">
        <v>101</v>
      </c>
      <c r="I107" s="62">
        <f t="shared" si="3"/>
        <v>2410</v>
      </c>
      <c r="J107" s="59">
        <v>2</v>
      </c>
      <c r="K107" s="62">
        <v>561349000</v>
      </c>
      <c r="L107" s="59">
        <v>3</v>
      </c>
      <c r="M107" s="38" t="s">
        <v>107</v>
      </c>
      <c r="N107" t="s">
        <v>297</v>
      </c>
      <c r="O107" t="s">
        <v>361</v>
      </c>
      <c r="P107" t="s">
        <v>361</v>
      </c>
      <c r="Q107" t="b">
        <f t="shared" si="2"/>
        <v>1</v>
      </c>
    </row>
    <row r="108" spans="1:17" ht="30" customHeight="1" x14ac:dyDescent="0.25">
      <c r="A108" s="17">
        <v>102</v>
      </c>
      <c r="B108" s="17" t="s">
        <v>118</v>
      </c>
      <c r="C108" s="83" t="s">
        <v>24</v>
      </c>
      <c r="D108" s="83"/>
      <c r="E108" s="83"/>
      <c r="F108" s="83"/>
      <c r="G108" s="75" t="s">
        <v>242</v>
      </c>
      <c r="H108" s="75" t="s">
        <v>102</v>
      </c>
      <c r="I108" s="62">
        <v>1810</v>
      </c>
      <c r="J108" s="59">
        <v>2</v>
      </c>
      <c r="K108" s="62" t="s">
        <v>36</v>
      </c>
      <c r="L108" s="59">
        <v>3.5</v>
      </c>
      <c r="M108" s="38" t="s">
        <v>89</v>
      </c>
      <c r="N108" t="s">
        <v>299</v>
      </c>
      <c r="O108" t="s">
        <v>362</v>
      </c>
      <c r="P108" t="s">
        <v>362</v>
      </c>
      <c r="Q108" t="b">
        <f t="shared" si="2"/>
        <v>1</v>
      </c>
    </row>
    <row r="109" spans="1:17" ht="30" customHeight="1" x14ac:dyDescent="0.25">
      <c r="A109" s="17">
        <v>103</v>
      </c>
      <c r="B109" s="17" t="s">
        <v>119</v>
      </c>
      <c r="C109" s="83" t="s">
        <v>24</v>
      </c>
      <c r="D109" s="83"/>
      <c r="E109" s="83"/>
      <c r="F109" s="83"/>
      <c r="G109" s="75" t="s">
        <v>242</v>
      </c>
      <c r="H109" s="75" t="s">
        <v>95</v>
      </c>
      <c r="I109" s="62">
        <v>1810</v>
      </c>
      <c r="J109" s="59">
        <v>2</v>
      </c>
      <c r="K109" s="62" t="s">
        <v>36</v>
      </c>
      <c r="L109" s="59">
        <v>3.5</v>
      </c>
      <c r="M109" s="38" t="s">
        <v>89</v>
      </c>
      <c r="N109" t="s">
        <v>309</v>
      </c>
      <c r="O109" t="s">
        <v>280</v>
      </c>
      <c r="P109" t="s">
        <v>280</v>
      </c>
      <c r="Q109" t="b">
        <f t="shared" si="2"/>
        <v>1</v>
      </c>
    </row>
    <row r="110" spans="1:17" ht="30" customHeight="1" x14ac:dyDescent="0.25">
      <c r="A110" s="17">
        <v>104</v>
      </c>
      <c r="B110" s="17" t="s">
        <v>120</v>
      </c>
      <c r="C110" s="83" t="s">
        <v>24</v>
      </c>
      <c r="D110" s="83"/>
      <c r="E110" s="83"/>
      <c r="F110" s="83"/>
      <c r="G110" s="75" t="s">
        <v>242</v>
      </c>
      <c r="H110" s="75" t="s">
        <v>103</v>
      </c>
      <c r="I110" s="62">
        <v>1810</v>
      </c>
      <c r="J110" s="59">
        <v>2</v>
      </c>
      <c r="K110" s="62" t="s">
        <v>36</v>
      </c>
      <c r="L110" s="59">
        <v>3.5</v>
      </c>
      <c r="M110" s="38" t="s">
        <v>89</v>
      </c>
      <c r="N110" t="s">
        <v>292</v>
      </c>
      <c r="O110" t="s">
        <v>363</v>
      </c>
      <c r="P110" t="s">
        <v>363</v>
      </c>
      <c r="Q110" t="b">
        <f t="shared" si="2"/>
        <v>1</v>
      </c>
    </row>
    <row r="111" spans="1:17" ht="30" customHeight="1" x14ac:dyDescent="0.25">
      <c r="A111" s="17">
        <v>105</v>
      </c>
      <c r="B111" s="17" t="s">
        <v>121</v>
      </c>
      <c r="C111" s="83" t="s">
        <v>24</v>
      </c>
      <c r="D111" s="83"/>
      <c r="E111" s="83"/>
      <c r="F111" s="83"/>
      <c r="G111" s="75" t="s">
        <v>242</v>
      </c>
      <c r="H111" s="75" t="s">
        <v>94</v>
      </c>
      <c r="I111" s="62">
        <v>1810</v>
      </c>
      <c r="J111" s="59">
        <v>2</v>
      </c>
      <c r="K111" s="62" t="s">
        <v>36</v>
      </c>
      <c r="L111" s="59">
        <v>3.5</v>
      </c>
      <c r="M111" s="38" t="s">
        <v>89</v>
      </c>
      <c r="N111" t="s">
        <v>334</v>
      </c>
      <c r="O111" t="s">
        <v>357</v>
      </c>
      <c r="P111" t="s">
        <v>357</v>
      </c>
      <c r="Q111" t="b">
        <f t="shared" si="2"/>
        <v>1</v>
      </c>
    </row>
    <row r="112" spans="1:17" ht="30" customHeight="1" x14ac:dyDescent="0.25">
      <c r="A112" s="17">
        <v>106</v>
      </c>
      <c r="B112" s="17" t="s">
        <v>122</v>
      </c>
      <c r="C112" s="83" t="s">
        <v>24</v>
      </c>
      <c r="D112" s="83"/>
      <c r="E112" s="83"/>
      <c r="F112" s="83"/>
      <c r="G112" s="75" t="s">
        <v>242</v>
      </c>
      <c r="H112" s="75" t="s">
        <v>94</v>
      </c>
      <c r="I112" s="62">
        <f>1060+35</f>
        <v>1095</v>
      </c>
      <c r="J112" s="59">
        <v>3</v>
      </c>
      <c r="K112" s="62" t="s">
        <v>107</v>
      </c>
      <c r="L112" s="59">
        <v>7</v>
      </c>
      <c r="M112" s="38" t="s">
        <v>227</v>
      </c>
      <c r="N112" t="s">
        <v>334</v>
      </c>
      <c r="O112" t="s">
        <v>357</v>
      </c>
      <c r="P112" t="s">
        <v>357</v>
      </c>
      <c r="Q112" t="b">
        <f t="shared" si="2"/>
        <v>1</v>
      </c>
    </row>
    <row r="113" spans="1:17" ht="30" customHeight="1" x14ac:dyDescent="0.25">
      <c r="A113" s="17">
        <v>107</v>
      </c>
      <c r="B113" s="17" t="s">
        <v>123</v>
      </c>
      <c r="C113" s="83" t="s">
        <v>24</v>
      </c>
      <c r="D113" s="83"/>
      <c r="E113" s="83"/>
      <c r="F113" s="83"/>
      <c r="G113" s="75" t="s">
        <v>242</v>
      </c>
      <c r="H113" s="75" t="s">
        <v>104</v>
      </c>
      <c r="I113" s="62">
        <f>1840+5</f>
        <v>1845</v>
      </c>
      <c r="J113" s="59">
        <v>3</v>
      </c>
      <c r="K113" s="62" t="s">
        <v>107</v>
      </c>
      <c r="L113" s="59">
        <v>2</v>
      </c>
      <c r="M113" s="38">
        <v>561349000</v>
      </c>
      <c r="N113" t="s">
        <v>324</v>
      </c>
      <c r="O113" t="s">
        <v>364</v>
      </c>
      <c r="P113" t="s">
        <v>364</v>
      </c>
      <c r="Q113" t="b">
        <f t="shared" si="2"/>
        <v>1</v>
      </c>
    </row>
    <row r="114" spans="1:17" ht="30" customHeight="1" x14ac:dyDescent="0.25">
      <c r="A114" s="17">
        <v>108</v>
      </c>
      <c r="B114" s="17" t="s">
        <v>124</v>
      </c>
      <c r="C114" s="83" t="s">
        <v>24</v>
      </c>
      <c r="D114" s="83"/>
      <c r="E114" s="83"/>
      <c r="F114" s="83"/>
      <c r="G114" s="75" t="s">
        <v>242</v>
      </c>
      <c r="H114" s="75" t="s">
        <v>97</v>
      </c>
      <c r="I114" s="62">
        <f>1825+25</f>
        <v>1850</v>
      </c>
      <c r="J114" s="59">
        <v>2</v>
      </c>
      <c r="K114" s="62">
        <v>561349000</v>
      </c>
      <c r="L114" s="59">
        <v>3</v>
      </c>
      <c r="M114" s="38" t="s">
        <v>107</v>
      </c>
      <c r="N114" t="s">
        <v>301</v>
      </c>
      <c r="O114" t="s">
        <v>359</v>
      </c>
      <c r="P114" t="s">
        <v>359</v>
      </c>
      <c r="Q114" t="b">
        <f t="shared" si="2"/>
        <v>1</v>
      </c>
    </row>
    <row r="115" spans="1:17" ht="30" customHeight="1" x14ac:dyDescent="0.25">
      <c r="A115" s="17">
        <v>109</v>
      </c>
      <c r="B115" s="17" t="s">
        <v>125</v>
      </c>
      <c r="C115" s="83" t="s">
        <v>24</v>
      </c>
      <c r="D115" s="83"/>
      <c r="E115" s="83"/>
      <c r="F115" s="83"/>
      <c r="G115" s="75" t="s">
        <v>242</v>
      </c>
      <c r="H115" s="75" t="s">
        <v>105</v>
      </c>
      <c r="I115" s="62">
        <f>1650+35</f>
        <v>1685</v>
      </c>
      <c r="J115" s="59">
        <v>3</v>
      </c>
      <c r="K115" s="62" t="s">
        <v>107</v>
      </c>
      <c r="L115" s="59">
        <v>2</v>
      </c>
      <c r="M115" s="38" t="s">
        <v>39</v>
      </c>
      <c r="N115" t="s">
        <v>343</v>
      </c>
      <c r="O115" t="s">
        <v>365</v>
      </c>
      <c r="P115" t="s">
        <v>365</v>
      </c>
      <c r="Q115" t="b">
        <f t="shared" si="2"/>
        <v>1</v>
      </c>
    </row>
    <row r="116" spans="1:17" ht="30" customHeight="1" x14ac:dyDescent="0.25">
      <c r="A116" s="17">
        <v>110</v>
      </c>
      <c r="B116" s="17" t="s">
        <v>126</v>
      </c>
      <c r="C116" s="83" t="s">
        <v>24</v>
      </c>
      <c r="D116" s="83"/>
      <c r="E116" s="83"/>
      <c r="F116" s="83"/>
      <c r="G116" s="75" t="s">
        <v>242</v>
      </c>
      <c r="H116" s="75" t="s">
        <v>106</v>
      </c>
      <c r="I116" s="62">
        <f>1650+35</f>
        <v>1685</v>
      </c>
      <c r="J116" s="59">
        <v>3</v>
      </c>
      <c r="K116" s="62" t="s">
        <v>107</v>
      </c>
      <c r="L116" s="60">
        <v>2</v>
      </c>
      <c r="M116" s="38" t="s">
        <v>39</v>
      </c>
      <c r="N116" t="s">
        <v>366</v>
      </c>
      <c r="O116" t="s">
        <v>367</v>
      </c>
      <c r="P116" t="s">
        <v>367</v>
      </c>
      <c r="Q116" t="b">
        <f t="shared" si="2"/>
        <v>1</v>
      </c>
    </row>
    <row r="117" spans="1:17" ht="30" customHeight="1" x14ac:dyDescent="0.25">
      <c r="A117" s="17">
        <v>111</v>
      </c>
      <c r="B117" s="17" t="s">
        <v>127</v>
      </c>
      <c r="C117" s="83" t="s">
        <v>24</v>
      </c>
      <c r="D117" s="83"/>
      <c r="E117" s="83"/>
      <c r="F117" s="83"/>
      <c r="G117" s="75" t="s">
        <v>242</v>
      </c>
      <c r="H117" s="75" t="s">
        <v>101</v>
      </c>
      <c r="I117" s="62">
        <v>3130</v>
      </c>
      <c r="J117" s="60">
        <v>2</v>
      </c>
      <c r="K117" s="62" t="s">
        <v>39</v>
      </c>
      <c r="L117" s="60">
        <v>3</v>
      </c>
      <c r="M117" s="38" t="s">
        <v>47</v>
      </c>
      <c r="N117" t="s">
        <v>297</v>
      </c>
      <c r="O117" t="s">
        <v>361</v>
      </c>
      <c r="P117" t="s">
        <v>361</v>
      </c>
      <c r="Q117" t="b">
        <f t="shared" si="2"/>
        <v>1</v>
      </c>
    </row>
    <row r="118" spans="1:17" ht="30" customHeight="1" x14ac:dyDescent="0.25">
      <c r="A118" s="17">
        <v>112</v>
      </c>
      <c r="B118" s="17" t="s">
        <v>128</v>
      </c>
      <c r="C118" s="83" t="s">
        <v>24</v>
      </c>
      <c r="D118" s="83"/>
      <c r="E118" s="83"/>
      <c r="F118" s="83"/>
      <c r="G118" s="75" t="s">
        <v>242</v>
      </c>
      <c r="H118" s="75" t="s">
        <v>94</v>
      </c>
      <c r="I118" s="62">
        <f>4680+50</f>
        <v>4730</v>
      </c>
      <c r="J118" s="60">
        <v>3</v>
      </c>
      <c r="K118" s="62" t="s">
        <v>47</v>
      </c>
      <c r="L118" s="60">
        <v>3</v>
      </c>
      <c r="M118" s="38" t="s">
        <v>47</v>
      </c>
      <c r="N118" t="s">
        <v>334</v>
      </c>
      <c r="O118" t="s">
        <v>357</v>
      </c>
      <c r="P118" t="s">
        <v>357</v>
      </c>
      <c r="Q118" t="b">
        <f t="shared" si="2"/>
        <v>1</v>
      </c>
    </row>
    <row r="119" spans="1:17" ht="30" customHeight="1" x14ac:dyDescent="0.25">
      <c r="A119" s="17">
        <v>113</v>
      </c>
      <c r="B119" s="17" t="s">
        <v>129</v>
      </c>
      <c r="C119" s="83" t="s">
        <v>24</v>
      </c>
      <c r="D119" s="83"/>
      <c r="E119" s="83"/>
      <c r="F119" s="83"/>
      <c r="G119" s="75" t="s">
        <v>242</v>
      </c>
      <c r="H119" s="75" t="s">
        <v>97</v>
      </c>
      <c r="I119" s="62">
        <f>2115+20</f>
        <v>2135</v>
      </c>
      <c r="J119" s="60">
        <v>3</v>
      </c>
      <c r="K119" s="62" t="s">
        <v>47</v>
      </c>
      <c r="L119" s="60">
        <v>2</v>
      </c>
      <c r="M119" s="38" t="s">
        <v>39</v>
      </c>
      <c r="N119" t="s">
        <v>301</v>
      </c>
      <c r="O119" t="s">
        <v>359</v>
      </c>
      <c r="P119" t="s">
        <v>359</v>
      </c>
      <c r="Q119" t="b">
        <f t="shared" si="2"/>
        <v>1</v>
      </c>
    </row>
  </sheetData>
  <mergeCells count="125">
    <mergeCell ref="A1:M1"/>
    <mergeCell ref="A2:M2"/>
    <mergeCell ref="A3:F3"/>
    <mergeCell ref="J3:K3"/>
    <mergeCell ref="L3:M3"/>
    <mergeCell ref="A4:F4"/>
    <mergeCell ref="J4:K4"/>
    <mergeCell ref="L4:M4"/>
    <mergeCell ref="C9:F9"/>
    <mergeCell ref="C10:F10"/>
    <mergeCell ref="C11:F11"/>
    <mergeCell ref="C12:F12"/>
    <mergeCell ref="C13:F13"/>
    <mergeCell ref="C14:F14"/>
    <mergeCell ref="A5:F5"/>
    <mergeCell ref="J5:K5"/>
    <mergeCell ref="L5:M5"/>
    <mergeCell ref="C6:F6"/>
    <mergeCell ref="C7:F7"/>
    <mergeCell ref="C8:F8"/>
    <mergeCell ref="C21:F21"/>
    <mergeCell ref="C22:F22"/>
    <mergeCell ref="C23:F23"/>
    <mergeCell ref="C24:F24"/>
    <mergeCell ref="C25:F25"/>
    <mergeCell ref="C26:F26"/>
    <mergeCell ref="C15:F15"/>
    <mergeCell ref="C16:F16"/>
    <mergeCell ref="C17:F17"/>
    <mergeCell ref="C18:F18"/>
    <mergeCell ref="C19:F19"/>
    <mergeCell ref="C20:F20"/>
    <mergeCell ref="C33:F33"/>
    <mergeCell ref="C34:F34"/>
    <mergeCell ref="C35:F35"/>
    <mergeCell ref="C36:F36"/>
    <mergeCell ref="C37:F37"/>
    <mergeCell ref="C38:F38"/>
    <mergeCell ref="C27:F27"/>
    <mergeCell ref="C28:F28"/>
    <mergeCell ref="C29:F29"/>
    <mergeCell ref="C30:F30"/>
    <mergeCell ref="C31:F31"/>
    <mergeCell ref="C32:F32"/>
    <mergeCell ref="C45:F45"/>
    <mergeCell ref="C46:F46"/>
    <mergeCell ref="C47:F47"/>
    <mergeCell ref="C48:F48"/>
    <mergeCell ref="C49:F49"/>
    <mergeCell ref="C50:F50"/>
    <mergeCell ref="C39:F39"/>
    <mergeCell ref="C40:F40"/>
    <mergeCell ref="C41:F41"/>
    <mergeCell ref="C42:F42"/>
    <mergeCell ref="C43:F43"/>
    <mergeCell ref="C44:F44"/>
    <mergeCell ref="C57:F57"/>
    <mergeCell ref="C58:F58"/>
    <mergeCell ref="C59:F59"/>
    <mergeCell ref="C60:F60"/>
    <mergeCell ref="C61:F61"/>
    <mergeCell ref="C62:F62"/>
    <mergeCell ref="C51:F51"/>
    <mergeCell ref="C52:F52"/>
    <mergeCell ref="C53:F53"/>
    <mergeCell ref="C54:F54"/>
    <mergeCell ref="C55:F55"/>
    <mergeCell ref="C56:F56"/>
    <mergeCell ref="C69:F69"/>
    <mergeCell ref="C70:F70"/>
    <mergeCell ref="C71:F71"/>
    <mergeCell ref="C72:F72"/>
    <mergeCell ref="C73:F73"/>
    <mergeCell ref="C74:F74"/>
    <mergeCell ref="C63:F63"/>
    <mergeCell ref="C64:F64"/>
    <mergeCell ref="C65:F65"/>
    <mergeCell ref="C66:F66"/>
    <mergeCell ref="C67:F67"/>
    <mergeCell ref="C68:F68"/>
    <mergeCell ref="C81:F81"/>
    <mergeCell ref="C82:F82"/>
    <mergeCell ref="C83:F83"/>
    <mergeCell ref="C84:F84"/>
    <mergeCell ref="C85:F85"/>
    <mergeCell ref="C86:F86"/>
    <mergeCell ref="C75:F75"/>
    <mergeCell ref="C76:F76"/>
    <mergeCell ref="C77:F77"/>
    <mergeCell ref="C78:F78"/>
    <mergeCell ref="C79:F79"/>
    <mergeCell ref="C80:F80"/>
    <mergeCell ref="C93:F93"/>
    <mergeCell ref="C94:F94"/>
    <mergeCell ref="C95:F95"/>
    <mergeCell ref="C96:F96"/>
    <mergeCell ref="C97:F97"/>
    <mergeCell ref="C98:F98"/>
    <mergeCell ref="C87:F87"/>
    <mergeCell ref="C88:F88"/>
    <mergeCell ref="C89:F89"/>
    <mergeCell ref="C90:F90"/>
    <mergeCell ref="C91:F91"/>
    <mergeCell ref="C92:F92"/>
    <mergeCell ref="C105:F105"/>
    <mergeCell ref="C106:F106"/>
    <mergeCell ref="C107:F107"/>
    <mergeCell ref="C108:F108"/>
    <mergeCell ref="C109:F109"/>
    <mergeCell ref="C110:F110"/>
    <mergeCell ref="C99:F99"/>
    <mergeCell ref="C100:F100"/>
    <mergeCell ref="C101:F101"/>
    <mergeCell ref="C102:F102"/>
    <mergeCell ref="C103:F103"/>
    <mergeCell ref="C104:F104"/>
    <mergeCell ref="C117:F117"/>
    <mergeCell ref="C118:F118"/>
    <mergeCell ref="C119:F119"/>
    <mergeCell ref="C111:F111"/>
    <mergeCell ref="C112:F112"/>
    <mergeCell ref="C113:F113"/>
    <mergeCell ref="C114:F114"/>
    <mergeCell ref="C115:F115"/>
    <mergeCell ref="C116:F1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1:O98"/>
  <sheetViews>
    <sheetView view="pageBreakPreview" topLeftCell="A13" zoomScale="60" zoomScaleNormal="85" workbookViewId="0">
      <selection activeCell="C4" sqref="C4:N93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2.28515625" customWidth="1"/>
    <col min="9" max="9" width="46" customWidth="1"/>
    <col min="10" max="10" width="77" customWidth="1"/>
    <col min="11" max="11" width="34.85546875" customWidth="1"/>
    <col min="12" max="12" width="23.7109375" customWidth="1"/>
    <col min="13" max="13" width="34.28515625" customWidth="1"/>
    <col min="14" max="14" width="1.140625" customWidth="1"/>
    <col min="15" max="15" width="23" hidden="1" customWidth="1"/>
  </cols>
  <sheetData>
    <row r="1" spans="3:14" ht="55.5" customHeight="1" thickBot="1" x14ac:dyDescent="0.3">
      <c r="C1" s="117" t="s">
        <v>0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9"/>
    </row>
    <row r="2" spans="3:14" ht="28.35" customHeight="1" x14ac:dyDescent="0.25">
      <c r="C2" s="120" t="s">
        <v>240</v>
      </c>
      <c r="D2" s="121"/>
      <c r="E2" s="121"/>
      <c r="F2" s="121"/>
      <c r="G2" s="121"/>
      <c r="H2" s="122"/>
      <c r="I2" s="122"/>
      <c r="J2" s="122"/>
      <c r="K2" s="122"/>
      <c r="L2" s="122"/>
      <c r="M2" s="122"/>
      <c r="N2" s="123"/>
    </row>
    <row r="3" spans="3:14" ht="27" customHeight="1" x14ac:dyDescent="0.25">
      <c r="C3" s="108" t="s">
        <v>2</v>
      </c>
      <c r="D3" s="109"/>
      <c r="E3" s="109"/>
      <c r="F3" s="109"/>
      <c r="G3" s="109"/>
      <c r="H3" s="94"/>
      <c r="I3" s="14" t="s">
        <v>218</v>
      </c>
      <c r="J3" s="11" t="s">
        <v>228</v>
      </c>
      <c r="K3" s="12"/>
      <c r="L3" s="110" t="s">
        <v>229</v>
      </c>
      <c r="M3" s="94"/>
      <c r="N3" s="15"/>
    </row>
    <row r="4" spans="3:14" ht="21" customHeight="1" x14ac:dyDescent="0.25">
      <c r="C4" s="124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</row>
    <row r="5" spans="3:14" ht="21" customHeight="1" x14ac:dyDescent="0.25">
      <c r="C5" s="126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</row>
    <row r="6" spans="3:14" ht="56.25" customHeight="1" x14ac:dyDescent="0.25">
      <c r="C6" s="126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</row>
    <row r="7" spans="3:14" ht="35.1" customHeight="1" x14ac:dyDescent="0.25">
      <c r="C7" s="126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</row>
    <row r="8" spans="3:14" ht="35.1" customHeight="1" x14ac:dyDescent="0.25">
      <c r="C8" s="126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</row>
    <row r="9" spans="3:14" ht="35.1" customHeight="1" x14ac:dyDescent="0.25">
      <c r="C9" s="126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</row>
    <row r="10" spans="3:14" ht="35.1" customHeight="1" x14ac:dyDescent="0.25">
      <c r="C10" s="126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</row>
    <row r="11" spans="3:14" ht="35.1" customHeight="1" x14ac:dyDescent="0.25">
      <c r="C11" s="126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</row>
    <row r="12" spans="3:14" ht="35.1" customHeight="1" x14ac:dyDescent="0.25">
      <c r="C12" s="126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</row>
    <row r="13" spans="3:14" ht="35.1" customHeight="1" x14ac:dyDescent="0.25">
      <c r="C13" s="126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</row>
    <row r="14" spans="3:14" ht="35.1" customHeight="1" x14ac:dyDescent="0.25">
      <c r="C14" s="126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</row>
    <row r="15" spans="3:14" ht="35.1" customHeight="1" x14ac:dyDescent="0.25">
      <c r="C15" s="126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</row>
    <row r="16" spans="3:14" ht="35.1" customHeight="1" x14ac:dyDescent="0.25">
      <c r="C16" s="126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</row>
    <row r="17" spans="3:14" ht="35.1" customHeight="1" x14ac:dyDescent="0.25">
      <c r="C17" s="126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</row>
    <row r="18" spans="3:14" ht="35.1" customHeight="1" x14ac:dyDescent="0.25">
      <c r="C18" s="126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</row>
    <row r="19" spans="3:14" ht="35.1" customHeight="1" x14ac:dyDescent="0.25">
      <c r="C19" s="126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</row>
    <row r="20" spans="3:14" ht="35.1" customHeight="1" x14ac:dyDescent="0.25">
      <c r="C20" s="126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</row>
    <row r="21" spans="3:14" ht="35.1" customHeight="1" x14ac:dyDescent="0.25">
      <c r="C21" s="126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</row>
    <row r="22" spans="3:14" ht="35.1" customHeight="1" x14ac:dyDescent="0.25">
      <c r="C22" s="126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</row>
    <row r="23" spans="3:14" ht="35.1" customHeight="1" x14ac:dyDescent="0.25">
      <c r="C23" s="126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</row>
    <row r="24" spans="3:14" ht="35.1" customHeight="1" x14ac:dyDescent="0.25">
      <c r="C24" s="126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</row>
    <row r="25" spans="3:14" ht="35.1" customHeight="1" x14ac:dyDescent="0.25">
      <c r="C25" s="126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</row>
    <row r="26" spans="3:14" ht="35.1" customHeight="1" x14ac:dyDescent="0.25">
      <c r="C26" s="126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</row>
    <row r="27" spans="3:14" ht="35.1" customHeight="1" x14ac:dyDescent="0.25">
      <c r="C27" s="126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</row>
    <row r="28" spans="3:14" ht="35.1" customHeight="1" x14ac:dyDescent="0.25">
      <c r="C28" s="126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</row>
    <row r="29" spans="3:14" ht="35.1" customHeight="1" x14ac:dyDescent="0.25">
      <c r="C29" s="126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</row>
    <row r="30" spans="3:14" ht="35.1" customHeight="1" x14ac:dyDescent="0.25">
      <c r="C30" s="126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</row>
    <row r="31" spans="3:14" ht="35.1" customHeight="1" x14ac:dyDescent="0.25">
      <c r="C31" s="126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</row>
    <row r="32" spans="3:14" ht="35.1" customHeight="1" x14ac:dyDescent="0.25">
      <c r="C32" s="126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</row>
    <row r="33" spans="3:14" ht="35.1" customHeight="1" x14ac:dyDescent="0.25">
      <c r="C33" s="126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</row>
    <row r="34" spans="3:14" ht="35.1" customHeight="1" x14ac:dyDescent="0.25">
      <c r="C34" s="126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</row>
    <row r="35" spans="3:14" ht="35.1" customHeight="1" x14ac:dyDescent="0.25">
      <c r="C35" s="126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</row>
    <row r="36" spans="3:14" ht="35.1" customHeight="1" x14ac:dyDescent="0.25">
      <c r="C36" s="126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</row>
    <row r="37" spans="3:14" ht="35.1" customHeight="1" x14ac:dyDescent="0.25">
      <c r="C37" s="126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</row>
    <row r="38" spans="3:14" ht="35.1" customHeight="1" x14ac:dyDescent="0.25">
      <c r="C38" s="126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</row>
    <row r="39" spans="3:14" ht="35.1" customHeight="1" x14ac:dyDescent="0.25">
      <c r="C39" s="126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</row>
    <row r="40" spans="3:14" ht="35.1" customHeight="1" x14ac:dyDescent="0.25">
      <c r="C40" s="126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</row>
    <row r="41" spans="3:14" ht="35.1" customHeight="1" x14ac:dyDescent="0.25">
      <c r="C41" s="126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</row>
    <row r="42" spans="3:14" ht="35.1" customHeight="1" x14ac:dyDescent="0.25">
      <c r="C42" s="126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</row>
    <row r="43" spans="3:14" ht="35.1" customHeight="1" x14ac:dyDescent="0.25">
      <c r="C43" s="126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</row>
    <row r="44" spans="3:14" ht="35.1" customHeight="1" x14ac:dyDescent="0.25">
      <c r="C44" s="126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</row>
    <row r="45" spans="3:14" ht="35.1" customHeight="1" x14ac:dyDescent="0.25">
      <c r="C45" s="126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</row>
    <row r="46" spans="3:14" ht="35.1" customHeight="1" x14ac:dyDescent="0.25">
      <c r="C46" s="126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</row>
    <row r="47" spans="3:14" ht="35.1" customHeight="1" x14ac:dyDescent="0.25">
      <c r="C47" s="126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</row>
    <row r="48" spans="3:14" ht="35.1" customHeight="1" x14ac:dyDescent="0.25">
      <c r="C48" s="126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</row>
    <row r="49" spans="3:14" ht="35.1" customHeight="1" x14ac:dyDescent="0.25">
      <c r="C49" s="126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</row>
    <row r="50" spans="3:14" ht="35.1" customHeight="1" x14ac:dyDescent="0.25">
      <c r="C50" s="126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</row>
    <row r="51" spans="3:14" ht="35.1" customHeight="1" x14ac:dyDescent="0.25">
      <c r="C51" s="126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</row>
    <row r="52" spans="3:14" ht="35.1" customHeight="1" x14ac:dyDescent="0.25">
      <c r="C52" s="126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</row>
    <row r="53" spans="3:14" ht="35.1" customHeight="1" x14ac:dyDescent="0.25">
      <c r="C53" s="126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</row>
    <row r="54" spans="3:14" ht="35.1" customHeight="1" x14ac:dyDescent="0.25">
      <c r="C54" s="126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</row>
    <row r="55" spans="3:14" ht="35.1" customHeight="1" x14ac:dyDescent="0.25">
      <c r="C55" s="126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</row>
    <row r="56" spans="3:14" ht="35.1" customHeight="1" x14ac:dyDescent="0.25">
      <c r="C56" s="126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</row>
    <row r="57" spans="3:14" ht="35.1" customHeight="1" x14ac:dyDescent="0.25">
      <c r="C57" s="126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</row>
    <row r="58" spans="3:14" ht="35.1" customHeight="1" x14ac:dyDescent="0.25">
      <c r="C58" s="126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</row>
    <row r="59" spans="3:14" ht="35.1" customHeight="1" x14ac:dyDescent="0.25">
      <c r="C59" s="126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</row>
    <row r="60" spans="3:14" ht="35.1" customHeight="1" x14ac:dyDescent="0.25">
      <c r="C60" s="126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</row>
    <row r="61" spans="3:14" ht="35.1" customHeight="1" x14ac:dyDescent="0.25">
      <c r="C61" s="126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</row>
    <row r="62" spans="3:14" ht="35.1" customHeight="1" x14ac:dyDescent="0.25">
      <c r="C62" s="126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</row>
    <row r="63" spans="3:14" ht="35.1" customHeight="1" x14ac:dyDescent="0.25">
      <c r="C63" s="126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</row>
    <row r="64" spans="3:14" ht="35.1" customHeight="1" x14ac:dyDescent="0.25">
      <c r="C64" s="126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</row>
    <row r="65" spans="3:14" ht="35.1" customHeight="1" x14ac:dyDescent="0.25">
      <c r="C65" s="126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</row>
    <row r="66" spans="3:14" ht="35.1" customHeight="1" x14ac:dyDescent="0.25">
      <c r="C66" s="126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</row>
    <row r="67" spans="3:14" ht="35.1" customHeight="1" x14ac:dyDescent="0.25">
      <c r="C67" s="126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</row>
    <row r="68" spans="3:14" ht="35.1" customHeight="1" x14ac:dyDescent="0.25">
      <c r="C68" s="126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</row>
    <row r="69" spans="3:14" ht="35.1" customHeight="1" x14ac:dyDescent="0.25">
      <c r="C69" s="126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</row>
    <row r="70" spans="3:14" ht="35.1" customHeight="1" x14ac:dyDescent="0.25">
      <c r="C70" s="126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</row>
    <row r="71" spans="3:14" ht="35.1" customHeight="1" x14ac:dyDescent="0.25">
      <c r="C71" s="126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</row>
    <row r="72" spans="3:14" ht="35.1" customHeight="1" x14ac:dyDescent="0.25">
      <c r="C72" s="126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</row>
    <row r="73" spans="3:14" ht="35.1" customHeight="1" x14ac:dyDescent="0.25">
      <c r="C73" s="126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</row>
    <row r="74" spans="3:14" ht="35.1" customHeight="1" x14ac:dyDescent="0.25">
      <c r="C74" s="126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</row>
    <row r="75" spans="3:14" ht="35.1" customHeight="1" x14ac:dyDescent="0.25">
      <c r="C75" s="126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</row>
    <row r="76" spans="3:14" ht="35.1" customHeight="1" x14ac:dyDescent="0.25">
      <c r="C76" s="126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</row>
    <row r="77" spans="3:14" ht="35.1" customHeight="1" x14ac:dyDescent="0.25">
      <c r="C77" s="126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</row>
    <row r="78" spans="3:14" ht="35.1" customHeight="1" x14ac:dyDescent="0.25">
      <c r="C78" s="126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</row>
    <row r="79" spans="3:14" ht="35.1" customHeight="1" x14ac:dyDescent="0.25">
      <c r="C79" s="126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</row>
    <row r="80" spans="3:14" ht="35.1" customHeight="1" x14ac:dyDescent="0.25">
      <c r="C80" s="126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</row>
    <row r="81" spans="3:14" ht="35.1" customHeight="1" x14ac:dyDescent="0.25">
      <c r="C81" s="126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</row>
    <row r="82" spans="3:14" ht="35.1" customHeight="1" x14ac:dyDescent="0.25">
      <c r="C82" s="126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</row>
    <row r="83" spans="3:14" ht="35.1" customHeight="1" x14ac:dyDescent="0.25">
      <c r="C83" s="126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</row>
    <row r="84" spans="3:14" ht="35.1" customHeight="1" x14ac:dyDescent="0.25">
      <c r="C84" s="126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</row>
    <row r="85" spans="3:14" ht="35.1" customHeight="1" x14ac:dyDescent="0.25">
      <c r="C85" s="126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</row>
    <row r="86" spans="3:14" ht="35.1" customHeight="1" x14ac:dyDescent="0.25">
      <c r="C86" s="126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</row>
    <row r="87" spans="3:14" ht="35.1" customHeight="1" x14ac:dyDescent="0.25">
      <c r="C87" s="126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</row>
    <row r="88" spans="3:14" ht="35.1" customHeight="1" x14ac:dyDescent="0.25">
      <c r="C88" s="126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</row>
    <row r="89" spans="3:14" ht="35.1" customHeight="1" x14ac:dyDescent="0.25">
      <c r="C89" s="126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</row>
    <row r="90" spans="3:14" ht="35.1" customHeight="1" x14ac:dyDescent="0.25">
      <c r="C90" s="126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</row>
    <row r="91" spans="3:14" ht="35.1" customHeight="1" x14ac:dyDescent="0.25">
      <c r="C91" s="126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</row>
    <row r="92" spans="3:14" ht="35.1" customHeight="1" x14ac:dyDescent="0.25">
      <c r="C92" s="126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</row>
    <row r="93" spans="3:14" ht="35.1" customHeight="1" thickBot="1" x14ac:dyDescent="0.3">
      <c r="C93" s="126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</row>
    <row r="94" spans="3:14" ht="31.35" customHeight="1" x14ac:dyDescent="0.25">
      <c r="C94" s="87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9"/>
    </row>
    <row r="95" spans="3:14" ht="9.75" hidden="1" customHeight="1" x14ac:dyDescent="0.25"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3"/>
    </row>
    <row r="96" spans="3:14" ht="21" customHeight="1" thickBot="1" x14ac:dyDescent="0.3">
      <c r="C96" s="90" t="s">
        <v>20</v>
      </c>
      <c r="D96" s="91"/>
      <c r="E96" s="91"/>
      <c r="F96" s="91"/>
      <c r="G96" s="91"/>
      <c r="H96" s="91"/>
      <c r="I96" s="8"/>
      <c r="J96" s="91" t="s">
        <v>21</v>
      </c>
      <c r="K96" s="91"/>
      <c r="L96" s="8"/>
      <c r="M96" s="9" t="s">
        <v>22</v>
      </c>
      <c r="N96" s="10"/>
    </row>
    <row r="97" spans="3:14" ht="24" customHeight="1" thickBot="1" x14ac:dyDescent="0.3">
      <c r="C97" s="80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2"/>
    </row>
    <row r="98" spans="3:14" ht="15.75" x14ac:dyDescent="0.25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</sheetData>
  <mergeCells count="9">
    <mergeCell ref="C1:N1"/>
    <mergeCell ref="C2:N2"/>
    <mergeCell ref="C3:H3"/>
    <mergeCell ref="L3:M3"/>
    <mergeCell ref="C97:N97"/>
    <mergeCell ref="C4:N93"/>
    <mergeCell ref="C94:N94"/>
    <mergeCell ref="C96:H96"/>
    <mergeCell ref="J96:K96"/>
  </mergeCells>
  <printOptions horizontalCentered="1" verticalCentered="1"/>
  <pageMargins left="0" right="0" top="0" bottom="0" header="0" footer="0"/>
  <pageSetup paperSize="9" scale="44" orientation="landscape" r:id="rId1"/>
  <headerFooter scaleWithDoc="0" alignWithMargins="0">
    <firstFooter>&amp;RPage :1 of 2</firstFooter>
  </headerFooter>
  <rowBreaks count="2" manualBreakCount="2">
    <brk id="35" min="2" max="14" man="1"/>
    <brk id="67" min="2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AF125"/>
  <sheetViews>
    <sheetView view="pageBreakPreview" topLeftCell="C1" zoomScale="60" zoomScaleNormal="60" workbookViewId="0">
      <selection activeCell="K8" sqref="K8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5.140625" customWidth="1"/>
    <col min="9" max="9" width="50" customWidth="1"/>
    <col min="10" max="10" width="39.5703125" customWidth="1"/>
    <col min="11" max="11" width="34.85546875" customWidth="1"/>
    <col min="12" max="12" width="26.5703125" customWidth="1"/>
    <col min="13" max="13" width="34.28515625" customWidth="1"/>
    <col min="14" max="14" width="18.140625" customWidth="1"/>
    <col min="15" max="15" width="45.7109375" customWidth="1"/>
    <col min="16" max="16" width="6.85546875" customWidth="1"/>
    <col min="18" max="18" width="13" customWidth="1"/>
    <col min="23" max="23" width="30.5703125" customWidth="1"/>
    <col min="24" max="24" width="18.42578125" customWidth="1"/>
    <col min="25" max="25" width="18" customWidth="1"/>
    <col min="26" max="26" width="14.5703125" customWidth="1"/>
    <col min="27" max="27" width="23.5703125" customWidth="1"/>
    <col min="28" max="28" width="16.28515625" customWidth="1"/>
    <col min="29" max="29" width="21.7109375" customWidth="1"/>
  </cols>
  <sheetData>
    <row r="1" spans="3:15" ht="50.25" customHeight="1" x14ac:dyDescent="0.25">
      <c r="C1" s="101" t="s">
        <v>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/>
    </row>
    <row r="2" spans="3:15" ht="28.35" customHeight="1" x14ac:dyDescent="0.25">
      <c r="C2" s="104" t="s">
        <v>1</v>
      </c>
      <c r="D2" s="105"/>
      <c r="E2" s="105"/>
      <c r="F2" s="105"/>
      <c r="G2" s="105"/>
      <c r="H2" s="106"/>
      <c r="I2" s="106"/>
      <c r="J2" s="106"/>
      <c r="K2" s="106"/>
      <c r="L2" s="106"/>
      <c r="M2" s="106"/>
      <c r="N2" s="106"/>
      <c r="O2" s="107"/>
    </row>
    <row r="3" spans="3:15" ht="15.95" customHeight="1" x14ac:dyDescent="0.25">
      <c r="C3" s="108" t="s">
        <v>2</v>
      </c>
      <c r="D3" s="109"/>
      <c r="E3" s="109"/>
      <c r="F3" s="109"/>
      <c r="G3" s="109"/>
      <c r="H3" s="94"/>
      <c r="I3" s="56" t="s">
        <v>218</v>
      </c>
      <c r="J3" s="11" t="s">
        <v>228</v>
      </c>
      <c r="K3" s="55" t="s">
        <v>253</v>
      </c>
      <c r="L3" s="110" t="s">
        <v>229</v>
      </c>
      <c r="M3" s="94"/>
      <c r="N3" s="110" t="s">
        <v>230</v>
      </c>
      <c r="O3" s="111"/>
    </row>
    <row r="4" spans="3:15" ht="21" customHeight="1" x14ac:dyDescent="0.25">
      <c r="C4" s="112" t="s">
        <v>3</v>
      </c>
      <c r="D4" s="113"/>
      <c r="E4" s="113"/>
      <c r="F4" s="113"/>
      <c r="G4" s="113"/>
      <c r="H4" s="114"/>
      <c r="I4" s="55" t="s">
        <v>4</v>
      </c>
      <c r="J4" s="13" t="s">
        <v>231</v>
      </c>
      <c r="K4" s="55">
        <v>4</v>
      </c>
      <c r="L4" s="115" t="s">
        <v>232</v>
      </c>
      <c r="M4" s="113"/>
      <c r="N4" s="114" t="s">
        <v>241</v>
      </c>
      <c r="O4" s="116"/>
    </row>
    <row r="5" spans="3:15" ht="21" customHeight="1" x14ac:dyDescent="0.25">
      <c r="C5" s="93" t="s">
        <v>5</v>
      </c>
      <c r="D5" s="94"/>
      <c r="E5" s="94"/>
      <c r="F5" s="94"/>
      <c r="G5" s="94"/>
      <c r="H5" s="95"/>
      <c r="I5" s="56" t="s">
        <v>23</v>
      </c>
      <c r="J5" s="13" t="s">
        <v>233</v>
      </c>
      <c r="K5" s="53">
        <v>45897</v>
      </c>
      <c r="L5" s="96" t="s">
        <v>6</v>
      </c>
      <c r="M5" s="97"/>
      <c r="N5" s="98" t="s">
        <v>7</v>
      </c>
      <c r="O5" s="99"/>
    </row>
    <row r="6" spans="3:15" ht="56.25" customHeight="1" x14ac:dyDescent="0.25">
      <c r="C6" s="6" t="s">
        <v>236</v>
      </c>
      <c r="D6" s="6" t="s">
        <v>8</v>
      </c>
      <c r="E6" s="100" t="s">
        <v>9</v>
      </c>
      <c r="F6" s="100"/>
      <c r="G6" s="100"/>
      <c r="H6" s="100"/>
      <c r="I6" s="5" t="s">
        <v>10</v>
      </c>
      <c r="J6" s="57" t="s">
        <v>11</v>
      </c>
      <c r="K6" s="57" t="s">
        <v>12</v>
      </c>
      <c r="L6" s="5" t="s">
        <v>13</v>
      </c>
      <c r="M6" s="5" t="s">
        <v>14</v>
      </c>
      <c r="N6" s="5" t="s">
        <v>13</v>
      </c>
      <c r="O6" s="7" t="s">
        <v>14</v>
      </c>
    </row>
    <row r="7" spans="3:15" ht="40.5" customHeight="1" x14ac:dyDescent="0.25">
      <c r="C7" s="17">
        <v>1</v>
      </c>
      <c r="D7" s="17" t="s">
        <v>130</v>
      </c>
      <c r="E7" s="83" t="s">
        <v>31</v>
      </c>
      <c r="F7" s="83"/>
      <c r="G7" s="83"/>
      <c r="H7" s="83"/>
      <c r="I7" s="54" t="s">
        <v>234</v>
      </c>
      <c r="J7" s="54" t="s">
        <v>32</v>
      </c>
      <c r="K7" s="24">
        <v>980</v>
      </c>
      <c r="L7" s="60">
        <v>4.8</v>
      </c>
      <c r="M7" s="54" t="s">
        <v>246</v>
      </c>
      <c r="N7" s="35">
        <v>10</v>
      </c>
      <c r="O7" s="20" t="s">
        <v>37</v>
      </c>
    </row>
    <row r="8" spans="3:15" ht="40.5" customHeight="1" x14ac:dyDescent="0.25">
      <c r="C8" s="17">
        <v>2</v>
      </c>
      <c r="D8" s="17" t="s">
        <v>131</v>
      </c>
      <c r="E8" s="83" t="s">
        <v>31</v>
      </c>
      <c r="F8" s="83"/>
      <c r="G8" s="83"/>
      <c r="H8" s="83"/>
      <c r="I8" s="54" t="s">
        <v>234</v>
      </c>
      <c r="J8" s="54" t="s">
        <v>33</v>
      </c>
      <c r="K8" s="24">
        <v>1200</v>
      </c>
      <c r="L8" s="37">
        <v>12</v>
      </c>
      <c r="M8" s="20" t="s">
        <v>265</v>
      </c>
      <c r="N8" s="59">
        <v>4.8</v>
      </c>
      <c r="O8" s="21" t="s">
        <v>246</v>
      </c>
    </row>
    <row r="9" spans="3:15" ht="40.5" customHeight="1" x14ac:dyDescent="0.25">
      <c r="C9" s="17">
        <v>3</v>
      </c>
      <c r="D9" s="17" t="s">
        <v>132</v>
      </c>
      <c r="E9" s="83" t="s">
        <v>34</v>
      </c>
      <c r="F9" s="83"/>
      <c r="G9" s="83"/>
      <c r="H9" s="83"/>
      <c r="I9" s="54" t="s">
        <v>235</v>
      </c>
      <c r="J9" s="54" t="s">
        <v>29</v>
      </c>
      <c r="K9" s="54">
        <f>2615+15</f>
        <v>2630</v>
      </c>
      <c r="L9" s="59">
        <v>3.5</v>
      </c>
      <c r="M9" s="54" t="s">
        <v>35</v>
      </c>
      <c r="N9" s="59">
        <v>3</v>
      </c>
      <c r="O9" s="21">
        <v>39000040</v>
      </c>
    </row>
    <row r="10" spans="3:15" ht="40.5" customHeight="1" x14ac:dyDescent="0.25">
      <c r="C10" s="17">
        <v>4</v>
      </c>
      <c r="D10" s="17" t="s">
        <v>133</v>
      </c>
      <c r="E10" s="83" t="s">
        <v>31</v>
      </c>
      <c r="F10" s="83"/>
      <c r="G10" s="83"/>
      <c r="H10" s="83"/>
      <c r="I10" s="54" t="s">
        <v>234</v>
      </c>
      <c r="J10" s="54" t="s">
        <v>32</v>
      </c>
      <c r="K10" s="54">
        <v>625</v>
      </c>
      <c r="L10" s="59">
        <v>3</v>
      </c>
      <c r="M10" s="21">
        <v>39000040</v>
      </c>
      <c r="N10" s="35">
        <v>10</v>
      </c>
      <c r="O10" s="20" t="s">
        <v>220</v>
      </c>
    </row>
    <row r="11" spans="3:15" ht="40.5" customHeight="1" x14ac:dyDescent="0.25">
      <c r="C11" s="17">
        <v>5</v>
      </c>
      <c r="D11" s="17" t="s">
        <v>134</v>
      </c>
      <c r="E11" s="83" t="s">
        <v>24</v>
      </c>
      <c r="F11" s="83"/>
      <c r="G11" s="83"/>
      <c r="H11" s="83"/>
      <c r="I11" s="54" t="s">
        <v>242</v>
      </c>
      <c r="J11" s="54" t="s">
        <v>15</v>
      </c>
      <c r="K11" s="54">
        <v>1610</v>
      </c>
      <c r="L11" s="59">
        <v>2</v>
      </c>
      <c r="M11" s="54" t="s">
        <v>36</v>
      </c>
      <c r="N11" s="63">
        <v>7</v>
      </c>
      <c r="O11" s="20" t="s">
        <v>221</v>
      </c>
    </row>
    <row r="12" spans="3:15" ht="40.5" customHeight="1" x14ac:dyDescent="0.25">
      <c r="C12" s="17">
        <v>6</v>
      </c>
      <c r="D12" s="17" t="s">
        <v>135</v>
      </c>
      <c r="E12" s="83" t="s">
        <v>24</v>
      </c>
      <c r="F12" s="83"/>
      <c r="G12" s="83"/>
      <c r="H12" s="83"/>
      <c r="I12" s="54" t="s">
        <v>242</v>
      </c>
      <c r="J12" s="54" t="s">
        <v>33</v>
      </c>
      <c r="K12" s="54">
        <v>650</v>
      </c>
      <c r="L12" s="59">
        <v>3</v>
      </c>
      <c r="M12" s="54">
        <v>39000048</v>
      </c>
      <c r="N12" s="63">
        <v>7</v>
      </c>
      <c r="O12" s="20" t="s">
        <v>222</v>
      </c>
    </row>
    <row r="13" spans="3:15" ht="40.5" customHeight="1" x14ac:dyDescent="0.25">
      <c r="C13" s="17">
        <v>7</v>
      </c>
      <c r="D13" s="17" t="s">
        <v>136</v>
      </c>
      <c r="E13" s="83" t="s">
        <v>24</v>
      </c>
      <c r="F13" s="83"/>
      <c r="G13" s="83"/>
      <c r="H13" s="83"/>
      <c r="I13" s="54" t="s">
        <v>242</v>
      </c>
      <c r="J13" s="54" t="s">
        <v>15</v>
      </c>
      <c r="K13" s="54">
        <f>1400+10</f>
        <v>1410</v>
      </c>
      <c r="L13" s="59">
        <v>1.8</v>
      </c>
      <c r="M13" s="54" t="s">
        <v>39</v>
      </c>
      <c r="N13" s="59">
        <v>3</v>
      </c>
      <c r="O13" s="21">
        <v>39000048</v>
      </c>
    </row>
    <row r="14" spans="3:15" ht="40.5" customHeight="1" x14ac:dyDescent="0.25">
      <c r="C14" s="17">
        <v>8</v>
      </c>
      <c r="D14" s="17" t="s">
        <v>137</v>
      </c>
      <c r="E14" s="83" t="s">
        <v>24</v>
      </c>
      <c r="F14" s="83"/>
      <c r="G14" s="83"/>
      <c r="H14" s="83"/>
      <c r="I14" s="54" t="s">
        <v>242</v>
      </c>
      <c r="J14" s="54" t="s">
        <v>17</v>
      </c>
      <c r="K14" s="54">
        <f>1400+10</f>
        <v>1410</v>
      </c>
      <c r="L14" s="59">
        <v>3</v>
      </c>
      <c r="M14" s="54">
        <v>39000048</v>
      </c>
      <c r="N14" s="59">
        <v>2</v>
      </c>
      <c r="O14" s="20" t="s">
        <v>39</v>
      </c>
    </row>
    <row r="15" spans="3:15" ht="40.5" customHeight="1" x14ac:dyDescent="0.25">
      <c r="C15" s="17">
        <v>9</v>
      </c>
      <c r="D15" s="17" t="s">
        <v>138</v>
      </c>
      <c r="E15" s="83" t="s">
        <v>34</v>
      </c>
      <c r="F15" s="83"/>
      <c r="G15" s="83"/>
      <c r="H15" s="83"/>
      <c r="I15" s="54" t="s">
        <v>235</v>
      </c>
      <c r="J15" s="54" t="s">
        <v>16</v>
      </c>
      <c r="K15" s="54">
        <v>1230</v>
      </c>
      <c r="L15" s="59">
        <v>3.5</v>
      </c>
      <c r="M15" s="54" t="s">
        <v>35</v>
      </c>
      <c r="N15" s="63">
        <v>7</v>
      </c>
      <c r="O15" s="20" t="s">
        <v>40</v>
      </c>
    </row>
    <row r="16" spans="3:15" ht="40.5" customHeight="1" x14ac:dyDescent="0.25">
      <c r="C16" s="17">
        <v>10</v>
      </c>
      <c r="D16" s="17" t="s">
        <v>237</v>
      </c>
      <c r="E16" s="83" t="s">
        <v>24</v>
      </c>
      <c r="F16" s="83"/>
      <c r="G16" s="83"/>
      <c r="H16" s="83"/>
      <c r="I16" s="54" t="s">
        <v>242</v>
      </c>
      <c r="J16" s="54" t="s">
        <v>17</v>
      </c>
      <c r="K16" s="61">
        <v>2090</v>
      </c>
      <c r="L16" s="59">
        <v>1.8</v>
      </c>
      <c r="M16" s="54" t="s">
        <v>39</v>
      </c>
      <c r="N16" s="59">
        <v>3.5</v>
      </c>
      <c r="O16" s="21" t="s">
        <v>238</v>
      </c>
    </row>
    <row r="17" spans="3:32" ht="40.5" customHeight="1" x14ac:dyDescent="0.25">
      <c r="C17" s="17">
        <v>11</v>
      </c>
      <c r="D17" s="17" t="s">
        <v>139</v>
      </c>
      <c r="E17" s="83" t="s">
        <v>24</v>
      </c>
      <c r="F17" s="83"/>
      <c r="G17" s="83"/>
      <c r="H17" s="83"/>
      <c r="I17" s="54" t="s">
        <v>242</v>
      </c>
      <c r="J17" s="54" t="s">
        <v>27</v>
      </c>
      <c r="K17" s="54">
        <f>1320+5</f>
        <v>1325</v>
      </c>
      <c r="L17" s="59">
        <v>3</v>
      </c>
      <c r="M17" s="54">
        <v>39000048</v>
      </c>
      <c r="N17" s="59">
        <v>1.9</v>
      </c>
      <c r="O17" s="21">
        <v>561349000</v>
      </c>
    </row>
    <row r="18" spans="3:32" ht="40.5" customHeight="1" x14ac:dyDescent="0.25">
      <c r="C18" s="17">
        <v>12</v>
      </c>
      <c r="D18" s="17" t="s">
        <v>140</v>
      </c>
      <c r="E18" s="83" t="s">
        <v>31</v>
      </c>
      <c r="F18" s="83"/>
      <c r="G18" s="83"/>
      <c r="H18" s="83"/>
      <c r="I18" s="54" t="s">
        <v>234</v>
      </c>
      <c r="J18" s="54" t="s">
        <v>32</v>
      </c>
      <c r="K18" s="24">
        <v>950</v>
      </c>
      <c r="L18" s="59">
        <v>3.5</v>
      </c>
      <c r="M18" s="54" t="s">
        <v>41</v>
      </c>
      <c r="N18" s="35">
        <v>10</v>
      </c>
      <c r="O18" s="2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3:32" ht="40.5" customHeight="1" x14ac:dyDescent="0.25">
      <c r="C19" s="17">
        <v>13</v>
      </c>
      <c r="D19" s="17" t="s">
        <v>141</v>
      </c>
      <c r="E19" s="83" t="s">
        <v>24</v>
      </c>
      <c r="F19" s="83"/>
      <c r="G19" s="83"/>
      <c r="H19" s="83"/>
      <c r="I19" s="54" t="s">
        <v>242</v>
      </c>
      <c r="J19" s="54" t="s">
        <v>26</v>
      </c>
      <c r="K19" s="54">
        <f>1230-20</f>
        <v>1210</v>
      </c>
      <c r="L19" s="19">
        <v>1.8</v>
      </c>
      <c r="M19" s="21">
        <v>561349000</v>
      </c>
      <c r="N19" s="59">
        <v>3</v>
      </c>
      <c r="O19" s="21">
        <v>39000048</v>
      </c>
      <c r="Q19" s="25"/>
      <c r="R19" s="58"/>
      <c r="S19" s="92"/>
      <c r="T19" s="92"/>
      <c r="U19" s="92"/>
      <c r="V19" s="92"/>
      <c r="W19" s="58"/>
      <c r="X19" s="58"/>
      <c r="Y19" s="58"/>
      <c r="Z19" s="27"/>
      <c r="AA19" s="58"/>
      <c r="AB19" s="27"/>
      <c r="AC19" s="58"/>
      <c r="AD19" s="25"/>
      <c r="AE19" s="25"/>
      <c r="AF19" s="25"/>
    </row>
    <row r="20" spans="3:32" ht="40.5" customHeight="1" x14ac:dyDescent="0.25">
      <c r="C20" s="17">
        <v>14</v>
      </c>
      <c r="D20" s="17" t="s">
        <v>142</v>
      </c>
      <c r="E20" s="83" t="s">
        <v>24</v>
      </c>
      <c r="F20" s="83"/>
      <c r="G20" s="83"/>
      <c r="H20" s="83"/>
      <c r="I20" s="54" t="s">
        <v>242</v>
      </c>
      <c r="J20" s="54" t="s">
        <v>29</v>
      </c>
      <c r="K20" s="54">
        <f>1060+20</f>
        <v>1080</v>
      </c>
      <c r="L20" s="19">
        <v>2</v>
      </c>
      <c r="M20" s="54" t="s">
        <v>36</v>
      </c>
      <c r="N20" s="59">
        <v>3</v>
      </c>
      <c r="O20" s="21">
        <v>39000048</v>
      </c>
      <c r="Q20" s="25"/>
      <c r="R20" s="58"/>
      <c r="S20" s="92"/>
      <c r="T20" s="92"/>
      <c r="U20" s="92"/>
      <c r="V20" s="92"/>
      <c r="W20" s="58"/>
      <c r="X20" s="58"/>
      <c r="Y20" s="58"/>
      <c r="Z20" s="27"/>
      <c r="AA20" s="58"/>
      <c r="AB20" s="27"/>
      <c r="AC20" s="58"/>
      <c r="AD20" s="25"/>
      <c r="AE20" s="25"/>
      <c r="AF20" s="25"/>
    </row>
    <row r="21" spans="3:32" ht="40.5" customHeight="1" x14ac:dyDescent="0.25">
      <c r="C21" s="17">
        <v>15</v>
      </c>
      <c r="D21" s="17" t="s">
        <v>143</v>
      </c>
      <c r="E21" s="83" t="s">
        <v>34</v>
      </c>
      <c r="F21" s="83"/>
      <c r="G21" s="83"/>
      <c r="H21" s="83"/>
      <c r="I21" s="54" t="s">
        <v>235</v>
      </c>
      <c r="J21" s="54" t="s">
        <v>28</v>
      </c>
      <c r="K21" s="54">
        <f>2590+10</f>
        <v>2600</v>
      </c>
      <c r="L21" s="19">
        <v>3.5</v>
      </c>
      <c r="M21" s="54" t="s">
        <v>35</v>
      </c>
      <c r="N21" s="59">
        <v>3</v>
      </c>
      <c r="O21" s="21">
        <v>39000040</v>
      </c>
      <c r="Q21" s="25"/>
      <c r="R21" s="58"/>
      <c r="S21" s="92"/>
      <c r="T21" s="92"/>
      <c r="U21" s="92"/>
      <c r="V21" s="92"/>
      <c r="W21" s="58"/>
      <c r="X21" s="58"/>
      <c r="Y21" s="58"/>
      <c r="Z21" s="27"/>
      <c r="AA21" s="58"/>
      <c r="AB21" s="27"/>
      <c r="AC21" s="28"/>
      <c r="AD21" s="25"/>
      <c r="AE21" s="25"/>
      <c r="AF21" s="25"/>
    </row>
    <row r="22" spans="3:32" ht="40.5" customHeight="1" x14ac:dyDescent="0.25">
      <c r="C22" s="17">
        <v>16</v>
      </c>
      <c r="D22" s="17" t="s">
        <v>144</v>
      </c>
      <c r="E22" s="83" t="s">
        <v>24</v>
      </c>
      <c r="F22" s="83"/>
      <c r="G22" s="83"/>
      <c r="H22" s="83"/>
      <c r="I22" s="54" t="s">
        <v>242</v>
      </c>
      <c r="J22" s="54" t="s">
        <v>43</v>
      </c>
      <c r="K22" s="54">
        <v>1400</v>
      </c>
      <c r="L22" s="59">
        <v>1.8</v>
      </c>
      <c r="M22" s="54" t="s">
        <v>39</v>
      </c>
      <c r="N22" s="59">
        <v>3</v>
      </c>
      <c r="O22" s="21">
        <v>39000048</v>
      </c>
      <c r="Q22" s="25"/>
      <c r="R22" s="58"/>
      <c r="S22" s="92"/>
      <c r="T22" s="92"/>
      <c r="U22" s="92"/>
      <c r="V22" s="92"/>
      <c r="W22" s="58"/>
      <c r="X22" s="58"/>
      <c r="Y22" s="58"/>
      <c r="Z22" s="27"/>
      <c r="AA22" s="58"/>
      <c r="AB22" s="27"/>
      <c r="AC22" s="28"/>
      <c r="AD22" s="25"/>
      <c r="AE22" s="25"/>
      <c r="AF22" s="25"/>
    </row>
    <row r="23" spans="3:32" ht="40.5" customHeight="1" x14ac:dyDescent="0.25">
      <c r="C23" s="17">
        <v>17</v>
      </c>
      <c r="D23" s="17" t="s">
        <v>145</v>
      </c>
      <c r="E23" s="83" t="s">
        <v>31</v>
      </c>
      <c r="F23" s="83"/>
      <c r="G23" s="83"/>
      <c r="H23" s="83"/>
      <c r="I23" s="54" t="s">
        <v>234</v>
      </c>
      <c r="J23" s="54" t="s">
        <v>19</v>
      </c>
      <c r="K23" s="61">
        <f>1120+10</f>
        <v>1130</v>
      </c>
      <c r="L23" s="59">
        <v>3.8</v>
      </c>
      <c r="M23" s="54" t="s">
        <v>41</v>
      </c>
      <c r="N23" s="59">
        <v>5</v>
      </c>
      <c r="O23" s="20" t="s">
        <v>44</v>
      </c>
      <c r="Q23" s="25"/>
      <c r="R23" s="58"/>
      <c r="S23" s="92"/>
      <c r="T23" s="92"/>
      <c r="U23" s="92"/>
      <c r="V23" s="92"/>
      <c r="W23" s="58"/>
      <c r="X23" s="58"/>
      <c r="Y23" s="58"/>
      <c r="Z23" s="27"/>
      <c r="AA23" s="58"/>
      <c r="AB23" s="27"/>
      <c r="AC23" s="28"/>
      <c r="AD23" s="25"/>
      <c r="AE23" s="25"/>
      <c r="AF23" s="25"/>
    </row>
    <row r="24" spans="3:32" ht="40.5" customHeight="1" x14ac:dyDescent="0.25">
      <c r="C24" s="17">
        <v>18</v>
      </c>
      <c r="D24" s="17" t="s">
        <v>146</v>
      </c>
      <c r="E24" s="83" t="s">
        <v>24</v>
      </c>
      <c r="F24" s="83"/>
      <c r="G24" s="83"/>
      <c r="H24" s="83"/>
      <c r="I24" s="54" t="s">
        <v>242</v>
      </c>
      <c r="J24" s="54" t="s">
        <v>45</v>
      </c>
      <c r="K24" s="54">
        <f>660+5</f>
        <v>665</v>
      </c>
      <c r="L24" s="63">
        <v>7</v>
      </c>
      <c r="M24" s="22" t="s">
        <v>223</v>
      </c>
      <c r="N24" s="59">
        <v>3</v>
      </c>
      <c r="O24" s="21">
        <v>39000048</v>
      </c>
      <c r="Q24" s="25"/>
      <c r="R24" s="58"/>
      <c r="S24" s="92"/>
      <c r="T24" s="92"/>
      <c r="U24" s="92"/>
      <c r="V24" s="92"/>
      <c r="W24" s="58"/>
      <c r="X24" s="58"/>
      <c r="Y24" s="58"/>
      <c r="Z24" s="27"/>
      <c r="AA24" s="58"/>
      <c r="AB24" s="27"/>
      <c r="AC24" s="28"/>
      <c r="AD24" s="25"/>
      <c r="AE24" s="25"/>
      <c r="AF24" s="25"/>
    </row>
    <row r="25" spans="3:32" ht="40.5" customHeight="1" x14ac:dyDescent="0.25">
      <c r="C25" s="17">
        <v>19</v>
      </c>
      <c r="D25" s="17" t="s">
        <v>147</v>
      </c>
      <c r="E25" s="83" t="s">
        <v>24</v>
      </c>
      <c r="F25" s="83"/>
      <c r="G25" s="83"/>
      <c r="H25" s="83"/>
      <c r="I25" s="54" t="s">
        <v>242</v>
      </c>
      <c r="J25" s="54" t="s">
        <v>30</v>
      </c>
      <c r="K25" s="54">
        <f>1320-15</f>
        <v>1305</v>
      </c>
      <c r="L25" s="59">
        <v>2.8</v>
      </c>
      <c r="M25" s="54" t="s">
        <v>47</v>
      </c>
      <c r="N25" s="59">
        <v>1.9</v>
      </c>
      <c r="O25" s="21" t="s">
        <v>39</v>
      </c>
      <c r="Q25" s="25"/>
      <c r="R25" s="58"/>
      <c r="S25" s="92"/>
      <c r="T25" s="92"/>
      <c r="U25" s="92"/>
      <c r="V25" s="92"/>
      <c r="W25" s="58"/>
      <c r="X25" s="58"/>
      <c r="Y25" s="58"/>
      <c r="Z25" s="27"/>
      <c r="AA25" s="58"/>
      <c r="AB25" s="27"/>
      <c r="AC25" s="58"/>
      <c r="AD25" s="25"/>
      <c r="AE25" s="25"/>
      <c r="AF25" s="25"/>
    </row>
    <row r="26" spans="3:32" ht="40.5" customHeight="1" x14ac:dyDescent="0.25">
      <c r="C26" s="17">
        <v>20</v>
      </c>
      <c r="D26" s="17" t="s">
        <v>148</v>
      </c>
      <c r="E26" s="83" t="s">
        <v>24</v>
      </c>
      <c r="F26" s="83"/>
      <c r="G26" s="83"/>
      <c r="H26" s="83"/>
      <c r="I26" s="54" t="s">
        <v>242</v>
      </c>
      <c r="J26" s="54" t="s">
        <v>46</v>
      </c>
      <c r="K26" s="54">
        <v>1305</v>
      </c>
      <c r="L26" s="59">
        <v>2.8</v>
      </c>
      <c r="M26" s="54" t="s">
        <v>47</v>
      </c>
      <c r="N26" s="59">
        <v>1.9</v>
      </c>
      <c r="O26" s="21" t="s">
        <v>39</v>
      </c>
      <c r="Q26" s="25"/>
      <c r="R26" s="58"/>
      <c r="S26" s="92"/>
      <c r="T26" s="92"/>
      <c r="U26" s="92"/>
      <c r="V26" s="92"/>
      <c r="W26" s="58"/>
      <c r="X26" s="58"/>
      <c r="Y26" s="58"/>
      <c r="Z26" s="27"/>
      <c r="AA26" s="58"/>
      <c r="AB26" s="27"/>
      <c r="AC26" s="58"/>
      <c r="AD26" s="25"/>
      <c r="AE26" s="25"/>
      <c r="AF26" s="25"/>
    </row>
    <row r="27" spans="3:32" ht="40.5" customHeight="1" x14ac:dyDescent="0.25">
      <c r="C27" s="17">
        <v>21</v>
      </c>
      <c r="D27" s="17" t="s">
        <v>149</v>
      </c>
      <c r="E27" s="83" t="s">
        <v>34</v>
      </c>
      <c r="F27" s="83"/>
      <c r="G27" s="83"/>
      <c r="H27" s="83"/>
      <c r="I27" s="54" t="s">
        <v>235</v>
      </c>
      <c r="J27" s="54" t="s">
        <v>18</v>
      </c>
      <c r="K27" s="54">
        <v>1235</v>
      </c>
      <c r="L27" s="59">
        <v>3.5</v>
      </c>
      <c r="M27" s="54" t="s">
        <v>35</v>
      </c>
      <c r="N27" s="63">
        <v>7</v>
      </c>
      <c r="O27" s="20" t="s">
        <v>224</v>
      </c>
      <c r="Q27" s="25"/>
      <c r="R27" s="58"/>
      <c r="S27" s="92"/>
      <c r="T27" s="92"/>
      <c r="U27" s="92"/>
      <c r="V27" s="92"/>
      <c r="W27" s="58"/>
      <c r="X27" s="58"/>
      <c r="Y27" s="58"/>
      <c r="Z27" s="27"/>
      <c r="AA27" s="58"/>
      <c r="AB27" s="27"/>
      <c r="AC27" s="28"/>
      <c r="AD27" s="25"/>
      <c r="AE27" s="25"/>
      <c r="AF27" s="25"/>
    </row>
    <row r="28" spans="3:32" ht="40.5" customHeight="1" x14ac:dyDescent="0.25">
      <c r="C28" s="17">
        <v>22</v>
      </c>
      <c r="D28" s="17" t="s">
        <v>150</v>
      </c>
      <c r="E28" s="83" t="s">
        <v>31</v>
      </c>
      <c r="F28" s="83"/>
      <c r="G28" s="83"/>
      <c r="H28" s="83"/>
      <c r="I28" s="54" t="s">
        <v>234</v>
      </c>
      <c r="J28" s="54" t="s">
        <v>48</v>
      </c>
      <c r="K28" s="54">
        <f>1280-300</f>
        <v>980</v>
      </c>
      <c r="L28" s="59">
        <v>3</v>
      </c>
      <c r="M28" s="54">
        <v>39000040</v>
      </c>
      <c r="N28" s="37">
        <v>12</v>
      </c>
      <c r="O28" s="20" t="s">
        <v>49</v>
      </c>
      <c r="Q28" s="25"/>
      <c r="R28" s="58"/>
      <c r="S28" s="92"/>
      <c r="T28" s="92"/>
      <c r="U28" s="92"/>
      <c r="V28" s="92"/>
      <c r="W28" s="58"/>
      <c r="X28" s="58"/>
      <c r="Y28" s="58"/>
      <c r="Z28" s="27"/>
      <c r="AA28" s="58"/>
      <c r="AB28" s="27"/>
      <c r="AC28" s="28"/>
      <c r="AD28" s="25"/>
      <c r="AE28" s="25"/>
      <c r="AF28" s="25"/>
    </row>
    <row r="29" spans="3:32" ht="40.5" customHeight="1" x14ac:dyDescent="0.25">
      <c r="C29" s="17">
        <v>23</v>
      </c>
      <c r="D29" s="17" t="s">
        <v>151</v>
      </c>
      <c r="E29" s="83" t="s">
        <v>24</v>
      </c>
      <c r="F29" s="83"/>
      <c r="G29" s="83"/>
      <c r="H29" s="83"/>
      <c r="I29" s="54" t="s">
        <v>242</v>
      </c>
      <c r="J29" s="54" t="s">
        <v>43</v>
      </c>
      <c r="K29" s="54">
        <f>220+15</f>
        <v>235</v>
      </c>
      <c r="L29" s="19">
        <v>5</v>
      </c>
      <c r="M29" s="54" t="s">
        <v>50</v>
      </c>
      <c r="N29" s="63">
        <v>7</v>
      </c>
      <c r="O29" s="20" t="s">
        <v>51</v>
      </c>
      <c r="Q29" s="25"/>
      <c r="R29" s="58"/>
      <c r="S29" s="92"/>
      <c r="T29" s="92"/>
      <c r="U29" s="92"/>
      <c r="V29" s="92"/>
      <c r="W29" s="58"/>
      <c r="X29" s="58"/>
      <c r="Y29" s="58"/>
      <c r="Z29" s="27"/>
      <c r="AA29" s="58"/>
      <c r="AB29" s="27"/>
      <c r="AC29" s="28"/>
      <c r="AD29" s="25"/>
      <c r="AE29" s="25"/>
      <c r="AF29" s="25"/>
    </row>
    <row r="30" spans="3:32" ht="40.5" customHeight="1" x14ac:dyDescent="0.25">
      <c r="C30" s="17">
        <v>24</v>
      </c>
      <c r="D30" s="17" t="s">
        <v>152</v>
      </c>
      <c r="E30" s="83" t="s">
        <v>31</v>
      </c>
      <c r="F30" s="83"/>
      <c r="G30" s="83"/>
      <c r="H30" s="83"/>
      <c r="I30" s="54" t="s">
        <v>234</v>
      </c>
      <c r="J30" s="54" t="s">
        <v>19</v>
      </c>
      <c r="K30" s="54">
        <v>625</v>
      </c>
      <c r="L30" s="19">
        <v>3</v>
      </c>
      <c r="M30" s="54">
        <v>39000040</v>
      </c>
      <c r="N30" s="35">
        <v>10</v>
      </c>
      <c r="O30" s="20" t="s">
        <v>52</v>
      </c>
      <c r="Q30" s="25"/>
      <c r="R30" s="58"/>
      <c r="S30" s="92"/>
      <c r="T30" s="92"/>
      <c r="U30" s="92"/>
      <c r="V30" s="92"/>
      <c r="W30" s="58"/>
      <c r="X30" s="58"/>
      <c r="Y30" s="58"/>
      <c r="Z30" s="27"/>
      <c r="AA30" s="58"/>
      <c r="AB30" s="27"/>
      <c r="AC30" s="28"/>
      <c r="AD30" s="25"/>
      <c r="AE30" s="25"/>
      <c r="AF30" s="25"/>
    </row>
    <row r="31" spans="3:32" ht="40.5" customHeight="1" x14ac:dyDescent="0.25">
      <c r="C31" s="17">
        <v>25</v>
      </c>
      <c r="D31" s="17" t="s">
        <v>153</v>
      </c>
      <c r="E31" s="83" t="s">
        <v>34</v>
      </c>
      <c r="F31" s="83"/>
      <c r="G31" s="83"/>
      <c r="H31" s="83"/>
      <c r="I31" s="54" t="s">
        <v>235</v>
      </c>
      <c r="J31" s="54" t="s">
        <v>19</v>
      </c>
      <c r="K31" s="54">
        <v>855</v>
      </c>
      <c r="L31" s="59">
        <v>3.5</v>
      </c>
      <c r="M31" s="54" t="s">
        <v>35</v>
      </c>
      <c r="N31" s="63">
        <v>7</v>
      </c>
      <c r="O31" s="20" t="s">
        <v>53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3:32" ht="40.5" customHeight="1" x14ac:dyDescent="0.25">
      <c r="C32" s="17">
        <v>26</v>
      </c>
      <c r="D32" s="17" t="s">
        <v>154</v>
      </c>
      <c r="E32" s="83" t="s">
        <v>31</v>
      </c>
      <c r="F32" s="83"/>
      <c r="G32" s="83"/>
      <c r="H32" s="83"/>
      <c r="I32" s="54" t="s">
        <v>234</v>
      </c>
      <c r="J32" s="54" t="s">
        <v>54</v>
      </c>
      <c r="K32" s="54">
        <v>2200</v>
      </c>
      <c r="L32" s="59">
        <v>3</v>
      </c>
      <c r="M32" s="54">
        <v>39000040</v>
      </c>
      <c r="N32" s="35">
        <v>10</v>
      </c>
      <c r="O32" s="20" t="s">
        <v>55</v>
      </c>
      <c r="Q32" s="25"/>
      <c r="R32" s="25">
        <f>113-8</f>
        <v>105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3:32" ht="40.5" customHeight="1" x14ac:dyDescent="0.25">
      <c r="C33" s="17">
        <v>27</v>
      </c>
      <c r="D33" s="17" t="s">
        <v>155</v>
      </c>
      <c r="E33" s="83" t="s">
        <v>31</v>
      </c>
      <c r="F33" s="83"/>
      <c r="G33" s="83"/>
      <c r="H33" s="83"/>
      <c r="I33" s="54" t="s">
        <v>234</v>
      </c>
      <c r="J33" s="54" t="s">
        <v>54</v>
      </c>
      <c r="K33" s="54">
        <v>780</v>
      </c>
      <c r="L33" s="59">
        <v>3</v>
      </c>
      <c r="M33" s="54">
        <v>39000040</v>
      </c>
      <c r="N33" s="35">
        <v>10</v>
      </c>
      <c r="O33" s="20" t="s">
        <v>56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3:32" ht="40.5" customHeight="1" x14ac:dyDescent="0.25">
      <c r="C34" s="17">
        <v>28</v>
      </c>
      <c r="D34" s="17" t="s">
        <v>156</v>
      </c>
      <c r="E34" s="83" t="s">
        <v>24</v>
      </c>
      <c r="F34" s="83"/>
      <c r="G34" s="83"/>
      <c r="H34" s="83"/>
      <c r="I34" s="54" t="s">
        <v>242</v>
      </c>
      <c r="J34" s="54" t="s">
        <v>16</v>
      </c>
      <c r="K34" s="54">
        <f>1230-20</f>
        <v>1210</v>
      </c>
      <c r="L34" s="59">
        <v>1.9</v>
      </c>
      <c r="M34" s="21">
        <v>561349000</v>
      </c>
      <c r="N34" s="59">
        <v>3</v>
      </c>
      <c r="O34" s="20">
        <v>39000048</v>
      </c>
    </row>
    <row r="35" spans="3:32" ht="40.5" customHeight="1" x14ac:dyDescent="0.25">
      <c r="C35" s="17">
        <v>29</v>
      </c>
      <c r="D35" s="17" t="s">
        <v>157</v>
      </c>
      <c r="E35" s="83" t="s">
        <v>24</v>
      </c>
      <c r="F35" s="83"/>
      <c r="G35" s="83"/>
      <c r="H35" s="83"/>
      <c r="I35" s="54" t="s">
        <v>242</v>
      </c>
      <c r="J35" s="54" t="s">
        <v>15</v>
      </c>
      <c r="K35" s="54">
        <f t="shared" ref="K35:K36" si="0">1230-20</f>
        <v>1210</v>
      </c>
      <c r="L35" s="59">
        <v>1.9</v>
      </c>
      <c r="M35" s="21">
        <v>561349000</v>
      </c>
      <c r="N35" s="59">
        <v>3</v>
      </c>
      <c r="O35" s="20">
        <v>39000048</v>
      </c>
    </row>
    <row r="36" spans="3:32" ht="40.5" customHeight="1" x14ac:dyDescent="0.25">
      <c r="C36" s="17">
        <v>30</v>
      </c>
      <c r="D36" s="17" t="s">
        <v>158</v>
      </c>
      <c r="E36" s="83" t="s">
        <v>24</v>
      </c>
      <c r="F36" s="83"/>
      <c r="G36" s="83"/>
      <c r="H36" s="83"/>
      <c r="I36" s="54" t="s">
        <v>242</v>
      </c>
      <c r="J36" s="54" t="s">
        <v>57</v>
      </c>
      <c r="K36" s="54">
        <f t="shared" si="0"/>
        <v>1210</v>
      </c>
      <c r="L36" s="59">
        <v>1.9</v>
      </c>
      <c r="M36" s="21">
        <v>561349000</v>
      </c>
      <c r="N36" s="59">
        <v>3</v>
      </c>
      <c r="O36" s="20">
        <v>39000048</v>
      </c>
    </row>
    <row r="37" spans="3:32" ht="40.5" customHeight="1" x14ac:dyDescent="0.25">
      <c r="C37" s="17">
        <v>31</v>
      </c>
      <c r="D37" s="17" t="s">
        <v>159</v>
      </c>
      <c r="E37" s="83" t="s">
        <v>24</v>
      </c>
      <c r="F37" s="83"/>
      <c r="G37" s="83"/>
      <c r="H37" s="83"/>
      <c r="I37" s="54" t="s">
        <v>242</v>
      </c>
      <c r="J37" s="54" t="s">
        <v>48</v>
      </c>
      <c r="K37" s="54">
        <f>1120-35-25+10</f>
        <v>1070</v>
      </c>
      <c r="L37" s="59">
        <v>2</v>
      </c>
      <c r="M37" s="54" t="s">
        <v>36</v>
      </c>
      <c r="N37" s="59">
        <v>3</v>
      </c>
      <c r="O37" s="20">
        <v>39000048</v>
      </c>
    </row>
    <row r="38" spans="3:32" ht="40.5" customHeight="1" x14ac:dyDescent="0.25">
      <c r="C38" s="17">
        <v>32</v>
      </c>
      <c r="D38" s="17" t="s">
        <v>160</v>
      </c>
      <c r="E38" s="83" t="s">
        <v>24</v>
      </c>
      <c r="F38" s="83"/>
      <c r="G38" s="83"/>
      <c r="H38" s="83"/>
      <c r="I38" s="54" t="s">
        <v>242</v>
      </c>
      <c r="J38" s="54" t="s">
        <v>29</v>
      </c>
      <c r="K38" s="54">
        <v>890</v>
      </c>
      <c r="L38" s="59">
        <v>3</v>
      </c>
      <c r="M38" s="20">
        <v>39000048</v>
      </c>
      <c r="N38" s="63">
        <v>7</v>
      </c>
      <c r="O38" s="20" t="s">
        <v>51</v>
      </c>
    </row>
    <row r="39" spans="3:32" ht="40.5" customHeight="1" x14ac:dyDescent="0.25">
      <c r="C39" s="17">
        <v>33</v>
      </c>
      <c r="D39" s="17" t="s">
        <v>162</v>
      </c>
      <c r="E39" s="83" t="s">
        <v>34</v>
      </c>
      <c r="F39" s="83"/>
      <c r="G39" s="83"/>
      <c r="H39" s="83"/>
      <c r="I39" s="54" t="s">
        <v>235</v>
      </c>
      <c r="J39" s="54" t="s">
        <v>48</v>
      </c>
      <c r="K39" s="54">
        <v>2580</v>
      </c>
      <c r="L39" s="59">
        <v>3.5</v>
      </c>
      <c r="M39" s="54" t="s">
        <v>35</v>
      </c>
      <c r="N39" s="59">
        <v>3</v>
      </c>
      <c r="O39" s="21">
        <v>39000040</v>
      </c>
    </row>
    <row r="40" spans="3:32" ht="40.5" customHeight="1" x14ac:dyDescent="0.25">
      <c r="C40" s="17">
        <v>34</v>
      </c>
      <c r="D40" s="17" t="s">
        <v>161</v>
      </c>
      <c r="E40" s="83" t="s">
        <v>24</v>
      </c>
      <c r="F40" s="83"/>
      <c r="G40" s="83"/>
      <c r="H40" s="83"/>
      <c r="I40" s="54" t="s">
        <v>242</v>
      </c>
      <c r="J40" s="54" t="s">
        <v>57</v>
      </c>
      <c r="K40" s="54">
        <f>1400+10</f>
        <v>1410</v>
      </c>
      <c r="L40" s="59">
        <v>2</v>
      </c>
      <c r="M40" s="54" t="s">
        <v>39</v>
      </c>
      <c r="N40" s="59">
        <v>3</v>
      </c>
      <c r="O40" s="20">
        <v>39000048</v>
      </c>
    </row>
    <row r="41" spans="3:32" ht="40.5" customHeight="1" x14ac:dyDescent="0.25">
      <c r="C41" s="17">
        <v>35</v>
      </c>
      <c r="D41" s="17" t="s">
        <v>163</v>
      </c>
      <c r="E41" s="83" t="s">
        <v>31</v>
      </c>
      <c r="F41" s="83"/>
      <c r="G41" s="83"/>
      <c r="H41" s="83"/>
      <c r="I41" s="54" t="s">
        <v>234</v>
      </c>
      <c r="J41" s="54" t="s">
        <v>48</v>
      </c>
      <c r="K41" s="54">
        <f>450-30</f>
        <v>420</v>
      </c>
      <c r="L41" s="59">
        <v>3</v>
      </c>
      <c r="M41" s="54">
        <v>39000040</v>
      </c>
      <c r="N41" s="37">
        <v>12</v>
      </c>
      <c r="O41" s="20" t="s">
        <v>59</v>
      </c>
    </row>
    <row r="42" spans="3:32" ht="40.5" customHeight="1" x14ac:dyDescent="0.25">
      <c r="C42" s="17">
        <v>36</v>
      </c>
      <c r="D42" s="17" t="s">
        <v>164</v>
      </c>
      <c r="E42" s="83" t="s">
        <v>31</v>
      </c>
      <c r="F42" s="83"/>
      <c r="G42" s="83"/>
      <c r="H42" s="83"/>
      <c r="I42" s="54" t="s">
        <v>234</v>
      </c>
      <c r="J42" s="54" t="s">
        <v>58</v>
      </c>
      <c r="K42" s="54">
        <f>450-30</f>
        <v>420</v>
      </c>
      <c r="L42" s="59">
        <v>3</v>
      </c>
      <c r="M42" s="54">
        <v>39000040</v>
      </c>
      <c r="N42" s="37">
        <v>12</v>
      </c>
      <c r="O42" s="20" t="s">
        <v>59</v>
      </c>
    </row>
    <row r="43" spans="3:32" ht="40.5" customHeight="1" x14ac:dyDescent="0.25">
      <c r="C43" s="17">
        <v>37</v>
      </c>
      <c r="D43" s="17" t="s">
        <v>165</v>
      </c>
      <c r="E43" s="83" t="s">
        <v>34</v>
      </c>
      <c r="F43" s="83"/>
      <c r="G43" s="83"/>
      <c r="H43" s="83"/>
      <c r="I43" s="54" t="s">
        <v>235</v>
      </c>
      <c r="J43" s="54" t="s">
        <v>48</v>
      </c>
      <c r="K43" s="54">
        <f>1505+15</f>
        <v>1520</v>
      </c>
      <c r="L43" s="59">
        <v>3</v>
      </c>
      <c r="M43" s="54">
        <v>39000040</v>
      </c>
      <c r="N43" s="37">
        <v>12</v>
      </c>
      <c r="O43" s="20" t="s">
        <v>59</v>
      </c>
    </row>
    <row r="44" spans="3:32" ht="40.5" customHeight="1" x14ac:dyDescent="0.25">
      <c r="C44" s="17">
        <v>38</v>
      </c>
      <c r="D44" s="17" t="s">
        <v>166</v>
      </c>
      <c r="E44" s="83" t="s">
        <v>24</v>
      </c>
      <c r="F44" s="83"/>
      <c r="G44" s="83"/>
      <c r="H44" s="83"/>
      <c r="I44" s="54" t="s">
        <v>242</v>
      </c>
      <c r="J44" s="54" t="s">
        <v>60</v>
      </c>
      <c r="K44" s="54">
        <v>1410</v>
      </c>
      <c r="L44" s="59">
        <v>1.9</v>
      </c>
      <c r="M44" s="54" t="s">
        <v>39</v>
      </c>
      <c r="N44" s="59">
        <v>3</v>
      </c>
      <c r="O44" s="20">
        <v>39000048</v>
      </c>
    </row>
    <row r="45" spans="3:32" ht="40.5" customHeight="1" x14ac:dyDescent="0.25">
      <c r="C45" s="17">
        <v>39</v>
      </c>
      <c r="D45" s="17" t="s">
        <v>167</v>
      </c>
      <c r="E45" s="83" t="s">
        <v>24</v>
      </c>
      <c r="F45" s="83"/>
      <c r="G45" s="83"/>
      <c r="H45" s="83"/>
      <c r="I45" s="54" t="s">
        <v>242</v>
      </c>
      <c r="J45" s="54" t="s">
        <v>18</v>
      </c>
      <c r="K45" s="54">
        <v>1355</v>
      </c>
      <c r="L45" s="59">
        <v>3.5</v>
      </c>
      <c r="M45" s="54" t="s">
        <v>61</v>
      </c>
      <c r="N45" s="63">
        <v>7</v>
      </c>
      <c r="O45" s="20" t="s">
        <v>62</v>
      </c>
    </row>
    <row r="46" spans="3:32" ht="40.5" customHeight="1" x14ac:dyDescent="0.25">
      <c r="C46" s="17">
        <v>40</v>
      </c>
      <c r="D46" s="17" t="s">
        <v>168</v>
      </c>
      <c r="E46" s="83" t="s">
        <v>24</v>
      </c>
      <c r="F46" s="83"/>
      <c r="G46" s="83"/>
      <c r="H46" s="83"/>
      <c r="I46" s="54" t="s">
        <v>242</v>
      </c>
      <c r="J46" s="54" t="s">
        <v>16</v>
      </c>
      <c r="K46" s="54">
        <v>1350</v>
      </c>
      <c r="L46" s="59">
        <v>3.5</v>
      </c>
      <c r="M46" s="54" t="s">
        <v>61</v>
      </c>
      <c r="N46" s="63">
        <v>7</v>
      </c>
      <c r="O46" s="20" t="s">
        <v>63</v>
      </c>
    </row>
    <row r="47" spans="3:32" ht="40.5" customHeight="1" x14ac:dyDescent="0.25">
      <c r="C47" s="17">
        <v>41</v>
      </c>
      <c r="D47" s="17" t="s">
        <v>169</v>
      </c>
      <c r="E47" s="83" t="s">
        <v>24</v>
      </c>
      <c r="F47" s="83"/>
      <c r="G47" s="83"/>
      <c r="H47" s="83"/>
      <c r="I47" s="54" t="s">
        <v>242</v>
      </c>
      <c r="J47" s="54" t="s">
        <v>19</v>
      </c>
      <c r="K47" s="54">
        <f>950+20</f>
        <v>970</v>
      </c>
      <c r="L47" s="59">
        <v>3.5</v>
      </c>
      <c r="M47" s="54" t="s">
        <v>61</v>
      </c>
      <c r="N47" s="63">
        <v>7</v>
      </c>
      <c r="O47" s="20" t="s">
        <v>53</v>
      </c>
    </row>
    <row r="48" spans="3:32" ht="40.5" customHeight="1" x14ac:dyDescent="0.25">
      <c r="C48" s="17">
        <v>42</v>
      </c>
      <c r="D48" s="17" t="s">
        <v>170</v>
      </c>
      <c r="E48" s="83" t="s">
        <v>34</v>
      </c>
      <c r="F48" s="83"/>
      <c r="G48" s="83"/>
      <c r="H48" s="83"/>
      <c r="I48" s="54" t="s">
        <v>235</v>
      </c>
      <c r="J48" s="54" t="s">
        <v>64</v>
      </c>
      <c r="K48" s="54">
        <f>1415+10</f>
        <v>1425</v>
      </c>
      <c r="L48" s="59">
        <v>3</v>
      </c>
      <c r="M48" s="54">
        <v>39000040</v>
      </c>
      <c r="N48" s="63">
        <v>7</v>
      </c>
      <c r="O48" s="20" t="s">
        <v>65</v>
      </c>
    </row>
    <row r="49" spans="3:15" ht="40.5" customHeight="1" x14ac:dyDescent="0.25">
      <c r="C49" s="17">
        <v>43</v>
      </c>
      <c r="D49" s="17" t="s">
        <v>171</v>
      </c>
      <c r="E49" s="83" t="s">
        <v>24</v>
      </c>
      <c r="F49" s="83"/>
      <c r="G49" s="83"/>
      <c r="H49" s="83"/>
      <c r="I49" s="54" t="s">
        <v>242</v>
      </c>
      <c r="J49" s="54" t="s">
        <v>16</v>
      </c>
      <c r="K49" s="54">
        <v>1070</v>
      </c>
      <c r="L49" s="59">
        <v>3</v>
      </c>
      <c r="M49" s="54">
        <v>39000048</v>
      </c>
      <c r="N49" s="63">
        <v>7</v>
      </c>
      <c r="O49" s="20" t="s">
        <v>66</v>
      </c>
    </row>
    <row r="50" spans="3:15" ht="40.5" customHeight="1" x14ac:dyDescent="0.25">
      <c r="C50" s="17">
        <v>44</v>
      </c>
      <c r="D50" s="17" t="s">
        <v>172</v>
      </c>
      <c r="E50" s="83" t="s">
        <v>24</v>
      </c>
      <c r="F50" s="83"/>
      <c r="G50" s="83"/>
      <c r="H50" s="83"/>
      <c r="I50" s="54" t="s">
        <v>242</v>
      </c>
      <c r="J50" s="54" t="s">
        <v>18</v>
      </c>
      <c r="K50" s="54">
        <v>1060</v>
      </c>
      <c r="L50" s="59">
        <v>3</v>
      </c>
      <c r="M50" s="54">
        <v>39000048</v>
      </c>
      <c r="N50" s="63">
        <v>7</v>
      </c>
      <c r="O50" s="20" t="s">
        <v>67</v>
      </c>
    </row>
    <row r="51" spans="3:15" ht="40.5" customHeight="1" x14ac:dyDescent="0.25">
      <c r="C51" s="17">
        <v>45</v>
      </c>
      <c r="D51" s="17" t="s">
        <v>173</v>
      </c>
      <c r="E51" s="83" t="s">
        <v>24</v>
      </c>
      <c r="F51" s="83"/>
      <c r="G51" s="83"/>
      <c r="H51" s="83"/>
      <c r="I51" s="54" t="s">
        <v>242</v>
      </c>
      <c r="J51" s="54" t="s">
        <v>19</v>
      </c>
      <c r="K51" s="54">
        <v>1130</v>
      </c>
      <c r="L51" s="59">
        <v>1.9</v>
      </c>
      <c r="M51" s="54" t="s">
        <v>36</v>
      </c>
      <c r="N51" s="63">
        <v>7</v>
      </c>
      <c r="O51" s="20" t="s">
        <v>266</v>
      </c>
    </row>
    <row r="52" spans="3:15" ht="40.5" customHeight="1" x14ac:dyDescent="0.25">
      <c r="C52" s="17">
        <v>46</v>
      </c>
      <c r="D52" s="17" t="s">
        <v>174</v>
      </c>
      <c r="E52" s="83" t="s">
        <v>24</v>
      </c>
      <c r="F52" s="83"/>
      <c r="G52" s="83"/>
      <c r="H52" s="83"/>
      <c r="I52" s="54" t="s">
        <v>242</v>
      </c>
      <c r="J52" s="54" t="s">
        <v>30</v>
      </c>
      <c r="K52" s="54">
        <v>2020</v>
      </c>
      <c r="L52" s="59">
        <v>1.9</v>
      </c>
      <c r="M52" s="54">
        <v>561349000</v>
      </c>
      <c r="N52" s="59">
        <v>3.5</v>
      </c>
      <c r="O52" s="20" t="s">
        <v>25</v>
      </c>
    </row>
    <row r="53" spans="3:15" ht="40.5" customHeight="1" x14ac:dyDescent="0.25">
      <c r="C53" s="17">
        <v>47</v>
      </c>
      <c r="D53" s="17" t="s">
        <v>175</v>
      </c>
      <c r="E53" s="83" t="s">
        <v>24</v>
      </c>
      <c r="F53" s="83"/>
      <c r="G53" s="83"/>
      <c r="H53" s="83"/>
      <c r="I53" s="54" t="s">
        <v>242</v>
      </c>
      <c r="J53" s="54" t="s">
        <v>17</v>
      </c>
      <c r="K53" s="54">
        <v>1020</v>
      </c>
      <c r="L53" s="59">
        <v>3</v>
      </c>
      <c r="M53" s="54">
        <v>39000048</v>
      </c>
      <c r="N53" s="59">
        <v>1.9</v>
      </c>
      <c r="O53" s="21">
        <v>561349000</v>
      </c>
    </row>
    <row r="54" spans="3:15" ht="40.5" customHeight="1" x14ac:dyDescent="0.25">
      <c r="C54" s="17">
        <v>48</v>
      </c>
      <c r="D54" s="17" t="s">
        <v>176</v>
      </c>
      <c r="E54" s="83" t="s">
        <v>24</v>
      </c>
      <c r="F54" s="83"/>
      <c r="G54" s="83"/>
      <c r="H54" s="83"/>
      <c r="I54" s="54" t="s">
        <v>242</v>
      </c>
      <c r="J54" s="54" t="s">
        <v>33</v>
      </c>
      <c r="K54" s="54">
        <v>1020</v>
      </c>
      <c r="L54" s="59">
        <v>3</v>
      </c>
      <c r="M54" s="54">
        <v>39000048</v>
      </c>
      <c r="N54" s="59">
        <v>1.9</v>
      </c>
      <c r="O54" s="21">
        <v>561349000</v>
      </c>
    </row>
    <row r="55" spans="3:15" ht="40.5" customHeight="1" x14ac:dyDescent="0.25">
      <c r="C55" s="17">
        <v>49</v>
      </c>
      <c r="D55" s="17" t="s">
        <v>177</v>
      </c>
      <c r="E55" s="83" t="s">
        <v>24</v>
      </c>
      <c r="F55" s="83"/>
      <c r="G55" s="83"/>
      <c r="H55" s="83"/>
      <c r="I55" s="54" t="s">
        <v>242</v>
      </c>
      <c r="J55" s="54" t="s">
        <v>68</v>
      </c>
      <c r="K55" s="54">
        <v>1610</v>
      </c>
      <c r="L55" s="59">
        <v>3</v>
      </c>
      <c r="M55" s="54">
        <v>39000048</v>
      </c>
      <c r="N55" s="59">
        <v>1.9</v>
      </c>
      <c r="O55" s="21">
        <v>561349000</v>
      </c>
    </row>
    <row r="56" spans="3:15" ht="40.5" customHeight="1" x14ac:dyDescent="0.25">
      <c r="C56" s="17">
        <v>50</v>
      </c>
      <c r="D56" s="17" t="s">
        <v>178</v>
      </c>
      <c r="E56" s="83" t="s">
        <v>24</v>
      </c>
      <c r="F56" s="83"/>
      <c r="G56" s="83"/>
      <c r="H56" s="83"/>
      <c r="I56" s="54" t="s">
        <v>242</v>
      </c>
      <c r="J56" s="54" t="s">
        <v>26</v>
      </c>
      <c r="K56" s="54">
        <v>1610</v>
      </c>
      <c r="L56" s="59">
        <v>3</v>
      </c>
      <c r="M56" s="54">
        <v>39000048</v>
      </c>
      <c r="N56" s="59">
        <v>1.9</v>
      </c>
      <c r="O56" s="21">
        <v>561349000</v>
      </c>
    </row>
    <row r="57" spans="3:15" ht="40.5" customHeight="1" x14ac:dyDescent="0.25">
      <c r="C57" s="17">
        <v>51</v>
      </c>
      <c r="D57" s="17" t="s">
        <v>179</v>
      </c>
      <c r="E57" s="83" t="s">
        <v>24</v>
      </c>
      <c r="F57" s="83"/>
      <c r="G57" s="83"/>
      <c r="H57" s="83"/>
      <c r="I57" s="54" t="s">
        <v>242</v>
      </c>
      <c r="J57" s="54" t="s">
        <v>69</v>
      </c>
      <c r="K57" s="54">
        <v>960</v>
      </c>
      <c r="L57" s="59">
        <v>5</v>
      </c>
      <c r="M57" s="54" t="s">
        <v>50</v>
      </c>
      <c r="N57" s="59">
        <v>1.9</v>
      </c>
      <c r="O57" s="21">
        <v>561349000</v>
      </c>
    </row>
    <row r="58" spans="3:15" ht="40.5" customHeight="1" x14ac:dyDescent="0.25">
      <c r="C58" s="17">
        <v>52</v>
      </c>
      <c r="D58" s="17" t="s">
        <v>180</v>
      </c>
      <c r="E58" s="83" t="s">
        <v>24</v>
      </c>
      <c r="F58" s="83"/>
      <c r="G58" s="83"/>
      <c r="H58" s="83"/>
      <c r="I58" s="54" t="s">
        <v>242</v>
      </c>
      <c r="J58" s="54" t="s">
        <v>57</v>
      </c>
      <c r="K58" s="54">
        <v>960</v>
      </c>
      <c r="L58" s="59">
        <v>5</v>
      </c>
      <c r="M58" s="54" t="s">
        <v>50</v>
      </c>
      <c r="N58" s="59">
        <v>1.9</v>
      </c>
      <c r="O58" s="21">
        <v>561349000</v>
      </c>
    </row>
    <row r="59" spans="3:15" ht="40.5" customHeight="1" x14ac:dyDescent="0.25">
      <c r="C59" s="17">
        <v>53</v>
      </c>
      <c r="D59" s="17" t="s">
        <v>181</v>
      </c>
      <c r="E59" s="83" t="s">
        <v>24</v>
      </c>
      <c r="F59" s="83"/>
      <c r="G59" s="83"/>
      <c r="H59" s="83"/>
      <c r="I59" s="54" t="s">
        <v>242</v>
      </c>
      <c r="J59" s="54" t="s">
        <v>18</v>
      </c>
      <c r="K59" s="54">
        <f>1320+5</f>
        <v>1325</v>
      </c>
      <c r="L59" s="59">
        <v>3</v>
      </c>
      <c r="M59" s="54">
        <v>39000048</v>
      </c>
      <c r="N59" s="59">
        <v>1.9</v>
      </c>
      <c r="O59" s="21">
        <v>561349000</v>
      </c>
    </row>
    <row r="60" spans="3:15" ht="40.5" customHeight="1" x14ac:dyDescent="0.25">
      <c r="C60" s="17">
        <v>54</v>
      </c>
      <c r="D60" s="17" t="s">
        <v>182</v>
      </c>
      <c r="E60" s="83" t="s">
        <v>24</v>
      </c>
      <c r="F60" s="83"/>
      <c r="G60" s="83"/>
      <c r="H60" s="83"/>
      <c r="I60" s="54" t="s">
        <v>242</v>
      </c>
      <c r="J60" s="54" t="s">
        <v>29</v>
      </c>
      <c r="K60" s="54">
        <f>1320+5</f>
        <v>1325</v>
      </c>
      <c r="L60" s="59">
        <v>1.9</v>
      </c>
      <c r="M60" s="54">
        <v>561349000</v>
      </c>
      <c r="N60" s="59">
        <v>3</v>
      </c>
      <c r="O60" s="20">
        <v>39000048</v>
      </c>
    </row>
    <row r="61" spans="3:15" ht="40.5" customHeight="1" x14ac:dyDescent="0.25">
      <c r="C61" s="17">
        <v>55</v>
      </c>
      <c r="D61" s="17" t="s">
        <v>183</v>
      </c>
      <c r="E61" s="83" t="s">
        <v>24</v>
      </c>
      <c r="F61" s="83"/>
      <c r="G61" s="83"/>
      <c r="H61" s="83"/>
      <c r="I61" s="54" t="s">
        <v>242</v>
      </c>
      <c r="J61" s="54" t="s">
        <v>29</v>
      </c>
      <c r="K61" s="54">
        <v>520</v>
      </c>
      <c r="L61" s="59">
        <v>1.9</v>
      </c>
      <c r="M61" s="54" t="s">
        <v>36</v>
      </c>
      <c r="N61" s="63">
        <v>7</v>
      </c>
      <c r="O61" s="20" t="s">
        <v>70</v>
      </c>
    </row>
    <row r="62" spans="3:15" ht="40.5" customHeight="1" x14ac:dyDescent="0.25">
      <c r="C62" s="17">
        <v>56</v>
      </c>
      <c r="D62" s="17" t="s">
        <v>184</v>
      </c>
      <c r="E62" s="83" t="s">
        <v>24</v>
      </c>
      <c r="F62" s="83"/>
      <c r="G62" s="83"/>
      <c r="H62" s="83"/>
      <c r="I62" s="54" t="s">
        <v>242</v>
      </c>
      <c r="J62" s="54" t="s">
        <v>16</v>
      </c>
      <c r="K62" s="54">
        <f>1550+5</f>
        <v>1555</v>
      </c>
      <c r="L62" s="59">
        <v>1.9</v>
      </c>
      <c r="M62" s="54">
        <v>561349000</v>
      </c>
      <c r="N62" s="59">
        <v>3</v>
      </c>
      <c r="O62" s="20">
        <v>39000048</v>
      </c>
    </row>
    <row r="63" spans="3:15" ht="40.5" customHeight="1" x14ac:dyDescent="0.25">
      <c r="C63" s="17">
        <v>57</v>
      </c>
      <c r="D63" s="17" t="s">
        <v>185</v>
      </c>
      <c r="E63" s="83" t="s">
        <v>24</v>
      </c>
      <c r="F63" s="83"/>
      <c r="G63" s="83"/>
      <c r="H63" s="83"/>
      <c r="I63" s="54" t="s">
        <v>242</v>
      </c>
      <c r="J63" s="54" t="s">
        <v>19</v>
      </c>
      <c r="K63" s="54">
        <f>1550+5</f>
        <v>1555</v>
      </c>
      <c r="L63" s="59">
        <v>1.9</v>
      </c>
      <c r="M63" s="54">
        <v>561349000</v>
      </c>
      <c r="N63" s="59">
        <v>3</v>
      </c>
      <c r="O63" s="20">
        <v>39000048</v>
      </c>
    </row>
    <row r="64" spans="3:15" ht="40.5" customHeight="1" x14ac:dyDescent="0.25">
      <c r="C64" s="17">
        <v>58</v>
      </c>
      <c r="D64" s="17" t="s">
        <v>219</v>
      </c>
      <c r="E64" s="83" t="s">
        <v>24</v>
      </c>
      <c r="F64" s="83"/>
      <c r="G64" s="83"/>
      <c r="H64" s="83"/>
      <c r="I64" s="54" t="s">
        <v>242</v>
      </c>
      <c r="J64" s="54" t="s">
        <v>30</v>
      </c>
      <c r="K64" s="54">
        <f>1320+10</f>
        <v>1330</v>
      </c>
      <c r="L64" s="59">
        <v>1.9</v>
      </c>
      <c r="M64" s="54">
        <v>561349000</v>
      </c>
      <c r="N64" s="59">
        <v>3</v>
      </c>
      <c r="O64" s="20">
        <v>39000048</v>
      </c>
    </row>
    <row r="65" spans="3:15" ht="40.5" customHeight="1" x14ac:dyDescent="0.25">
      <c r="C65" s="17">
        <v>59</v>
      </c>
      <c r="D65" s="17" t="s">
        <v>186</v>
      </c>
      <c r="E65" s="83" t="s">
        <v>24</v>
      </c>
      <c r="F65" s="83"/>
      <c r="G65" s="83"/>
      <c r="H65" s="83"/>
      <c r="I65" s="54" t="s">
        <v>242</v>
      </c>
      <c r="J65" s="54" t="s">
        <v>71</v>
      </c>
      <c r="K65" s="54">
        <v>920</v>
      </c>
      <c r="L65" s="59">
        <v>1.9</v>
      </c>
      <c r="M65" s="54">
        <v>561349000</v>
      </c>
      <c r="N65" s="59">
        <v>5</v>
      </c>
      <c r="O65" s="20" t="s">
        <v>73</v>
      </c>
    </row>
    <row r="66" spans="3:15" ht="40.5" customHeight="1" x14ac:dyDescent="0.25">
      <c r="C66" s="17">
        <v>60</v>
      </c>
      <c r="D66" s="17" t="s">
        <v>187</v>
      </c>
      <c r="E66" s="83" t="s">
        <v>24</v>
      </c>
      <c r="F66" s="83"/>
      <c r="G66" s="83"/>
      <c r="H66" s="83"/>
      <c r="I66" s="54" t="s">
        <v>242</v>
      </c>
      <c r="J66" s="54" t="s">
        <v>72</v>
      </c>
      <c r="K66" s="54">
        <f>920-15</f>
        <v>905</v>
      </c>
      <c r="L66" s="59">
        <v>1.9</v>
      </c>
      <c r="M66" s="54">
        <v>561349000</v>
      </c>
      <c r="N66" s="59">
        <v>5</v>
      </c>
      <c r="O66" s="20" t="s">
        <v>50</v>
      </c>
    </row>
    <row r="67" spans="3:15" ht="40.5" customHeight="1" x14ac:dyDescent="0.25">
      <c r="C67" s="17">
        <v>61</v>
      </c>
      <c r="D67" s="17" t="s">
        <v>188</v>
      </c>
      <c r="E67" s="83" t="s">
        <v>24</v>
      </c>
      <c r="F67" s="83"/>
      <c r="G67" s="83"/>
      <c r="H67" s="83"/>
      <c r="I67" s="54" t="s">
        <v>242</v>
      </c>
      <c r="J67" s="54" t="s">
        <v>74</v>
      </c>
      <c r="K67" s="54">
        <v>1830</v>
      </c>
      <c r="L67" s="59">
        <v>3</v>
      </c>
      <c r="M67" s="54">
        <v>39000048</v>
      </c>
      <c r="N67" s="59">
        <v>1.9</v>
      </c>
      <c r="O67" s="21">
        <v>561349000</v>
      </c>
    </row>
    <row r="68" spans="3:15" ht="40.5" customHeight="1" x14ac:dyDescent="0.25">
      <c r="C68" s="17">
        <v>62</v>
      </c>
      <c r="D68" s="17" t="s">
        <v>189</v>
      </c>
      <c r="E68" s="83" t="s">
        <v>24</v>
      </c>
      <c r="F68" s="83"/>
      <c r="G68" s="83"/>
      <c r="H68" s="83"/>
      <c r="I68" s="54" t="s">
        <v>242</v>
      </c>
      <c r="J68" s="54" t="s">
        <v>27</v>
      </c>
      <c r="K68" s="54">
        <v>1830</v>
      </c>
      <c r="L68" s="59">
        <v>3</v>
      </c>
      <c r="M68" s="54">
        <v>39000048</v>
      </c>
      <c r="N68" s="59">
        <v>1.9</v>
      </c>
      <c r="O68" s="21">
        <v>561349000</v>
      </c>
    </row>
    <row r="69" spans="3:15" ht="40.5" customHeight="1" x14ac:dyDescent="0.25">
      <c r="C69" s="17">
        <v>63</v>
      </c>
      <c r="D69" s="17" t="s">
        <v>190</v>
      </c>
      <c r="E69" s="83" t="s">
        <v>24</v>
      </c>
      <c r="F69" s="83"/>
      <c r="G69" s="83"/>
      <c r="H69" s="83"/>
      <c r="I69" s="54" t="s">
        <v>242</v>
      </c>
      <c r="J69" s="54" t="s">
        <v>75</v>
      </c>
      <c r="K69" s="23">
        <f>2410+10</f>
        <v>2420</v>
      </c>
      <c r="L69" s="59">
        <v>3</v>
      </c>
      <c r="M69" s="54">
        <v>39000048</v>
      </c>
      <c r="N69" s="59">
        <v>1.9</v>
      </c>
      <c r="O69" s="21">
        <v>561349000</v>
      </c>
    </row>
    <row r="70" spans="3:15" ht="40.5" customHeight="1" x14ac:dyDescent="0.25">
      <c r="C70" s="17">
        <v>64</v>
      </c>
      <c r="D70" s="17" t="s">
        <v>191</v>
      </c>
      <c r="E70" s="83" t="s">
        <v>24</v>
      </c>
      <c r="F70" s="83"/>
      <c r="G70" s="83"/>
      <c r="H70" s="83"/>
      <c r="I70" s="54" t="s">
        <v>242</v>
      </c>
      <c r="J70" s="54" t="s">
        <v>76</v>
      </c>
      <c r="K70" s="54">
        <v>2410</v>
      </c>
      <c r="L70" s="59">
        <v>3</v>
      </c>
      <c r="M70" s="54">
        <v>39000048</v>
      </c>
      <c r="N70" s="59">
        <v>1.9</v>
      </c>
      <c r="O70" s="21">
        <v>561349000</v>
      </c>
    </row>
    <row r="71" spans="3:15" ht="40.5" customHeight="1" x14ac:dyDescent="0.25">
      <c r="C71" s="17">
        <v>65</v>
      </c>
      <c r="D71" s="17" t="s">
        <v>192</v>
      </c>
      <c r="E71" s="83" t="s">
        <v>24</v>
      </c>
      <c r="F71" s="83"/>
      <c r="G71" s="83"/>
      <c r="H71" s="83"/>
      <c r="I71" s="54" t="s">
        <v>242</v>
      </c>
      <c r="J71" s="54" t="s">
        <v>16</v>
      </c>
      <c r="K71" s="54">
        <v>960</v>
      </c>
      <c r="L71" s="59">
        <v>1.9</v>
      </c>
      <c r="M71" s="54" t="s">
        <v>36</v>
      </c>
      <c r="N71" s="59">
        <v>3.5</v>
      </c>
      <c r="O71" s="20" t="s">
        <v>77</v>
      </c>
    </row>
    <row r="72" spans="3:15" ht="40.5" customHeight="1" x14ac:dyDescent="0.25">
      <c r="C72" s="17">
        <v>66</v>
      </c>
      <c r="D72" s="17" t="s">
        <v>193</v>
      </c>
      <c r="E72" s="83" t="s">
        <v>24</v>
      </c>
      <c r="F72" s="83"/>
      <c r="G72" s="83"/>
      <c r="H72" s="83"/>
      <c r="I72" s="54" t="s">
        <v>242</v>
      </c>
      <c r="J72" s="54" t="s">
        <v>33</v>
      </c>
      <c r="K72" s="54">
        <v>960</v>
      </c>
      <c r="L72" s="59">
        <v>1.9</v>
      </c>
      <c r="M72" s="54" t="s">
        <v>36</v>
      </c>
      <c r="N72" s="59">
        <v>3.5</v>
      </c>
      <c r="O72" s="20" t="s">
        <v>77</v>
      </c>
    </row>
    <row r="73" spans="3:15" ht="40.5" customHeight="1" x14ac:dyDescent="0.25">
      <c r="C73" s="17">
        <v>67</v>
      </c>
      <c r="D73" s="17" t="s">
        <v>194</v>
      </c>
      <c r="E73" s="83" t="s">
        <v>24</v>
      </c>
      <c r="F73" s="83"/>
      <c r="G73" s="83"/>
      <c r="H73" s="83"/>
      <c r="I73" s="54" t="s">
        <v>242</v>
      </c>
      <c r="J73" s="54" t="s">
        <v>78</v>
      </c>
      <c r="K73" s="54">
        <v>960</v>
      </c>
      <c r="L73" s="59">
        <v>1.9</v>
      </c>
      <c r="M73" s="54" t="s">
        <v>36</v>
      </c>
      <c r="N73" s="59">
        <v>3.5</v>
      </c>
      <c r="O73" s="20" t="s">
        <v>77</v>
      </c>
    </row>
    <row r="74" spans="3:15" ht="40.5" customHeight="1" x14ac:dyDescent="0.25">
      <c r="C74" s="17">
        <v>68</v>
      </c>
      <c r="D74" s="17" t="s">
        <v>195</v>
      </c>
      <c r="E74" s="83" t="s">
        <v>24</v>
      </c>
      <c r="F74" s="83"/>
      <c r="G74" s="83"/>
      <c r="H74" s="83"/>
      <c r="I74" s="54" t="s">
        <v>242</v>
      </c>
      <c r="J74" s="54" t="s">
        <v>26</v>
      </c>
      <c r="K74" s="54">
        <v>960</v>
      </c>
      <c r="L74" s="59">
        <v>1.9</v>
      </c>
      <c r="M74" s="54" t="s">
        <v>36</v>
      </c>
      <c r="N74" s="59">
        <v>3.5</v>
      </c>
      <c r="O74" s="20" t="s">
        <v>77</v>
      </c>
    </row>
    <row r="75" spans="3:15" ht="40.5" customHeight="1" x14ac:dyDescent="0.25">
      <c r="C75" s="17">
        <v>69</v>
      </c>
      <c r="D75" s="17" t="s">
        <v>196</v>
      </c>
      <c r="E75" s="83" t="s">
        <v>24</v>
      </c>
      <c r="F75" s="83"/>
      <c r="G75" s="83"/>
      <c r="H75" s="83"/>
      <c r="I75" s="54" t="s">
        <v>242</v>
      </c>
      <c r="J75" s="54" t="s">
        <v>71</v>
      </c>
      <c r="K75" s="24">
        <v>1520</v>
      </c>
      <c r="L75" s="59">
        <v>1.9</v>
      </c>
      <c r="M75" s="54" t="s">
        <v>36</v>
      </c>
      <c r="N75" s="59">
        <v>3.5</v>
      </c>
      <c r="O75" s="20" t="s">
        <v>77</v>
      </c>
    </row>
    <row r="76" spans="3:15" ht="40.5" customHeight="1" x14ac:dyDescent="0.25">
      <c r="C76" s="17">
        <v>70</v>
      </c>
      <c r="D76" s="17" t="s">
        <v>197</v>
      </c>
      <c r="E76" s="83" t="s">
        <v>24</v>
      </c>
      <c r="F76" s="83"/>
      <c r="G76" s="83"/>
      <c r="H76" s="83"/>
      <c r="I76" s="54" t="s">
        <v>242</v>
      </c>
      <c r="J76" s="54" t="s">
        <v>79</v>
      </c>
      <c r="K76" s="24">
        <v>1525</v>
      </c>
      <c r="L76" s="59">
        <v>1.9</v>
      </c>
      <c r="M76" s="54" t="s">
        <v>36</v>
      </c>
      <c r="N76" s="59">
        <v>3.5</v>
      </c>
      <c r="O76" s="20" t="s">
        <v>77</v>
      </c>
    </row>
    <row r="77" spans="3:15" ht="40.5" customHeight="1" x14ac:dyDescent="0.25">
      <c r="C77" s="17">
        <v>71</v>
      </c>
      <c r="D77" s="17" t="s">
        <v>198</v>
      </c>
      <c r="E77" s="83" t="s">
        <v>24</v>
      </c>
      <c r="F77" s="83"/>
      <c r="G77" s="83"/>
      <c r="H77" s="83"/>
      <c r="I77" s="54" t="s">
        <v>242</v>
      </c>
      <c r="J77" s="54" t="s">
        <v>80</v>
      </c>
      <c r="K77" s="24">
        <v>1525</v>
      </c>
      <c r="L77" s="59">
        <v>1.9</v>
      </c>
      <c r="M77" s="54" t="s">
        <v>36</v>
      </c>
      <c r="N77" s="59">
        <v>3.5</v>
      </c>
      <c r="O77" s="20" t="s">
        <v>77</v>
      </c>
    </row>
    <row r="78" spans="3:15" ht="40.5" customHeight="1" x14ac:dyDescent="0.25">
      <c r="C78" s="17">
        <v>72</v>
      </c>
      <c r="D78" s="17" t="s">
        <v>199</v>
      </c>
      <c r="E78" s="83" t="s">
        <v>24</v>
      </c>
      <c r="F78" s="83"/>
      <c r="G78" s="83"/>
      <c r="H78" s="83"/>
      <c r="I78" s="54" t="s">
        <v>242</v>
      </c>
      <c r="J78" s="54" t="s">
        <v>43</v>
      </c>
      <c r="K78" s="24">
        <v>1525</v>
      </c>
      <c r="L78" s="59">
        <v>1.9</v>
      </c>
      <c r="M78" s="54" t="s">
        <v>36</v>
      </c>
      <c r="N78" s="59">
        <v>3.5</v>
      </c>
      <c r="O78" s="20" t="s">
        <v>77</v>
      </c>
    </row>
    <row r="79" spans="3:15" ht="40.5" customHeight="1" x14ac:dyDescent="0.25">
      <c r="C79" s="17">
        <v>73</v>
      </c>
      <c r="D79" s="17" t="s">
        <v>200</v>
      </c>
      <c r="E79" s="83" t="s">
        <v>24</v>
      </c>
      <c r="F79" s="83"/>
      <c r="G79" s="83"/>
      <c r="H79" s="83"/>
      <c r="I79" s="54" t="s">
        <v>242</v>
      </c>
      <c r="J79" s="54" t="s">
        <v>30</v>
      </c>
      <c r="K79" s="24">
        <v>1665</v>
      </c>
      <c r="L79" s="59">
        <v>3.5</v>
      </c>
      <c r="M79" s="20" t="s">
        <v>77</v>
      </c>
      <c r="N79" s="59">
        <v>1.9</v>
      </c>
      <c r="O79" s="20">
        <v>561349000</v>
      </c>
    </row>
    <row r="80" spans="3:15" ht="40.5" customHeight="1" x14ac:dyDescent="0.25">
      <c r="C80" s="17">
        <v>74</v>
      </c>
      <c r="D80" s="17" t="s">
        <v>201</v>
      </c>
      <c r="E80" s="83" t="s">
        <v>24</v>
      </c>
      <c r="F80" s="83"/>
      <c r="G80" s="83"/>
      <c r="H80" s="83"/>
      <c r="I80" s="54" t="s">
        <v>242</v>
      </c>
      <c r="J80" s="54" t="s">
        <v>48</v>
      </c>
      <c r="K80" s="24">
        <v>1665</v>
      </c>
      <c r="L80" s="59">
        <v>3.5</v>
      </c>
      <c r="M80" s="20" t="s">
        <v>77</v>
      </c>
      <c r="N80" s="59">
        <v>1.9</v>
      </c>
      <c r="O80" s="20">
        <v>561349000</v>
      </c>
    </row>
    <row r="81" spans="3:15" ht="40.5" customHeight="1" x14ac:dyDescent="0.25">
      <c r="C81" s="17">
        <v>75</v>
      </c>
      <c r="D81" s="17" t="s">
        <v>202</v>
      </c>
      <c r="E81" s="83" t="s">
        <v>24</v>
      </c>
      <c r="F81" s="83"/>
      <c r="G81" s="83"/>
      <c r="H81" s="83"/>
      <c r="I81" s="54" t="s">
        <v>242</v>
      </c>
      <c r="J81" s="54" t="s">
        <v>33</v>
      </c>
      <c r="K81" s="24">
        <v>1665</v>
      </c>
      <c r="L81" s="59">
        <v>3.5</v>
      </c>
      <c r="M81" s="20" t="s">
        <v>77</v>
      </c>
      <c r="N81" s="59">
        <v>1.9</v>
      </c>
      <c r="O81" s="20">
        <v>561349000</v>
      </c>
    </row>
    <row r="82" spans="3:15" ht="40.5" customHeight="1" x14ac:dyDescent="0.25">
      <c r="C82" s="17">
        <v>76</v>
      </c>
      <c r="D82" s="17" t="s">
        <v>203</v>
      </c>
      <c r="E82" s="83" t="s">
        <v>24</v>
      </c>
      <c r="F82" s="83"/>
      <c r="G82" s="83"/>
      <c r="H82" s="83"/>
      <c r="I82" s="54" t="s">
        <v>242</v>
      </c>
      <c r="J82" s="54" t="s">
        <v>19</v>
      </c>
      <c r="K82" s="54">
        <v>1100</v>
      </c>
      <c r="L82" s="59">
        <v>3.5</v>
      </c>
      <c r="M82" s="20" t="s">
        <v>77</v>
      </c>
      <c r="N82" s="59">
        <v>1.9</v>
      </c>
      <c r="O82" s="20">
        <v>561349000</v>
      </c>
    </row>
    <row r="83" spans="3:15" ht="40.5" customHeight="1" x14ac:dyDescent="0.25">
      <c r="C83" s="17">
        <v>77</v>
      </c>
      <c r="D83" s="17" t="s">
        <v>204</v>
      </c>
      <c r="E83" s="83" t="s">
        <v>24</v>
      </c>
      <c r="F83" s="83"/>
      <c r="G83" s="83"/>
      <c r="H83" s="83"/>
      <c r="I83" s="54" t="s">
        <v>242</v>
      </c>
      <c r="J83" s="54" t="s">
        <v>81</v>
      </c>
      <c r="K83" s="54">
        <v>1100</v>
      </c>
      <c r="L83" s="59">
        <v>3.5</v>
      </c>
      <c r="M83" s="20" t="s">
        <v>77</v>
      </c>
      <c r="N83" s="59">
        <v>1.9</v>
      </c>
      <c r="O83" s="20">
        <v>561349000</v>
      </c>
    </row>
    <row r="84" spans="3:15" ht="40.5" customHeight="1" x14ac:dyDescent="0.25">
      <c r="C84" s="17">
        <v>78</v>
      </c>
      <c r="D84" s="17" t="s">
        <v>205</v>
      </c>
      <c r="E84" s="83" t="s">
        <v>24</v>
      </c>
      <c r="F84" s="83"/>
      <c r="G84" s="83"/>
      <c r="H84" s="83"/>
      <c r="I84" s="54" t="s">
        <v>242</v>
      </c>
      <c r="J84" s="54" t="s">
        <v>82</v>
      </c>
      <c r="K84" s="54">
        <v>1100</v>
      </c>
      <c r="L84" s="59">
        <v>3.5</v>
      </c>
      <c r="M84" s="20" t="s">
        <v>77</v>
      </c>
      <c r="N84" s="59">
        <v>1.9</v>
      </c>
      <c r="O84" s="20">
        <v>561349000</v>
      </c>
    </row>
    <row r="85" spans="3:15" ht="40.5" customHeight="1" x14ac:dyDescent="0.25">
      <c r="C85" s="17">
        <v>79</v>
      </c>
      <c r="D85" s="17" t="s">
        <v>206</v>
      </c>
      <c r="E85" s="83" t="s">
        <v>24</v>
      </c>
      <c r="F85" s="83"/>
      <c r="G85" s="83"/>
      <c r="H85" s="83"/>
      <c r="I85" s="54" t="s">
        <v>242</v>
      </c>
      <c r="J85" s="54" t="s">
        <v>75</v>
      </c>
      <c r="K85" s="54">
        <v>300</v>
      </c>
      <c r="L85" s="59">
        <v>1.9</v>
      </c>
      <c r="M85" s="54" t="s">
        <v>36</v>
      </c>
      <c r="N85" s="63">
        <v>7</v>
      </c>
      <c r="O85" s="20" t="s">
        <v>84</v>
      </c>
    </row>
    <row r="86" spans="3:15" ht="40.5" customHeight="1" x14ac:dyDescent="0.25">
      <c r="C86" s="17">
        <v>80</v>
      </c>
      <c r="D86" s="17" t="s">
        <v>207</v>
      </c>
      <c r="E86" s="83" t="s">
        <v>24</v>
      </c>
      <c r="F86" s="83"/>
      <c r="G86" s="83"/>
      <c r="H86" s="83"/>
      <c r="I86" s="54" t="s">
        <v>242</v>
      </c>
      <c r="J86" s="54" t="s">
        <v>75</v>
      </c>
      <c r="K86" s="54">
        <v>605</v>
      </c>
      <c r="L86" s="59">
        <v>3.5</v>
      </c>
      <c r="M86" s="20" t="s">
        <v>77</v>
      </c>
      <c r="N86" s="63">
        <v>7</v>
      </c>
      <c r="O86" s="20" t="s">
        <v>83</v>
      </c>
    </row>
    <row r="87" spans="3:15" ht="40.5" customHeight="1" x14ac:dyDescent="0.25">
      <c r="C87" s="17">
        <v>81</v>
      </c>
      <c r="D87" s="17" t="s">
        <v>208</v>
      </c>
      <c r="E87" s="83" t="s">
        <v>24</v>
      </c>
      <c r="F87" s="83"/>
      <c r="G87" s="83"/>
      <c r="H87" s="83"/>
      <c r="I87" s="54" t="s">
        <v>242</v>
      </c>
      <c r="J87" s="54" t="s">
        <v>75</v>
      </c>
      <c r="K87" s="24">
        <v>1150</v>
      </c>
      <c r="L87" s="59">
        <v>3.5</v>
      </c>
      <c r="M87" s="20" t="s">
        <v>77</v>
      </c>
      <c r="N87" s="63">
        <v>7</v>
      </c>
      <c r="O87" s="20" t="s">
        <v>83</v>
      </c>
    </row>
    <row r="88" spans="3:15" ht="40.5" customHeight="1" x14ac:dyDescent="0.25">
      <c r="C88" s="17">
        <v>82</v>
      </c>
      <c r="D88" s="17" t="s">
        <v>209</v>
      </c>
      <c r="E88" s="83" t="s">
        <v>24</v>
      </c>
      <c r="F88" s="83"/>
      <c r="G88" s="83"/>
      <c r="H88" s="83"/>
      <c r="I88" s="54" t="s">
        <v>242</v>
      </c>
      <c r="J88" s="54" t="s">
        <v>48</v>
      </c>
      <c r="K88" s="54">
        <v>1610</v>
      </c>
      <c r="L88" s="59">
        <v>1.9</v>
      </c>
      <c r="M88" s="54" t="s">
        <v>36</v>
      </c>
      <c r="N88" s="63">
        <v>7</v>
      </c>
      <c r="O88" s="20" t="s">
        <v>85</v>
      </c>
    </row>
    <row r="89" spans="3:15" ht="40.5" customHeight="1" x14ac:dyDescent="0.25">
      <c r="C89" s="17">
        <v>83</v>
      </c>
      <c r="D89" s="17" t="s">
        <v>210</v>
      </c>
      <c r="E89" s="83" t="s">
        <v>24</v>
      </c>
      <c r="F89" s="83"/>
      <c r="G89" s="83"/>
      <c r="H89" s="83"/>
      <c r="I89" s="54" t="s">
        <v>242</v>
      </c>
      <c r="J89" s="54" t="s">
        <v>15</v>
      </c>
      <c r="K89" s="54">
        <v>650</v>
      </c>
      <c r="L89" s="59">
        <v>3</v>
      </c>
      <c r="M89" s="54">
        <v>39000048</v>
      </c>
      <c r="N89" s="63">
        <v>7</v>
      </c>
      <c r="O89" s="20" t="s">
        <v>86</v>
      </c>
    </row>
    <row r="90" spans="3:15" ht="59.25" customHeight="1" x14ac:dyDescent="0.25">
      <c r="C90" s="17">
        <v>84</v>
      </c>
      <c r="D90" s="17" t="s">
        <v>211</v>
      </c>
      <c r="E90" s="83" t="s">
        <v>24</v>
      </c>
      <c r="F90" s="83"/>
      <c r="G90" s="83"/>
      <c r="H90" s="83"/>
      <c r="I90" s="54" t="s">
        <v>242</v>
      </c>
      <c r="J90" s="54" t="s">
        <v>15</v>
      </c>
      <c r="K90" s="54">
        <v>610</v>
      </c>
      <c r="L90" s="63">
        <v>7</v>
      </c>
      <c r="M90" s="20" t="s">
        <v>87</v>
      </c>
      <c r="N90" s="63">
        <v>7</v>
      </c>
      <c r="O90" s="20" t="s">
        <v>244</v>
      </c>
    </row>
    <row r="91" spans="3:15" ht="49.5" customHeight="1" x14ac:dyDescent="0.25">
      <c r="C91" s="17">
        <v>85</v>
      </c>
      <c r="D91" s="17" t="s">
        <v>212</v>
      </c>
      <c r="E91" s="83" t="s">
        <v>24</v>
      </c>
      <c r="F91" s="83"/>
      <c r="G91" s="83"/>
      <c r="H91" s="83"/>
      <c r="I91" s="54" t="s">
        <v>242</v>
      </c>
      <c r="J91" s="54" t="s">
        <v>48</v>
      </c>
      <c r="K91" s="54">
        <v>610</v>
      </c>
      <c r="L91" s="63">
        <v>7</v>
      </c>
      <c r="M91" s="20" t="s">
        <v>88</v>
      </c>
      <c r="N91" s="63">
        <v>7</v>
      </c>
      <c r="O91" s="20" t="s">
        <v>245</v>
      </c>
    </row>
    <row r="92" spans="3:15" ht="40.5" customHeight="1" x14ac:dyDescent="0.25">
      <c r="C92" s="17">
        <v>86</v>
      </c>
      <c r="D92" s="17" t="s">
        <v>213</v>
      </c>
      <c r="E92" s="83" t="s">
        <v>24</v>
      </c>
      <c r="F92" s="83"/>
      <c r="G92" s="83"/>
      <c r="H92" s="83"/>
      <c r="I92" s="54" t="s">
        <v>242</v>
      </c>
      <c r="J92" s="54" t="s">
        <v>75</v>
      </c>
      <c r="K92" s="54">
        <v>930</v>
      </c>
      <c r="L92" s="59">
        <v>3.2</v>
      </c>
      <c r="M92" s="54" t="s">
        <v>25</v>
      </c>
      <c r="N92" s="59">
        <v>1.9</v>
      </c>
      <c r="O92" s="21" t="s">
        <v>36</v>
      </c>
    </row>
    <row r="93" spans="3:15" ht="40.5" customHeight="1" x14ac:dyDescent="0.25">
      <c r="C93" s="17">
        <v>87</v>
      </c>
      <c r="D93" s="17" t="s">
        <v>214</v>
      </c>
      <c r="E93" s="83" t="s">
        <v>24</v>
      </c>
      <c r="F93" s="83"/>
      <c r="G93" s="83"/>
      <c r="H93" s="83"/>
      <c r="I93" s="54" t="s">
        <v>242</v>
      </c>
      <c r="J93" s="54" t="s">
        <v>27</v>
      </c>
      <c r="K93" s="54">
        <v>930</v>
      </c>
      <c r="L93" s="59">
        <v>1.9</v>
      </c>
      <c r="M93" s="54" t="s">
        <v>36</v>
      </c>
      <c r="N93" s="59">
        <v>3.2</v>
      </c>
      <c r="O93" s="21" t="s">
        <v>25</v>
      </c>
    </row>
    <row r="94" spans="3:15" ht="40.5" customHeight="1" x14ac:dyDescent="0.25">
      <c r="C94" s="17">
        <v>88</v>
      </c>
      <c r="D94" s="17" t="s">
        <v>215</v>
      </c>
      <c r="E94" s="83" t="s">
        <v>24</v>
      </c>
      <c r="F94" s="83"/>
      <c r="G94" s="83"/>
      <c r="H94" s="83"/>
      <c r="I94" s="54" t="s">
        <v>242</v>
      </c>
      <c r="J94" s="54" t="s">
        <v>19</v>
      </c>
      <c r="K94" s="54">
        <v>500</v>
      </c>
      <c r="L94" s="59">
        <v>3</v>
      </c>
      <c r="M94" s="54">
        <v>39000048</v>
      </c>
      <c r="N94" s="63">
        <v>7</v>
      </c>
      <c r="O94" s="20" t="s">
        <v>90</v>
      </c>
    </row>
    <row r="95" spans="3:15" ht="40.5" customHeight="1" x14ac:dyDescent="0.25">
      <c r="C95" s="17">
        <v>89</v>
      </c>
      <c r="D95" s="17" t="s">
        <v>216</v>
      </c>
      <c r="E95" s="83" t="s">
        <v>24</v>
      </c>
      <c r="F95" s="83"/>
      <c r="G95" s="83"/>
      <c r="H95" s="83"/>
      <c r="I95" s="54" t="s">
        <v>242</v>
      </c>
      <c r="J95" s="54" t="s">
        <v>16</v>
      </c>
      <c r="K95" s="54">
        <v>470</v>
      </c>
      <c r="L95" s="59">
        <v>3</v>
      </c>
      <c r="M95" s="54">
        <v>39000048</v>
      </c>
      <c r="N95" s="63">
        <v>7</v>
      </c>
      <c r="O95" s="20" t="s">
        <v>91</v>
      </c>
    </row>
    <row r="96" spans="3:15" ht="40.5" customHeight="1" x14ac:dyDescent="0.25">
      <c r="C96" s="17">
        <v>90</v>
      </c>
      <c r="D96" s="17" t="s">
        <v>217</v>
      </c>
      <c r="E96" s="83" t="s">
        <v>24</v>
      </c>
      <c r="F96" s="83"/>
      <c r="G96" s="83"/>
      <c r="H96" s="83"/>
      <c r="I96" s="54" t="s">
        <v>242</v>
      </c>
      <c r="J96" s="54" t="s">
        <v>18</v>
      </c>
      <c r="K96" s="54">
        <v>460</v>
      </c>
      <c r="L96" s="59">
        <v>3</v>
      </c>
      <c r="M96" s="54">
        <v>39000048</v>
      </c>
      <c r="N96" s="63">
        <v>7</v>
      </c>
      <c r="O96" s="20" t="s">
        <v>92</v>
      </c>
    </row>
    <row r="97" spans="3:15" ht="40.5" customHeight="1" x14ac:dyDescent="0.25">
      <c r="C97" s="17">
        <v>91</v>
      </c>
      <c r="D97" s="17" t="s">
        <v>239</v>
      </c>
      <c r="E97" s="83" t="s">
        <v>24</v>
      </c>
      <c r="F97" s="83"/>
      <c r="G97" s="83"/>
      <c r="H97" s="83"/>
      <c r="I97" s="54" t="s">
        <v>242</v>
      </c>
      <c r="J97" s="54" t="s">
        <v>18</v>
      </c>
      <c r="K97" s="61">
        <f>2220-130</f>
        <v>2090</v>
      </c>
      <c r="L97" s="59">
        <v>1.9</v>
      </c>
      <c r="M97" s="54" t="s">
        <v>39</v>
      </c>
      <c r="N97" s="59">
        <v>3</v>
      </c>
      <c r="O97" s="21" t="s">
        <v>238</v>
      </c>
    </row>
    <row r="98" spans="3:15" ht="40.5" customHeight="1" x14ac:dyDescent="0.25">
      <c r="C98" s="17">
        <v>92</v>
      </c>
      <c r="D98" s="17" t="s">
        <v>108</v>
      </c>
      <c r="E98" s="83" t="s">
        <v>31</v>
      </c>
      <c r="F98" s="83"/>
      <c r="G98" s="83"/>
      <c r="H98" s="83"/>
      <c r="I98" s="54" t="s">
        <v>234</v>
      </c>
      <c r="J98" s="54" t="s">
        <v>93</v>
      </c>
      <c r="K98" s="54">
        <v>360</v>
      </c>
      <c r="L98" s="59">
        <v>5</v>
      </c>
      <c r="M98" s="54" t="s">
        <v>44</v>
      </c>
      <c r="N98" s="35">
        <v>10</v>
      </c>
      <c r="O98" s="38" t="s">
        <v>226</v>
      </c>
    </row>
    <row r="99" spans="3:15" ht="40.5" customHeight="1" x14ac:dyDescent="0.25">
      <c r="C99" s="17">
        <v>93</v>
      </c>
      <c r="D99" s="17" t="s">
        <v>109</v>
      </c>
      <c r="E99" s="83" t="s">
        <v>24</v>
      </c>
      <c r="F99" s="83"/>
      <c r="G99" s="83"/>
      <c r="H99" s="83"/>
      <c r="I99" s="54" t="s">
        <v>242</v>
      </c>
      <c r="J99" s="54" t="s">
        <v>94</v>
      </c>
      <c r="K99" s="54">
        <v>2020</v>
      </c>
      <c r="L99" s="59">
        <v>1.9</v>
      </c>
      <c r="M99" s="54">
        <v>561349000</v>
      </c>
      <c r="N99" s="59">
        <v>3.2</v>
      </c>
      <c r="O99" s="20" t="s">
        <v>25</v>
      </c>
    </row>
    <row r="100" spans="3:15" ht="40.5" customHeight="1" x14ac:dyDescent="0.25">
      <c r="C100" s="17">
        <v>94</v>
      </c>
      <c r="D100" s="17" t="s">
        <v>110</v>
      </c>
      <c r="E100" s="83" t="s">
        <v>24</v>
      </c>
      <c r="F100" s="83"/>
      <c r="G100" s="83"/>
      <c r="H100" s="83"/>
      <c r="I100" s="54" t="s">
        <v>242</v>
      </c>
      <c r="J100" s="54" t="s">
        <v>95</v>
      </c>
      <c r="K100" s="54">
        <v>1825</v>
      </c>
      <c r="L100" s="59">
        <v>1.9</v>
      </c>
      <c r="M100" s="54">
        <v>561349000</v>
      </c>
      <c r="N100" s="59">
        <v>3</v>
      </c>
      <c r="O100" s="20" t="s">
        <v>107</v>
      </c>
    </row>
    <row r="101" spans="3:15" ht="40.5" customHeight="1" x14ac:dyDescent="0.25">
      <c r="C101" s="17">
        <v>95</v>
      </c>
      <c r="D101" s="17" t="s">
        <v>111</v>
      </c>
      <c r="E101" s="83" t="s">
        <v>24</v>
      </c>
      <c r="F101" s="83"/>
      <c r="G101" s="83"/>
      <c r="H101" s="83"/>
      <c r="I101" s="54" t="s">
        <v>242</v>
      </c>
      <c r="J101" s="54" t="s">
        <v>96</v>
      </c>
      <c r="K101" s="54">
        <v>1825</v>
      </c>
      <c r="L101" s="59">
        <v>1.9</v>
      </c>
      <c r="M101" s="54">
        <v>561349000</v>
      </c>
      <c r="N101" s="59">
        <v>3</v>
      </c>
      <c r="O101" s="20" t="s">
        <v>107</v>
      </c>
    </row>
    <row r="102" spans="3:15" ht="40.5" customHeight="1" x14ac:dyDescent="0.25">
      <c r="C102" s="17">
        <v>96</v>
      </c>
      <c r="D102" s="17" t="s">
        <v>112</v>
      </c>
      <c r="E102" s="83" t="s">
        <v>24</v>
      </c>
      <c r="F102" s="83"/>
      <c r="G102" s="83"/>
      <c r="H102" s="83"/>
      <c r="I102" s="54" t="s">
        <v>242</v>
      </c>
      <c r="J102" s="54" t="s">
        <v>97</v>
      </c>
      <c r="K102" s="54">
        <v>1825</v>
      </c>
      <c r="L102" s="59">
        <v>1.9</v>
      </c>
      <c r="M102" s="54">
        <v>561349000</v>
      </c>
      <c r="N102" s="59">
        <v>3</v>
      </c>
      <c r="O102" s="20" t="s">
        <v>107</v>
      </c>
    </row>
    <row r="103" spans="3:15" ht="40.5" customHeight="1" x14ac:dyDescent="0.25">
      <c r="C103" s="17">
        <v>97</v>
      </c>
      <c r="D103" s="17" t="s">
        <v>113</v>
      </c>
      <c r="E103" s="83" t="s">
        <v>24</v>
      </c>
      <c r="F103" s="83"/>
      <c r="G103" s="83"/>
      <c r="H103" s="83"/>
      <c r="I103" s="54" t="s">
        <v>242</v>
      </c>
      <c r="J103" s="54" t="s">
        <v>98</v>
      </c>
      <c r="K103" s="54">
        <v>1825</v>
      </c>
      <c r="L103" s="59">
        <v>1.9</v>
      </c>
      <c r="M103" s="54">
        <v>561349000</v>
      </c>
      <c r="N103" s="59">
        <v>3</v>
      </c>
      <c r="O103" s="20" t="s">
        <v>107</v>
      </c>
    </row>
    <row r="104" spans="3:15" ht="40.5" customHeight="1" x14ac:dyDescent="0.25">
      <c r="C104" s="17">
        <v>98</v>
      </c>
      <c r="D104" s="17" t="s">
        <v>114</v>
      </c>
      <c r="E104" s="83" t="s">
        <v>24</v>
      </c>
      <c r="F104" s="83"/>
      <c r="G104" s="83"/>
      <c r="H104" s="83"/>
      <c r="I104" s="54" t="s">
        <v>242</v>
      </c>
      <c r="J104" s="54" t="s">
        <v>95</v>
      </c>
      <c r="K104" s="54">
        <f>2400+10</f>
        <v>2410</v>
      </c>
      <c r="L104" s="59">
        <v>3</v>
      </c>
      <c r="M104" s="54" t="s">
        <v>107</v>
      </c>
      <c r="N104" s="59">
        <v>1.9</v>
      </c>
      <c r="O104" s="20">
        <v>561349000</v>
      </c>
    </row>
    <row r="105" spans="3:15" ht="40.5" customHeight="1" x14ac:dyDescent="0.25">
      <c r="C105" s="17">
        <v>99</v>
      </c>
      <c r="D105" s="17" t="s">
        <v>115</v>
      </c>
      <c r="E105" s="83" t="s">
        <v>24</v>
      </c>
      <c r="F105" s="83"/>
      <c r="G105" s="83"/>
      <c r="H105" s="83"/>
      <c r="I105" s="54" t="s">
        <v>242</v>
      </c>
      <c r="J105" s="54" t="s">
        <v>99</v>
      </c>
      <c r="K105" s="54">
        <f t="shared" ref="K105:K107" si="1">2400+10</f>
        <v>2410</v>
      </c>
      <c r="L105" s="59">
        <v>3</v>
      </c>
      <c r="M105" s="54" t="s">
        <v>107</v>
      </c>
      <c r="N105" s="59">
        <v>1.9</v>
      </c>
      <c r="O105" s="20">
        <v>561349000</v>
      </c>
    </row>
    <row r="106" spans="3:15" ht="40.5" customHeight="1" x14ac:dyDescent="0.25">
      <c r="C106" s="17">
        <v>100</v>
      </c>
      <c r="D106" s="17" t="s">
        <v>116</v>
      </c>
      <c r="E106" s="83" t="s">
        <v>24</v>
      </c>
      <c r="F106" s="83"/>
      <c r="G106" s="83"/>
      <c r="H106" s="83"/>
      <c r="I106" s="54" t="s">
        <v>242</v>
      </c>
      <c r="J106" s="54" t="s">
        <v>100</v>
      </c>
      <c r="K106" s="54">
        <f t="shared" si="1"/>
        <v>2410</v>
      </c>
      <c r="L106" s="59">
        <v>1.9</v>
      </c>
      <c r="M106" s="54">
        <v>561349000</v>
      </c>
      <c r="N106" s="59">
        <v>3</v>
      </c>
      <c r="O106" s="20" t="s">
        <v>107</v>
      </c>
    </row>
    <row r="107" spans="3:15" ht="40.5" customHeight="1" x14ac:dyDescent="0.25">
      <c r="C107" s="17">
        <v>101</v>
      </c>
      <c r="D107" s="17" t="s">
        <v>117</v>
      </c>
      <c r="E107" s="83" t="s">
        <v>24</v>
      </c>
      <c r="F107" s="83"/>
      <c r="G107" s="83"/>
      <c r="H107" s="83"/>
      <c r="I107" s="54" t="s">
        <v>242</v>
      </c>
      <c r="J107" s="54" t="s">
        <v>101</v>
      </c>
      <c r="K107" s="54">
        <f t="shared" si="1"/>
        <v>2410</v>
      </c>
      <c r="L107" s="59">
        <v>1.9</v>
      </c>
      <c r="M107" s="54">
        <v>561349000</v>
      </c>
      <c r="N107" s="59">
        <v>3</v>
      </c>
      <c r="O107" s="20" t="s">
        <v>107</v>
      </c>
    </row>
    <row r="108" spans="3:15" ht="40.5" customHeight="1" x14ac:dyDescent="0.25">
      <c r="C108" s="17">
        <v>102</v>
      </c>
      <c r="D108" s="17" t="s">
        <v>118</v>
      </c>
      <c r="E108" s="83" t="s">
        <v>24</v>
      </c>
      <c r="F108" s="83"/>
      <c r="G108" s="83"/>
      <c r="H108" s="83"/>
      <c r="I108" s="54" t="s">
        <v>242</v>
      </c>
      <c r="J108" s="54" t="s">
        <v>102</v>
      </c>
      <c r="K108" s="54">
        <v>1810</v>
      </c>
      <c r="L108" s="59">
        <v>1.9</v>
      </c>
      <c r="M108" s="54" t="s">
        <v>36</v>
      </c>
      <c r="N108" s="59">
        <v>3.5</v>
      </c>
      <c r="O108" s="20" t="s">
        <v>89</v>
      </c>
    </row>
    <row r="109" spans="3:15" ht="40.5" customHeight="1" x14ac:dyDescent="0.25">
      <c r="C109" s="17">
        <v>103</v>
      </c>
      <c r="D109" s="17" t="s">
        <v>119</v>
      </c>
      <c r="E109" s="83" t="s">
        <v>24</v>
      </c>
      <c r="F109" s="83"/>
      <c r="G109" s="83"/>
      <c r="H109" s="83"/>
      <c r="I109" s="54" t="s">
        <v>242</v>
      </c>
      <c r="J109" s="54" t="s">
        <v>95</v>
      </c>
      <c r="K109" s="54">
        <v>1810</v>
      </c>
      <c r="L109" s="59">
        <v>1.9</v>
      </c>
      <c r="M109" s="54" t="s">
        <v>36</v>
      </c>
      <c r="N109" s="59">
        <v>3.5</v>
      </c>
      <c r="O109" s="20" t="s">
        <v>89</v>
      </c>
    </row>
    <row r="110" spans="3:15" ht="40.5" customHeight="1" x14ac:dyDescent="0.25">
      <c r="C110" s="17">
        <v>104</v>
      </c>
      <c r="D110" s="17" t="s">
        <v>120</v>
      </c>
      <c r="E110" s="83" t="s">
        <v>24</v>
      </c>
      <c r="F110" s="83"/>
      <c r="G110" s="83"/>
      <c r="H110" s="83"/>
      <c r="I110" s="54" t="s">
        <v>242</v>
      </c>
      <c r="J110" s="54" t="s">
        <v>103</v>
      </c>
      <c r="K110" s="54">
        <v>1810</v>
      </c>
      <c r="L110" s="59">
        <v>1.9</v>
      </c>
      <c r="M110" s="54" t="s">
        <v>36</v>
      </c>
      <c r="N110" s="59">
        <v>3.5</v>
      </c>
      <c r="O110" s="20" t="s">
        <v>89</v>
      </c>
    </row>
    <row r="111" spans="3:15" ht="40.5" customHeight="1" x14ac:dyDescent="0.25">
      <c r="C111" s="17">
        <v>105</v>
      </c>
      <c r="D111" s="17" t="s">
        <v>121</v>
      </c>
      <c r="E111" s="83" t="s">
        <v>24</v>
      </c>
      <c r="F111" s="83"/>
      <c r="G111" s="83"/>
      <c r="H111" s="83"/>
      <c r="I111" s="54" t="s">
        <v>242</v>
      </c>
      <c r="J111" s="54" t="s">
        <v>94</v>
      </c>
      <c r="K111" s="54">
        <v>1810</v>
      </c>
      <c r="L111" s="59">
        <v>1.9</v>
      </c>
      <c r="M111" s="54" t="s">
        <v>36</v>
      </c>
      <c r="N111" s="59">
        <v>3.5</v>
      </c>
      <c r="O111" s="20" t="s">
        <v>89</v>
      </c>
    </row>
    <row r="112" spans="3:15" ht="40.5" customHeight="1" x14ac:dyDescent="0.25">
      <c r="C112" s="17">
        <v>106</v>
      </c>
      <c r="D112" s="17" t="s">
        <v>122</v>
      </c>
      <c r="E112" s="83" t="s">
        <v>24</v>
      </c>
      <c r="F112" s="83"/>
      <c r="G112" s="83"/>
      <c r="H112" s="83"/>
      <c r="I112" s="54" t="s">
        <v>242</v>
      </c>
      <c r="J112" s="54" t="s">
        <v>94</v>
      </c>
      <c r="K112" s="54">
        <f>1060+35</f>
        <v>1095</v>
      </c>
      <c r="L112" s="59">
        <v>3</v>
      </c>
      <c r="M112" s="54" t="s">
        <v>107</v>
      </c>
      <c r="N112" s="63">
        <v>7</v>
      </c>
      <c r="O112" s="20" t="s">
        <v>227</v>
      </c>
    </row>
    <row r="113" spans="3:15" ht="40.5" customHeight="1" x14ac:dyDescent="0.25">
      <c r="C113" s="17">
        <v>107</v>
      </c>
      <c r="D113" s="17" t="s">
        <v>123</v>
      </c>
      <c r="E113" s="83" t="s">
        <v>24</v>
      </c>
      <c r="F113" s="83"/>
      <c r="G113" s="83"/>
      <c r="H113" s="83"/>
      <c r="I113" s="54" t="s">
        <v>242</v>
      </c>
      <c r="J113" s="54" t="s">
        <v>104</v>
      </c>
      <c r="K113" s="54">
        <f>1840+5</f>
        <v>1845</v>
      </c>
      <c r="L113" s="59">
        <v>3</v>
      </c>
      <c r="M113" s="54" t="s">
        <v>107</v>
      </c>
      <c r="N113" s="59">
        <v>1.7</v>
      </c>
      <c r="O113" s="20">
        <v>561349000</v>
      </c>
    </row>
    <row r="114" spans="3:15" ht="40.5" customHeight="1" x14ac:dyDescent="0.25">
      <c r="C114" s="17">
        <v>108</v>
      </c>
      <c r="D114" s="17" t="s">
        <v>124</v>
      </c>
      <c r="E114" s="83" t="s">
        <v>24</v>
      </c>
      <c r="F114" s="83"/>
      <c r="G114" s="83"/>
      <c r="H114" s="83"/>
      <c r="I114" s="54" t="s">
        <v>242</v>
      </c>
      <c r="J114" s="54" t="s">
        <v>97</v>
      </c>
      <c r="K114" s="54">
        <f>1825+25</f>
        <v>1850</v>
      </c>
      <c r="L114" s="59">
        <v>1.9</v>
      </c>
      <c r="M114" s="54">
        <v>561349000</v>
      </c>
      <c r="N114" s="59">
        <v>3</v>
      </c>
      <c r="O114" s="20" t="s">
        <v>107</v>
      </c>
    </row>
    <row r="115" spans="3:15" ht="40.5" customHeight="1" x14ac:dyDescent="0.25">
      <c r="C115" s="17">
        <v>109</v>
      </c>
      <c r="D115" s="17" t="s">
        <v>125</v>
      </c>
      <c r="E115" s="83" t="s">
        <v>24</v>
      </c>
      <c r="F115" s="83"/>
      <c r="G115" s="83"/>
      <c r="H115" s="83"/>
      <c r="I115" s="54" t="s">
        <v>242</v>
      </c>
      <c r="J115" s="54" t="s">
        <v>105</v>
      </c>
      <c r="K115" s="54">
        <f>1650+35</f>
        <v>1685</v>
      </c>
      <c r="L115" s="59">
        <v>3</v>
      </c>
      <c r="M115" s="54" t="s">
        <v>107</v>
      </c>
      <c r="N115" s="59">
        <v>1.9</v>
      </c>
      <c r="O115" s="20" t="s">
        <v>39</v>
      </c>
    </row>
    <row r="116" spans="3:15" ht="40.5" customHeight="1" x14ac:dyDescent="0.25">
      <c r="C116" s="17">
        <v>110</v>
      </c>
      <c r="D116" s="17" t="s">
        <v>126</v>
      </c>
      <c r="E116" s="83" t="s">
        <v>24</v>
      </c>
      <c r="F116" s="83"/>
      <c r="G116" s="83"/>
      <c r="H116" s="83"/>
      <c r="I116" s="54" t="s">
        <v>242</v>
      </c>
      <c r="J116" s="54" t="s">
        <v>106</v>
      </c>
      <c r="K116" s="54">
        <f>1650+35</f>
        <v>1685</v>
      </c>
      <c r="L116" s="59">
        <v>3</v>
      </c>
      <c r="M116" s="62" t="s">
        <v>107</v>
      </c>
      <c r="N116" s="60">
        <v>1.9</v>
      </c>
      <c r="O116" s="20" t="s">
        <v>39</v>
      </c>
    </row>
    <row r="117" spans="3:15" ht="40.5" customHeight="1" x14ac:dyDescent="0.25">
      <c r="C117" s="17">
        <v>111</v>
      </c>
      <c r="D117" s="17" t="s">
        <v>127</v>
      </c>
      <c r="E117" s="83" t="s">
        <v>24</v>
      </c>
      <c r="F117" s="83"/>
      <c r="G117" s="83"/>
      <c r="H117" s="83"/>
      <c r="I117" s="54" t="s">
        <v>242</v>
      </c>
      <c r="J117" s="54" t="s">
        <v>101</v>
      </c>
      <c r="K117" s="54">
        <v>3130</v>
      </c>
      <c r="L117" s="60">
        <v>1.9</v>
      </c>
      <c r="M117" s="62" t="s">
        <v>39</v>
      </c>
      <c r="N117" s="60">
        <v>2.8</v>
      </c>
      <c r="O117" s="20" t="s">
        <v>47</v>
      </c>
    </row>
    <row r="118" spans="3:15" ht="40.5" customHeight="1" x14ac:dyDescent="0.25">
      <c r="C118" s="17">
        <v>112</v>
      </c>
      <c r="D118" s="17" t="s">
        <v>128</v>
      </c>
      <c r="E118" s="83" t="s">
        <v>24</v>
      </c>
      <c r="F118" s="83"/>
      <c r="G118" s="83"/>
      <c r="H118" s="83"/>
      <c r="I118" s="54" t="s">
        <v>242</v>
      </c>
      <c r="J118" s="54" t="s">
        <v>94</v>
      </c>
      <c r="K118" s="54">
        <f>4680+50</f>
        <v>4730</v>
      </c>
      <c r="L118" s="60">
        <v>2.8</v>
      </c>
      <c r="M118" s="62" t="s">
        <v>47</v>
      </c>
      <c r="N118" s="60">
        <v>2.8</v>
      </c>
      <c r="O118" s="20" t="s">
        <v>47</v>
      </c>
    </row>
    <row r="119" spans="3:15" ht="40.5" customHeight="1" x14ac:dyDescent="0.25">
      <c r="C119" s="17">
        <v>113</v>
      </c>
      <c r="D119" s="17" t="s">
        <v>129</v>
      </c>
      <c r="E119" s="83" t="s">
        <v>24</v>
      </c>
      <c r="F119" s="83"/>
      <c r="G119" s="83"/>
      <c r="H119" s="83"/>
      <c r="I119" s="54" t="s">
        <v>242</v>
      </c>
      <c r="J119" s="54" t="s">
        <v>97</v>
      </c>
      <c r="K119" s="54">
        <f>2115+20</f>
        <v>2135</v>
      </c>
      <c r="L119" s="60">
        <v>2.8</v>
      </c>
      <c r="M119" s="62" t="s">
        <v>47</v>
      </c>
      <c r="N119" s="60">
        <v>1.9</v>
      </c>
      <c r="O119" s="20" t="s">
        <v>39</v>
      </c>
    </row>
    <row r="120" spans="3:15" ht="35.450000000000003" customHeight="1" thickBot="1" x14ac:dyDescent="0.3">
      <c r="C120" s="84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6"/>
    </row>
    <row r="121" spans="3:15" ht="31.35" customHeight="1" x14ac:dyDescent="0.25">
      <c r="C121" s="87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9"/>
    </row>
    <row r="122" spans="3:15" ht="9.75" hidden="1" customHeight="1" x14ac:dyDescent="0.25">
      <c r="C122" s="1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"/>
    </row>
    <row r="123" spans="3:15" ht="21" customHeight="1" thickBot="1" x14ac:dyDescent="0.3">
      <c r="C123" s="90" t="s">
        <v>20</v>
      </c>
      <c r="D123" s="91"/>
      <c r="E123" s="91"/>
      <c r="F123" s="91"/>
      <c r="G123" s="91"/>
      <c r="H123" s="91"/>
      <c r="I123" s="8"/>
      <c r="J123" s="91" t="s">
        <v>21</v>
      </c>
      <c r="K123" s="91"/>
      <c r="L123" s="8"/>
      <c r="M123" s="8"/>
      <c r="N123" s="9" t="s">
        <v>22</v>
      </c>
      <c r="O123" s="10"/>
    </row>
    <row r="124" spans="3:15" ht="24" customHeight="1" thickBot="1" x14ac:dyDescent="0.3">
      <c r="C124" s="80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2"/>
    </row>
    <row r="125" spans="3:15" ht="15.75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</sheetData>
  <sheetProtection password="DE0D" sheet="1" objects="1" scenarios="1"/>
  <mergeCells count="142">
    <mergeCell ref="C1:O1"/>
    <mergeCell ref="C2:O2"/>
    <mergeCell ref="C3:H3"/>
    <mergeCell ref="L3:M3"/>
    <mergeCell ref="N3:O3"/>
    <mergeCell ref="C4:H4"/>
    <mergeCell ref="L4:M4"/>
    <mergeCell ref="N4:O4"/>
    <mergeCell ref="E9:H9"/>
    <mergeCell ref="E10:H10"/>
    <mergeCell ref="E11:H11"/>
    <mergeCell ref="E12:H12"/>
    <mergeCell ref="E13:H13"/>
    <mergeCell ref="E14:H14"/>
    <mergeCell ref="C5:H5"/>
    <mergeCell ref="L5:M5"/>
    <mergeCell ref="N5:O5"/>
    <mergeCell ref="E6:H6"/>
    <mergeCell ref="E7:H7"/>
    <mergeCell ref="E8:H8"/>
    <mergeCell ref="E20:H20"/>
    <mergeCell ref="S20:V20"/>
    <mergeCell ref="E21:H21"/>
    <mergeCell ref="S21:V21"/>
    <mergeCell ref="E22:H22"/>
    <mergeCell ref="S22:V22"/>
    <mergeCell ref="E15:H15"/>
    <mergeCell ref="E16:H16"/>
    <mergeCell ref="E17:H17"/>
    <mergeCell ref="E18:H18"/>
    <mergeCell ref="E19:H19"/>
    <mergeCell ref="S19:V19"/>
    <mergeCell ref="E26:H26"/>
    <mergeCell ref="S26:V26"/>
    <mergeCell ref="E27:H27"/>
    <mergeCell ref="S27:V27"/>
    <mergeCell ref="E28:H28"/>
    <mergeCell ref="S28:V28"/>
    <mergeCell ref="E23:H23"/>
    <mergeCell ref="S23:V23"/>
    <mergeCell ref="E24:H24"/>
    <mergeCell ref="S24:V24"/>
    <mergeCell ref="E25:H25"/>
    <mergeCell ref="S25:V25"/>
    <mergeCell ref="E33:H33"/>
    <mergeCell ref="E34:H34"/>
    <mergeCell ref="E35:H35"/>
    <mergeCell ref="E36:H36"/>
    <mergeCell ref="E37:H37"/>
    <mergeCell ref="E38:H38"/>
    <mergeCell ref="E29:H29"/>
    <mergeCell ref="S29:V29"/>
    <mergeCell ref="E30:H30"/>
    <mergeCell ref="S30:V30"/>
    <mergeCell ref="E31:H31"/>
    <mergeCell ref="E32:H32"/>
    <mergeCell ref="E45:H45"/>
    <mergeCell ref="E46:H46"/>
    <mergeCell ref="E47:H47"/>
    <mergeCell ref="E48:H48"/>
    <mergeCell ref="E49:H49"/>
    <mergeCell ref="E50:H50"/>
    <mergeCell ref="E39:H39"/>
    <mergeCell ref="E40:H40"/>
    <mergeCell ref="E41:H41"/>
    <mergeCell ref="E42:H42"/>
    <mergeCell ref="E43:H43"/>
    <mergeCell ref="E44:H44"/>
    <mergeCell ref="E57:H57"/>
    <mergeCell ref="E58:H58"/>
    <mergeCell ref="E59:H59"/>
    <mergeCell ref="E60:H60"/>
    <mergeCell ref="E61:H61"/>
    <mergeCell ref="E62:H62"/>
    <mergeCell ref="E51:H51"/>
    <mergeCell ref="E52:H52"/>
    <mergeCell ref="E53:H53"/>
    <mergeCell ref="E54:H54"/>
    <mergeCell ref="E55:H55"/>
    <mergeCell ref="E56:H56"/>
    <mergeCell ref="E69:H69"/>
    <mergeCell ref="E70:H70"/>
    <mergeCell ref="E71:H71"/>
    <mergeCell ref="E72:H72"/>
    <mergeCell ref="E73:H73"/>
    <mergeCell ref="E74:H74"/>
    <mergeCell ref="E63:H63"/>
    <mergeCell ref="E64:H64"/>
    <mergeCell ref="E65:H65"/>
    <mergeCell ref="E66:H66"/>
    <mergeCell ref="E67:H67"/>
    <mergeCell ref="E68:H68"/>
    <mergeCell ref="E81:H81"/>
    <mergeCell ref="E82:H82"/>
    <mergeCell ref="E83:H83"/>
    <mergeCell ref="E84:H84"/>
    <mergeCell ref="E85:H85"/>
    <mergeCell ref="E86:H86"/>
    <mergeCell ref="E75:H75"/>
    <mergeCell ref="E76:H76"/>
    <mergeCell ref="E77:H77"/>
    <mergeCell ref="E78:H78"/>
    <mergeCell ref="E79:H79"/>
    <mergeCell ref="E80:H80"/>
    <mergeCell ref="E93:H93"/>
    <mergeCell ref="E94:H94"/>
    <mergeCell ref="E95:H95"/>
    <mergeCell ref="E96:H96"/>
    <mergeCell ref="E97:H97"/>
    <mergeCell ref="E98:H98"/>
    <mergeCell ref="E87:H87"/>
    <mergeCell ref="E88:H88"/>
    <mergeCell ref="E89:H89"/>
    <mergeCell ref="E90:H90"/>
    <mergeCell ref="E91:H91"/>
    <mergeCell ref="E92:H92"/>
    <mergeCell ref="E105:H105"/>
    <mergeCell ref="E106:H106"/>
    <mergeCell ref="E107:H107"/>
    <mergeCell ref="E108:H108"/>
    <mergeCell ref="E109:H109"/>
    <mergeCell ref="E110:H110"/>
    <mergeCell ref="E99:H99"/>
    <mergeCell ref="E100:H100"/>
    <mergeCell ref="E101:H101"/>
    <mergeCell ref="E102:H102"/>
    <mergeCell ref="E103:H103"/>
    <mergeCell ref="E104:H104"/>
    <mergeCell ref="C124:O124"/>
    <mergeCell ref="E117:H117"/>
    <mergeCell ref="E118:H118"/>
    <mergeCell ref="E119:H119"/>
    <mergeCell ref="C120:O120"/>
    <mergeCell ref="C121:O121"/>
    <mergeCell ref="C123:H123"/>
    <mergeCell ref="J123:K123"/>
    <mergeCell ref="E111:H111"/>
    <mergeCell ref="E112:H112"/>
    <mergeCell ref="E113:H113"/>
    <mergeCell ref="E114:H114"/>
    <mergeCell ref="E115:H115"/>
    <mergeCell ref="E116:H116"/>
  </mergeCells>
  <printOptions horizontalCentered="1" verticalCentered="1"/>
  <pageMargins left="0" right="0" top="0" bottom="0" header="0" footer="0"/>
  <pageSetup scale="40" orientation="landscape" r:id="rId1"/>
  <rowBreaks count="3" manualBreakCount="3">
    <brk id="36" max="14" man="1"/>
    <brk id="66" max="14" man="1"/>
    <brk id="96" max="14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AF125"/>
  <sheetViews>
    <sheetView view="pageBreakPreview" topLeftCell="C103" zoomScale="60" zoomScaleNormal="60" workbookViewId="0">
      <selection activeCell="K16" sqref="K16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5.140625" customWidth="1"/>
    <col min="9" max="9" width="50" customWidth="1"/>
    <col min="10" max="10" width="39.5703125" customWidth="1"/>
    <col min="11" max="11" width="34.85546875" customWidth="1"/>
    <col min="12" max="12" width="26.5703125" customWidth="1"/>
    <col min="13" max="13" width="34.28515625" customWidth="1"/>
    <col min="14" max="14" width="18.140625" customWidth="1"/>
    <col min="15" max="15" width="45.7109375" customWidth="1"/>
    <col min="16" max="16" width="6.85546875" customWidth="1"/>
    <col min="18" max="18" width="13" customWidth="1"/>
    <col min="23" max="23" width="30.5703125" customWidth="1"/>
    <col min="24" max="24" width="18.42578125" customWidth="1"/>
    <col min="25" max="25" width="18" customWidth="1"/>
    <col min="26" max="26" width="14.5703125" customWidth="1"/>
    <col min="27" max="27" width="23.5703125" customWidth="1"/>
    <col min="28" max="28" width="16.28515625" customWidth="1"/>
    <col min="29" max="29" width="21.7109375" customWidth="1"/>
  </cols>
  <sheetData>
    <row r="1" spans="3:15" ht="50.25" customHeight="1" x14ac:dyDescent="0.25">
      <c r="C1" s="101" t="s">
        <v>0</v>
      </c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3"/>
    </row>
    <row r="2" spans="3:15" ht="28.35" customHeight="1" x14ac:dyDescent="0.25">
      <c r="C2" s="104" t="s">
        <v>1</v>
      </c>
      <c r="D2" s="105"/>
      <c r="E2" s="105"/>
      <c r="F2" s="105"/>
      <c r="G2" s="105"/>
      <c r="H2" s="106"/>
      <c r="I2" s="106"/>
      <c r="J2" s="106"/>
      <c r="K2" s="106"/>
      <c r="L2" s="106"/>
      <c r="M2" s="106"/>
      <c r="N2" s="106"/>
      <c r="O2" s="107"/>
    </row>
    <row r="3" spans="3:15" ht="15.95" customHeight="1" x14ac:dyDescent="0.25">
      <c r="C3" s="108" t="s">
        <v>2</v>
      </c>
      <c r="D3" s="109"/>
      <c r="E3" s="109"/>
      <c r="F3" s="109"/>
      <c r="G3" s="109"/>
      <c r="H3" s="94"/>
      <c r="I3" s="31" t="s">
        <v>218</v>
      </c>
      <c r="J3" s="11" t="s">
        <v>228</v>
      </c>
      <c r="K3" s="30" t="s">
        <v>253</v>
      </c>
      <c r="L3" s="110" t="s">
        <v>229</v>
      </c>
      <c r="M3" s="94"/>
      <c r="N3" s="110" t="s">
        <v>230</v>
      </c>
      <c r="O3" s="111"/>
    </row>
    <row r="4" spans="3:15" ht="21" customHeight="1" x14ac:dyDescent="0.25">
      <c r="C4" s="112" t="s">
        <v>3</v>
      </c>
      <c r="D4" s="113"/>
      <c r="E4" s="113"/>
      <c r="F4" s="113"/>
      <c r="G4" s="113"/>
      <c r="H4" s="114"/>
      <c r="I4" s="30" t="s">
        <v>4</v>
      </c>
      <c r="J4" s="13" t="s">
        <v>231</v>
      </c>
      <c r="K4" s="30">
        <v>1</v>
      </c>
      <c r="L4" s="115" t="s">
        <v>232</v>
      </c>
      <c r="M4" s="113"/>
      <c r="N4" s="114" t="s">
        <v>241</v>
      </c>
      <c r="O4" s="116"/>
    </row>
    <row r="5" spans="3:15" ht="21" customHeight="1" x14ac:dyDescent="0.25">
      <c r="C5" s="93" t="s">
        <v>5</v>
      </c>
      <c r="D5" s="94"/>
      <c r="E5" s="94"/>
      <c r="F5" s="94"/>
      <c r="G5" s="94"/>
      <c r="H5" s="95"/>
      <c r="I5" s="31" t="s">
        <v>23</v>
      </c>
      <c r="J5" s="13" t="s">
        <v>233</v>
      </c>
      <c r="K5" s="53">
        <v>45852</v>
      </c>
      <c r="L5" s="96" t="s">
        <v>6</v>
      </c>
      <c r="M5" s="97"/>
      <c r="N5" s="98" t="s">
        <v>7</v>
      </c>
      <c r="O5" s="99"/>
    </row>
    <row r="6" spans="3:15" ht="56.25" customHeight="1" x14ac:dyDescent="0.25">
      <c r="C6" s="6" t="s">
        <v>236</v>
      </c>
      <c r="D6" s="6" t="s">
        <v>8</v>
      </c>
      <c r="E6" s="100" t="s">
        <v>9</v>
      </c>
      <c r="F6" s="100"/>
      <c r="G6" s="100"/>
      <c r="H6" s="100"/>
      <c r="I6" s="5" t="s">
        <v>10</v>
      </c>
      <c r="J6" s="32" t="s">
        <v>11</v>
      </c>
      <c r="K6" s="32" t="s">
        <v>12</v>
      </c>
      <c r="L6" s="5" t="s">
        <v>13</v>
      </c>
      <c r="M6" s="5" t="s">
        <v>14</v>
      </c>
      <c r="N6" s="5" t="s">
        <v>13</v>
      </c>
      <c r="O6" s="7" t="s">
        <v>14</v>
      </c>
    </row>
    <row r="7" spans="3:15" ht="40.5" customHeight="1" x14ac:dyDescent="0.25">
      <c r="C7" s="17">
        <v>1</v>
      </c>
      <c r="D7" s="17" t="s">
        <v>130</v>
      </c>
      <c r="E7" s="83" t="s">
        <v>31</v>
      </c>
      <c r="F7" s="83"/>
      <c r="G7" s="83"/>
      <c r="H7" s="83"/>
      <c r="I7" s="29" t="s">
        <v>234</v>
      </c>
      <c r="J7" s="29" t="s">
        <v>32</v>
      </c>
      <c r="K7" s="24">
        <v>980</v>
      </c>
      <c r="L7" s="16">
        <v>4.8</v>
      </c>
      <c r="M7" s="29" t="s">
        <v>246</v>
      </c>
      <c r="N7" s="36">
        <v>8.5</v>
      </c>
      <c r="O7" s="20" t="s">
        <v>37</v>
      </c>
    </row>
    <row r="8" spans="3:15" ht="40.5" customHeight="1" x14ac:dyDescent="0.25">
      <c r="C8" s="17">
        <v>2</v>
      </c>
      <c r="D8" s="17" t="s">
        <v>131</v>
      </c>
      <c r="E8" s="83" t="s">
        <v>31</v>
      </c>
      <c r="F8" s="83"/>
      <c r="G8" s="83"/>
      <c r="H8" s="83"/>
      <c r="I8" s="29" t="s">
        <v>234</v>
      </c>
      <c r="J8" s="29" t="s">
        <v>33</v>
      </c>
      <c r="K8" s="24">
        <v>1200</v>
      </c>
      <c r="L8" s="35">
        <v>10</v>
      </c>
      <c r="M8" s="20" t="s">
        <v>265</v>
      </c>
      <c r="N8" s="19">
        <v>4.8</v>
      </c>
      <c r="O8" s="21" t="s">
        <v>246</v>
      </c>
    </row>
    <row r="9" spans="3:15" ht="40.5" customHeight="1" x14ac:dyDescent="0.25">
      <c r="C9" s="17">
        <v>3</v>
      </c>
      <c r="D9" s="17" t="s">
        <v>132</v>
      </c>
      <c r="E9" s="83" t="s">
        <v>34</v>
      </c>
      <c r="F9" s="83"/>
      <c r="G9" s="83"/>
      <c r="H9" s="83"/>
      <c r="I9" s="29" t="s">
        <v>235</v>
      </c>
      <c r="J9" s="29" t="s">
        <v>29</v>
      </c>
      <c r="K9" s="29">
        <f>2615+15</f>
        <v>2630</v>
      </c>
      <c r="L9" s="19">
        <v>3.5</v>
      </c>
      <c r="M9" s="29" t="s">
        <v>35</v>
      </c>
      <c r="N9" s="19">
        <v>3</v>
      </c>
      <c r="O9" s="21">
        <v>39000040</v>
      </c>
    </row>
    <row r="10" spans="3:15" ht="40.5" customHeight="1" x14ac:dyDescent="0.25">
      <c r="C10" s="17">
        <v>4</v>
      </c>
      <c r="D10" s="17" t="s">
        <v>133</v>
      </c>
      <c r="E10" s="83" t="s">
        <v>31</v>
      </c>
      <c r="F10" s="83"/>
      <c r="G10" s="83"/>
      <c r="H10" s="83"/>
      <c r="I10" s="29" t="s">
        <v>234</v>
      </c>
      <c r="J10" s="29" t="s">
        <v>32</v>
      </c>
      <c r="K10" s="29">
        <v>625</v>
      </c>
      <c r="L10" s="19">
        <v>3</v>
      </c>
      <c r="M10" s="21">
        <v>39000040</v>
      </c>
      <c r="N10" s="36">
        <v>8.5</v>
      </c>
      <c r="O10" s="20" t="s">
        <v>220</v>
      </c>
    </row>
    <row r="11" spans="3:15" ht="40.5" customHeight="1" x14ac:dyDescent="0.25">
      <c r="C11" s="17">
        <v>5</v>
      </c>
      <c r="D11" s="17" t="s">
        <v>134</v>
      </c>
      <c r="E11" s="83" t="s">
        <v>24</v>
      </c>
      <c r="F11" s="83"/>
      <c r="G11" s="83"/>
      <c r="H11" s="83"/>
      <c r="I11" s="29" t="s">
        <v>242</v>
      </c>
      <c r="J11" s="29" t="s">
        <v>15</v>
      </c>
      <c r="K11" s="29">
        <v>1610</v>
      </c>
      <c r="L11" s="19">
        <v>2</v>
      </c>
      <c r="M11" s="29" t="s">
        <v>36</v>
      </c>
      <c r="N11" s="37">
        <v>6</v>
      </c>
      <c r="O11" s="20" t="s">
        <v>221</v>
      </c>
    </row>
    <row r="12" spans="3:15" ht="40.5" customHeight="1" x14ac:dyDescent="0.25">
      <c r="C12" s="17">
        <v>6</v>
      </c>
      <c r="D12" s="17" t="s">
        <v>135</v>
      </c>
      <c r="E12" s="83" t="s">
        <v>24</v>
      </c>
      <c r="F12" s="83"/>
      <c r="G12" s="83"/>
      <c r="H12" s="83"/>
      <c r="I12" s="29" t="s">
        <v>242</v>
      </c>
      <c r="J12" s="29" t="s">
        <v>33</v>
      </c>
      <c r="K12" s="29">
        <v>650</v>
      </c>
      <c r="L12" s="19">
        <v>3</v>
      </c>
      <c r="M12" s="29">
        <v>39000048</v>
      </c>
      <c r="N12" s="37">
        <v>6</v>
      </c>
      <c r="O12" s="20" t="s">
        <v>222</v>
      </c>
    </row>
    <row r="13" spans="3:15" ht="40.5" customHeight="1" x14ac:dyDescent="0.25">
      <c r="C13" s="17">
        <v>7</v>
      </c>
      <c r="D13" s="17" t="s">
        <v>136</v>
      </c>
      <c r="E13" s="83" t="s">
        <v>24</v>
      </c>
      <c r="F13" s="83"/>
      <c r="G13" s="83"/>
      <c r="H13" s="83"/>
      <c r="I13" s="29" t="s">
        <v>242</v>
      </c>
      <c r="J13" s="29" t="s">
        <v>15</v>
      </c>
      <c r="K13" s="29">
        <f>1400+10</f>
        <v>1410</v>
      </c>
      <c r="L13" s="19">
        <v>1.8</v>
      </c>
      <c r="M13" s="29" t="s">
        <v>39</v>
      </c>
      <c r="N13" s="19">
        <v>3</v>
      </c>
      <c r="O13" s="21">
        <v>39000048</v>
      </c>
    </row>
    <row r="14" spans="3:15" ht="40.5" customHeight="1" x14ac:dyDescent="0.25">
      <c r="C14" s="17">
        <v>8</v>
      </c>
      <c r="D14" s="17" t="s">
        <v>137</v>
      </c>
      <c r="E14" s="83" t="s">
        <v>24</v>
      </c>
      <c r="F14" s="83"/>
      <c r="G14" s="83"/>
      <c r="H14" s="83"/>
      <c r="I14" s="29" t="s">
        <v>242</v>
      </c>
      <c r="J14" s="29" t="s">
        <v>17</v>
      </c>
      <c r="K14" s="29">
        <f>1400+10</f>
        <v>1410</v>
      </c>
      <c r="L14" s="19">
        <v>3</v>
      </c>
      <c r="M14" s="29">
        <v>39000048</v>
      </c>
      <c r="N14" s="19">
        <v>2</v>
      </c>
      <c r="O14" s="20" t="s">
        <v>39</v>
      </c>
    </row>
    <row r="15" spans="3:15" ht="40.5" customHeight="1" x14ac:dyDescent="0.25">
      <c r="C15" s="17">
        <v>9</v>
      </c>
      <c r="D15" s="17" t="s">
        <v>138</v>
      </c>
      <c r="E15" s="83" t="s">
        <v>34</v>
      </c>
      <c r="F15" s="83"/>
      <c r="G15" s="83"/>
      <c r="H15" s="83"/>
      <c r="I15" s="29" t="s">
        <v>235</v>
      </c>
      <c r="J15" s="29" t="s">
        <v>16</v>
      </c>
      <c r="K15" s="29">
        <v>1230</v>
      </c>
      <c r="L15" s="19">
        <v>3.5</v>
      </c>
      <c r="M15" s="29" t="s">
        <v>35</v>
      </c>
      <c r="N15" s="37">
        <v>6</v>
      </c>
      <c r="O15" s="20" t="s">
        <v>40</v>
      </c>
    </row>
    <row r="16" spans="3:15" ht="40.5" customHeight="1" x14ac:dyDescent="0.25">
      <c r="C16" s="17">
        <v>10</v>
      </c>
      <c r="D16" s="17" t="s">
        <v>237</v>
      </c>
      <c r="E16" s="83" t="s">
        <v>24</v>
      </c>
      <c r="F16" s="83"/>
      <c r="G16" s="83"/>
      <c r="H16" s="83"/>
      <c r="I16" s="29" t="s">
        <v>242</v>
      </c>
      <c r="J16" s="29" t="s">
        <v>17</v>
      </c>
      <c r="K16" s="29">
        <f>2220-140</f>
        <v>2080</v>
      </c>
      <c r="L16" s="19">
        <v>1.8</v>
      </c>
      <c r="M16" s="29" t="s">
        <v>39</v>
      </c>
      <c r="N16" s="19">
        <v>3.5</v>
      </c>
      <c r="O16" s="21" t="s">
        <v>238</v>
      </c>
    </row>
    <row r="17" spans="3:32" ht="40.5" customHeight="1" x14ac:dyDescent="0.25">
      <c r="C17" s="17">
        <v>11</v>
      </c>
      <c r="D17" s="17" t="s">
        <v>139</v>
      </c>
      <c r="E17" s="83" t="s">
        <v>24</v>
      </c>
      <c r="F17" s="83"/>
      <c r="G17" s="83"/>
      <c r="H17" s="83"/>
      <c r="I17" s="29" t="s">
        <v>242</v>
      </c>
      <c r="J17" s="29" t="s">
        <v>27</v>
      </c>
      <c r="K17" s="29">
        <f>1320+5</f>
        <v>1325</v>
      </c>
      <c r="L17" s="19">
        <v>3</v>
      </c>
      <c r="M17" s="29">
        <v>39000048</v>
      </c>
      <c r="N17" s="19">
        <v>1.9</v>
      </c>
      <c r="O17" s="21">
        <v>561349000</v>
      </c>
    </row>
    <row r="18" spans="3:32" ht="40.5" customHeight="1" x14ac:dyDescent="0.25">
      <c r="C18" s="17">
        <v>12</v>
      </c>
      <c r="D18" s="17" t="s">
        <v>140</v>
      </c>
      <c r="E18" s="83" t="s">
        <v>31</v>
      </c>
      <c r="F18" s="83"/>
      <c r="G18" s="83"/>
      <c r="H18" s="83"/>
      <c r="I18" s="29" t="s">
        <v>234</v>
      </c>
      <c r="J18" s="29" t="s">
        <v>32</v>
      </c>
      <c r="K18" s="24">
        <v>950</v>
      </c>
      <c r="L18" s="19">
        <v>3.5</v>
      </c>
      <c r="M18" s="29" t="s">
        <v>41</v>
      </c>
      <c r="N18" s="36">
        <v>8.5</v>
      </c>
      <c r="O18" s="2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3:32" ht="40.5" customHeight="1" x14ac:dyDescent="0.25">
      <c r="C19" s="17">
        <v>13</v>
      </c>
      <c r="D19" s="17" t="s">
        <v>141</v>
      </c>
      <c r="E19" s="83" t="s">
        <v>24</v>
      </c>
      <c r="F19" s="83"/>
      <c r="G19" s="83"/>
      <c r="H19" s="83"/>
      <c r="I19" s="29" t="s">
        <v>242</v>
      </c>
      <c r="J19" s="29" t="s">
        <v>26</v>
      </c>
      <c r="K19" s="29">
        <f>1230-20</f>
        <v>1210</v>
      </c>
      <c r="L19" s="19">
        <v>1.8</v>
      </c>
      <c r="M19" s="21">
        <v>561349000</v>
      </c>
      <c r="N19" s="19">
        <v>3</v>
      </c>
      <c r="O19" s="21">
        <v>39000048</v>
      </c>
      <c r="Q19" s="25"/>
      <c r="R19" s="33"/>
      <c r="S19" s="92"/>
      <c r="T19" s="92"/>
      <c r="U19" s="92"/>
      <c r="V19" s="92"/>
      <c r="W19" s="33"/>
      <c r="X19" s="33"/>
      <c r="Y19" s="33"/>
      <c r="Z19" s="27"/>
      <c r="AA19" s="33"/>
      <c r="AB19" s="27"/>
      <c r="AC19" s="33"/>
      <c r="AD19" s="25"/>
      <c r="AE19" s="25"/>
      <c r="AF19" s="25"/>
    </row>
    <row r="20" spans="3:32" ht="40.5" customHeight="1" x14ac:dyDescent="0.25">
      <c r="C20" s="17">
        <v>14</v>
      </c>
      <c r="D20" s="17" t="s">
        <v>142</v>
      </c>
      <c r="E20" s="83" t="s">
        <v>24</v>
      </c>
      <c r="F20" s="83"/>
      <c r="G20" s="83"/>
      <c r="H20" s="83"/>
      <c r="I20" s="29" t="s">
        <v>242</v>
      </c>
      <c r="J20" s="29" t="s">
        <v>29</v>
      </c>
      <c r="K20" s="29">
        <f>1060+20</f>
        <v>1080</v>
      </c>
      <c r="L20" s="19">
        <v>2</v>
      </c>
      <c r="M20" s="29" t="s">
        <v>36</v>
      </c>
      <c r="N20" s="19">
        <v>3</v>
      </c>
      <c r="O20" s="21">
        <v>39000048</v>
      </c>
      <c r="Q20" s="25"/>
      <c r="R20" s="33"/>
      <c r="S20" s="92"/>
      <c r="T20" s="92"/>
      <c r="U20" s="92"/>
      <c r="V20" s="92"/>
      <c r="W20" s="33"/>
      <c r="X20" s="33"/>
      <c r="Y20" s="33"/>
      <c r="Z20" s="27"/>
      <c r="AA20" s="33"/>
      <c r="AB20" s="27"/>
      <c r="AC20" s="33"/>
      <c r="AD20" s="25"/>
      <c r="AE20" s="25"/>
      <c r="AF20" s="25"/>
    </row>
    <row r="21" spans="3:32" ht="40.5" customHeight="1" x14ac:dyDescent="0.25">
      <c r="C21" s="17">
        <v>15</v>
      </c>
      <c r="D21" s="17" t="s">
        <v>143</v>
      </c>
      <c r="E21" s="83" t="s">
        <v>34</v>
      </c>
      <c r="F21" s="83"/>
      <c r="G21" s="83"/>
      <c r="H21" s="83"/>
      <c r="I21" s="29" t="s">
        <v>235</v>
      </c>
      <c r="J21" s="29" t="s">
        <v>28</v>
      </c>
      <c r="K21" s="29">
        <f>2590+10</f>
        <v>2600</v>
      </c>
      <c r="L21" s="19">
        <v>3.5</v>
      </c>
      <c r="M21" s="29" t="s">
        <v>35</v>
      </c>
      <c r="N21" s="19">
        <v>3</v>
      </c>
      <c r="O21" s="21">
        <v>39000040</v>
      </c>
      <c r="Q21" s="25"/>
      <c r="R21" s="33"/>
      <c r="S21" s="92"/>
      <c r="T21" s="92"/>
      <c r="U21" s="92"/>
      <c r="V21" s="92"/>
      <c r="W21" s="33"/>
      <c r="X21" s="33"/>
      <c r="Y21" s="33"/>
      <c r="Z21" s="27"/>
      <c r="AA21" s="33"/>
      <c r="AB21" s="27"/>
      <c r="AC21" s="28"/>
      <c r="AD21" s="25"/>
      <c r="AE21" s="25"/>
      <c r="AF21" s="25"/>
    </row>
    <row r="22" spans="3:32" ht="40.5" customHeight="1" x14ac:dyDescent="0.25">
      <c r="C22" s="17">
        <v>16</v>
      </c>
      <c r="D22" s="17" t="s">
        <v>144</v>
      </c>
      <c r="E22" s="83" t="s">
        <v>24</v>
      </c>
      <c r="F22" s="83"/>
      <c r="G22" s="83"/>
      <c r="H22" s="83"/>
      <c r="I22" s="29" t="s">
        <v>242</v>
      </c>
      <c r="J22" s="29" t="s">
        <v>43</v>
      </c>
      <c r="K22" s="29">
        <v>1400</v>
      </c>
      <c r="L22" s="19">
        <v>1.8</v>
      </c>
      <c r="M22" s="29" t="s">
        <v>39</v>
      </c>
      <c r="N22" s="19">
        <v>3</v>
      </c>
      <c r="O22" s="21">
        <v>39000048</v>
      </c>
      <c r="Q22" s="25"/>
      <c r="R22" s="33"/>
      <c r="S22" s="92"/>
      <c r="T22" s="92"/>
      <c r="U22" s="92"/>
      <c r="V22" s="92"/>
      <c r="W22" s="33"/>
      <c r="X22" s="33"/>
      <c r="Y22" s="33"/>
      <c r="Z22" s="27"/>
      <c r="AA22" s="33"/>
      <c r="AB22" s="27"/>
      <c r="AC22" s="28"/>
      <c r="AD22" s="25"/>
      <c r="AE22" s="25"/>
      <c r="AF22" s="25"/>
    </row>
    <row r="23" spans="3:32" ht="40.5" customHeight="1" x14ac:dyDescent="0.25">
      <c r="C23" s="17">
        <v>17</v>
      </c>
      <c r="D23" s="17" t="s">
        <v>145</v>
      </c>
      <c r="E23" s="83" t="s">
        <v>31</v>
      </c>
      <c r="F23" s="83"/>
      <c r="G23" s="83"/>
      <c r="H23" s="83"/>
      <c r="I23" s="29" t="s">
        <v>234</v>
      </c>
      <c r="J23" s="29" t="s">
        <v>19</v>
      </c>
      <c r="K23" s="29">
        <v>1120</v>
      </c>
      <c r="L23" s="19">
        <v>3.8</v>
      </c>
      <c r="M23" s="29" t="s">
        <v>41</v>
      </c>
      <c r="N23" s="19">
        <v>5</v>
      </c>
      <c r="O23" s="20" t="s">
        <v>44</v>
      </c>
      <c r="Q23" s="25"/>
      <c r="R23" s="33"/>
      <c r="S23" s="92"/>
      <c r="T23" s="92"/>
      <c r="U23" s="92"/>
      <c r="V23" s="92"/>
      <c r="W23" s="33"/>
      <c r="X23" s="33"/>
      <c r="Y23" s="33"/>
      <c r="Z23" s="27"/>
      <c r="AA23" s="33"/>
      <c r="AB23" s="27"/>
      <c r="AC23" s="28"/>
      <c r="AD23" s="25"/>
      <c r="AE23" s="25"/>
      <c r="AF23" s="25"/>
    </row>
    <row r="24" spans="3:32" ht="40.5" customHeight="1" x14ac:dyDescent="0.25">
      <c r="C24" s="17">
        <v>18</v>
      </c>
      <c r="D24" s="17" t="s">
        <v>146</v>
      </c>
      <c r="E24" s="83" t="s">
        <v>24</v>
      </c>
      <c r="F24" s="83"/>
      <c r="G24" s="83"/>
      <c r="H24" s="83"/>
      <c r="I24" s="29" t="s">
        <v>242</v>
      </c>
      <c r="J24" s="29" t="s">
        <v>45</v>
      </c>
      <c r="K24" s="29">
        <f>660+5</f>
        <v>665</v>
      </c>
      <c r="L24" s="37">
        <v>6</v>
      </c>
      <c r="M24" s="22" t="s">
        <v>223</v>
      </c>
      <c r="N24" s="19">
        <v>3</v>
      </c>
      <c r="O24" s="21">
        <v>39000048</v>
      </c>
      <c r="Q24" s="25"/>
      <c r="R24" s="33"/>
      <c r="S24" s="92"/>
      <c r="T24" s="92"/>
      <c r="U24" s="92"/>
      <c r="V24" s="92"/>
      <c r="W24" s="33"/>
      <c r="X24" s="33"/>
      <c r="Y24" s="33"/>
      <c r="Z24" s="27"/>
      <c r="AA24" s="33"/>
      <c r="AB24" s="27"/>
      <c r="AC24" s="28"/>
      <c r="AD24" s="25"/>
      <c r="AE24" s="25"/>
      <c r="AF24" s="25"/>
    </row>
    <row r="25" spans="3:32" ht="40.5" customHeight="1" x14ac:dyDescent="0.25">
      <c r="C25" s="17">
        <v>19</v>
      </c>
      <c r="D25" s="17" t="s">
        <v>147</v>
      </c>
      <c r="E25" s="83" t="s">
        <v>24</v>
      </c>
      <c r="F25" s="83"/>
      <c r="G25" s="83"/>
      <c r="H25" s="83"/>
      <c r="I25" s="29" t="s">
        <v>242</v>
      </c>
      <c r="J25" s="29" t="s">
        <v>30</v>
      </c>
      <c r="K25" s="29">
        <f>1320-15</f>
        <v>1305</v>
      </c>
      <c r="L25" s="19">
        <v>3</v>
      </c>
      <c r="M25" s="29" t="s">
        <v>47</v>
      </c>
      <c r="N25" s="19">
        <v>1.9</v>
      </c>
      <c r="O25" s="21" t="s">
        <v>39</v>
      </c>
      <c r="Q25" s="25"/>
      <c r="R25" s="33"/>
      <c r="S25" s="92"/>
      <c r="T25" s="92"/>
      <c r="U25" s="92"/>
      <c r="V25" s="92"/>
      <c r="W25" s="33"/>
      <c r="X25" s="33"/>
      <c r="Y25" s="33"/>
      <c r="Z25" s="27"/>
      <c r="AA25" s="33"/>
      <c r="AB25" s="27"/>
      <c r="AC25" s="33"/>
      <c r="AD25" s="25"/>
      <c r="AE25" s="25"/>
      <c r="AF25" s="25"/>
    </row>
    <row r="26" spans="3:32" ht="40.5" customHeight="1" x14ac:dyDescent="0.25">
      <c r="C26" s="17">
        <v>20</v>
      </c>
      <c r="D26" s="17" t="s">
        <v>148</v>
      </c>
      <c r="E26" s="83" t="s">
        <v>24</v>
      </c>
      <c r="F26" s="83"/>
      <c r="G26" s="83"/>
      <c r="H26" s="83"/>
      <c r="I26" s="29" t="s">
        <v>242</v>
      </c>
      <c r="J26" s="29" t="s">
        <v>46</v>
      </c>
      <c r="K26" s="29">
        <v>1305</v>
      </c>
      <c r="L26" s="19">
        <v>3</v>
      </c>
      <c r="M26" s="29" t="s">
        <v>47</v>
      </c>
      <c r="N26" s="19">
        <v>1.9</v>
      </c>
      <c r="O26" s="21" t="s">
        <v>39</v>
      </c>
      <c r="Q26" s="25"/>
      <c r="R26" s="33"/>
      <c r="S26" s="92"/>
      <c r="T26" s="92"/>
      <c r="U26" s="92"/>
      <c r="V26" s="92"/>
      <c r="W26" s="33"/>
      <c r="X26" s="33"/>
      <c r="Y26" s="33"/>
      <c r="Z26" s="27"/>
      <c r="AA26" s="33"/>
      <c r="AB26" s="27"/>
      <c r="AC26" s="33"/>
      <c r="AD26" s="25"/>
      <c r="AE26" s="25"/>
      <c r="AF26" s="25"/>
    </row>
    <row r="27" spans="3:32" ht="40.5" customHeight="1" x14ac:dyDescent="0.25">
      <c r="C27" s="17">
        <v>21</v>
      </c>
      <c r="D27" s="17" t="s">
        <v>149</v>
      </c>
      <c r="E27" s="83" t="s">
        <v>34</v>
      </c>
      <c r="F27" s="83"/>
      <c r="G27" s="83"/>
      <c r="H27" s="83"/>
      <c r="I27" s="29" t="s">
        <v>235</v>
      </c>
      <c r="J27" s="29" t="s">
        <v>18</v>
      </c>
      <c r="K27" s="29">
        <v>1235</v>
      </c>
      <c r="L27" s="19">
        <v>3.5</v>
      </c>
      <c r="M27" s="29" t="s">
        <v>35</v>
      </c>
      <c r="N27" s="37">
        <v>6</v>
      </c>
      <c r="O27" s="20" t="s">
        <v>224</v>
      </c>
      <c r="Q27" s="25"/>
      <c r="R27" s="33"/>
      <c r="S27" s="92"/>
      <c r="T27" s="92"/>
      <c r="U27" s="92"/>
      <c r="V27" s="92"/>
      <c r="W27" s="33"/>
      <c r="X27" s="33"/>
      <c r="Y27" s="33"/>
      <c r="Z27" s="27"/>
      <c r="AA27" s="33"/>
      <c r="AB27" s="27"/>
      <c r="AC27" s="28"/>
      <c r="AD27" s="25"/>
      <c r="AE27" s="25"/>
      <c r="AF27" s="25"/>
    </row>
    <row r="28" spans="3:32" ht="40.5" customHeight="1" x14ac:dyDescent="0.25">
      <c r="C28" s="17">
        <v>22</v>
      </c>
      <c r="D28" s="17" t="s">
        <v>150</v>
      </c>
      <c r="E28" s="83" t="s">
        <v>31</v>
      </c>
      <c r="F28" s="83"/>
      <c r="G28" s="83"/>
      <c r="H28" s="83"/>
      <c r="I28" s="29" t="s">
        <v>234</v>
      </c>
      <c r="J28" s="29" t="s">
        <v>48</v>
      </c>
      <c r="K28" s="29">
        <f>1280-300</f>
        <v>980</v>
      </c>
      <c r="L28" s="19">
        <v>3</v>
      </c>
      <c r="M28" s="29">
        <v>39000040</v>
      </c>
      <c r="N28" s="35">
        <v>10</v>
      </c>
      <c r="O28" s="20" t="s">
        <v>49</v>
      </c>
      <c r="Q28" s="25"/>
      <c r="R28" s="33"/>
      <c r="S28" s="92"/>
      <c r="T28" s="92"/>
      <c r="U28" s="92"/>
      <c r="V28" s="92"/>
      <c r="W28" s="33"/>
      <c r="X28" s="33"/>
      <c r="Y28" s="33"/>
      <c r="Z28" s="27"/>
      <c r="AA28" s="33"/>
      <c r="AB28" s="27"/>
      <c r="AC28" s="28"/>
      <c r="AD28" s="25"/>
      <c r="AE28" s="25"/>
      <c r="AF28" s="25"/>
    </row>
    <row r="29" spans="3:32" ht="40.5" customHeight="1" x14ac:dyDescent="0.25">
      <c r="C29" s="17">
        <v>23</v>
      </c>
      <c r="D29" s="17" t="s">
        <v>151</v>
      </c>
      <c r="E29" s="83" t="s">
        <v>24</v>
      </c>
      <c r="F29" s="83"/>
      <c r="G29" s="83"/>
      <c r="H29" s="83"/>
      <c r="I29" s="29" t="s">
        <v>242</v>
      </c>
      <c r="J29" s="29" t="s">
        <v>43</v>
      </c>
      <c r="K29" s="29">
        <f>220+15</f>
        <v>235</v>
      </c>
      <c r="L29" s="19">
        <v>5</v>
      </c>
      <c r="M29" s="29" t="s">
        <v>50</v>
      </c>
      <c r="N29" s="37">
        <v>6</v>
      </c>
      <c r="O29" s="20" t="s">
        <v>51</v>
      </c>
      <c r="Q29" s="25"/>
      <c r="R29" s="33"/>
      <c r="S29" s="92"/>
      <c r="T29" s="92"/>
      <c r="U29" s="92"/>
      <c r="V29" s="92"/>
      <c r="W29" s="33"/>
      <c r="X29" s="33"/>
      <c r="Y29" s="33"/>
      <c r="Z29" s="27"/>
      <c r="AA29" s="33"/>
      <c r="AB29" s="27"/>
      <c r="AC29" s="28"/>
      <c r="AD29" s="25"/>
      <c r="AE29" s="25"/>
      <c r="AF29" s="25"/>
    </row>
    <row r="30" spans="3:32" ht="40.5" customHeight="1" x14ac:dyDescent="0.25">
      <c r="C30" s="17">
        <v>24</v>
      </c>
      <c r="D30" s="17" t="s">
        <v>152</v>
      </c>
      <c r="E30" s="83" t="s">
        <v>31</v>
      </c>
      <c r="F30" s="83"/>
      <c r="G30" s="83"/>
      <c r="H30" s="83"/>
      <c r="I30" s="29" t="s">
        <v>234</v>
      </c>
      <c r="J30" s="29" t="s">
        <v>19</v>
      </c>
      <c r="K30" s="29">
        <v>625</v>
      </c>
      <c r="L30" s="19">
        <v>3</v>
      </c>
      <c r="M30" s="29">
        <v>39000040</v>
      </c>
      <c r="N30" s="36">
        <v>8.5</v>
      </c>
      <c r="O30" s="20" t="s">
        <v>52</v>
      </c>
      <c r="Q30" s="25"/>
      <c r="R30" s="33"/>
      <c r="S30" s="92"/>
      <c r="T30" s="92"/>
      <c r="U30" s="92"/>
      <c r="V30" s="92"/>
      <c r="W30" s="33"/>
      <c r="X30" s="33"/>
      <c r="Y30" s="33"/>
      <c r="Z30" s="27"/>
      <c r="AA30" s="33"/>
      <c r="AB30" s="27"/>
      <c r="AC30" s="28"/>
      <c r="AD30" s="25"/>
      <c r="AE30" s="25"/>
      <c r="AF30" s="25"/>
    </row>
    <row r="31" spans="3:32" ht="40.5" customHeight="1" x14ac:dyDescent="0.25">
      <c r="C31" s="17">
        <v>25</v>
      </c>
      <c r="D31" s="17" t="s">
        <v>153</v>
      </c>
      <c r="E31" s="83" t="s">
        <v>34</v>
      </c>
      <c r="F31" s="83"/>
      <c r="G31" s="83"/>
      <c r="H31" s="83"/>
      <c r="I31" s="29" t="s">
        <v>235</v>
      </c>
      <c r="J31" s="29" t="s">
        <v>19</v>
      </c>
      <c r="K31" s="29">
        <v>855</v>
      </c>
      <c r="L31" s="19">
        <v>3.5</v>
      </c>
      <c r="M31" s="29" t="s">
        <v>35</v>
      </c>
      <c r="N31" s="37">
        <v>6</v>
      </c>
      <c r="O31" s="20" t="s">
        <v>53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3:32" ht="40.5" customHeight="1" x14ac:dyDescent="0.25">
      <c r="C32" s="17">
        <v>26</v>
      </c>
      <c r="D32" s="17" t="s">
        <v>154</v>
      </c>
      <c r="E32" s="83" t="s">
        <v>31</v>
      </c>
      <c r="F32" s="83"/>
      <c r="G32" s="83"/>
      <c r="H32" s="83"/>
      <c r="I32" s="29" t="s">
        <v>234</v>
      </c>
      <c r="J32" s="29" t="s">
        <v>54</v>
      </c>
      <c r="K32" s="29">
        <v>2200</v>
      </c>
      <c r="L32" s="19">
        <v>3</v>
      </c>
      <c r="M32" s="29">
        <v>39000040</v>
      </c>
      <c r="N32" s="36">
        <v>8.5</v>
      </c>
      <c r="O32" s="20" t="s">
        <v>55</v>
      </c>
      <c r="Q32" s="25"/>
      <c r="R32" s="25">
        <f>113-8</f>
        <v>105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3:32" ht="40.5" customHeight="1" x14ac:dyDescent="0.25">
      <c r="C33" s="17">
        <v>27</v>
      </c>
      <c r="D33" s="17" t="s">
        <v>155</v>
      </c>
      <c r="E33" s="83" t="s">
        <v>31</v>
      </c>
      <c r="F33" s="83"/>
      <c r="G33" s="83"/>
      <c r="H33" s="83"/>
      <c r="I33" s="29" t="s">
        <v>234</v>
      </c>
      <c r="J33" s="29" t="s">
        <v>54</v>
      </c>
      <c r="K33" s="29">
        <v>780</v>
      </c>
      <c r="L33" s="19">
        <v>3</v>
      </c>
      <c r="M33" s="29">
        <v>39000040</v>
      </c>
      <c r="N33" s="36">
        <v>8.5</v>
      </c>
      <c r="O33" s="20" t="s">
        <v>56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3:32" ht="40.5" customHeight="1" x14ac:dyDescent="0.25">
      <c r="C34" s="17">
        <v>28</v>
      </c>
      <c r="D34" s="17" t="s">
        <v>156</v>
      </c>
      <c r="E34" s="83" t="s">
        <v>24</v>
      </c>
      <c r="F34" s="83"/>
      <c r="G34" s="83"/>
      <c r="H34" s="83"/>
      <c r="I34" s="29" t="s">
        <v>242</v>
      </c>
      <c r="J34" s="29" t="s">
        <v>16</v>
      </c>
      <c r="K34" s="29">
        <f>1230-20</f>
        <v>1210</v>
      </c>
      <c r="L34" s="19">
        <v>1.9</v>
      </c>
      <c r="M34" s="21">
        <v>561349000</v>
      </c>
      <c r="N34" s="19">
        <v>3</v>
      </c>
      <c r="O34" s="20">
        <v>39000048</v>
      </c>
    </row>
    <row r="35" spans="3:32" ht="40.5" customHeight="1" x14ac:dyDescent="0.25">
      <c r="C35" s="17">
        <v>29</v>
      </c>
      <c r="D35" s="17" t="s">
        <v>157</v>
      </c>
      <c r="E35" s="83" t="s">
        <v>24</v>
      </c>
      <c r="F35" s="83"/>
      <c r="G35" s="83"/>
      <c r="H35" s="83"/>
      <c r="I35" s="29" t="s">
        <v>242</v>
      </c>
      <c r="J35" s="29" t="s">
        <v>15</v>
      </c>
      <c r="K35" s="29">
        <f t="shared" ref="K35:K36" si="0">1230-20</f>
        <v>1210</v>
      </c>
      <c r="L35" s="19">
        <v>1.9</v>
      </c>
      <c r="M35" s="21">
        <v>561349000</v>
      </c>
      <c r="N35" s="19">
        <v>3</v>
      </c>
      <c r="O35" s="20">
        <v>39000048</v>
      </c>
    </row>
    <row r="36" spans="3:32" ht="40.5" customHeight="1" x14ac:dyDescent="0.25">
      <c r="C36" s="17">
        <v>30</v>
      </c>
      <c r="D36" s="17" t="s">
        <v>158</v>
      </c>
      <c r="E36" s="83" t="s">
        <v>24</v>
      </c>
      <c r="F36" s="83"/>
      <c r="G36" s="83"/>
      <c r="H36" s="83"/>
      <c r="I36" s="29" t="s">
        <v>242</v>
      </c>
      <c r="J36" s="29" t="s">
        <v>57</v>
      </c>
      <c r="K36" s="29">
        <f t="shared" si="0"/>
        <v>1210</v>
      </c>
      <c r="L36" s="19">
        <v>1.9</v>
      </c>
      <c r="M36" s="21">
        <v>561349000</v>
      </c>
      <c r="N36" s="19">
        <v>3</v>
      </c>
      <c r="O36" s="20">
        <v>39000048</v>
      </c>
    </row>
    <row r="37" spans="3:32" ht="40.5" customHeight="1" x14ac:dyDescent="0.25">
      <c r="C37" s="17">
        <v>31</v>
      </c>
      <c r="D37" s="17" t="s">
        <v>159</v>
      </c>
      <c r="E37" s="83" t="s">
        <v>24</v>
      </c>
      <c r="F37" s="83"/>
      <c r="G37" s="83"/>
      <c r="H37" s="83"/>
      <c r="I37" s="29" t="s">
        <v>242</v>
      </c>
      <c r="J37" s="29" t="s">
        <v>48</v>
      </c>
      <c r="K37" s="29">
        <f>1120-35-25+10</f>
        <v>1070</v>
      </c>
      <c r="L37" s="19">
        <v>2</v>
      </c>
      <c r="M37" s="29" t="s">
        <v>36</v>
      </c>
      <c r="N37" s="19">
        <v>3</v>
      </c>
      <c r="O37" s="20">
        <v>39000048</v>
      </c>
    </row>
    <row r="38" spans="3:32" ht="40.5" customHeight="1" x14ac:dyDescent="0.25">
      <c r="C38" s="17">
        <v>32</v>
      </c>
      <c r="D38" s="17" t="s">
        <v>160</v>
      </c>
      <c r="E38" s="83" t="s">
        <v>24</v>
      </c>
      <c r="F38" s="83"/>
      <c r="G38" s="83"/>
      <c r="H38" s="83"/>
      <c r="I38" s="29" t="s">
        <v>242</v>
      </c>
      <c r="J38" s="29" t="s">
        <v>29</v>
      </c>
      <c r="K38" s="29">
        <v>890</v>
      </c>
      <c r="L38" s="19">
        <v>3</v>
      </c>
      <c r="M38" s="20">
        <v>39000048</v>
      </c>
      <c r="N38" s="37">
        <v>6</v>
      </c>
      <c r="O38" s="20" t="s">
        <v>51</v>
      </c>
    </row>
    <row r="39" spans="3:32" ht="40.5" customHeight="1" x14ac:dyDescent="0.25">
      <c r="C39" s="17">
        <v>33</v>
      </c>
      <c r="D39" s="17" t="s">
        <v>162</v>
      </c>
      <c r="E39" s="83" t="s">
        <v>34</v>
      </c>
      <c r="F39" s="83"/>
      <c r="G39" s="83"/>
      <c r="H39" s="83"/>
      <c r="I39" s="29" t="s">
        <v>235</v>
      </c>
      <c r="J39" s="29" t="s">
        <v>48</v>
      </c>
      <c r="K39" s="29">
        <v>2580</v>
      </c>
      <c r="L39" s="19">
        <v>3.5</v>
      </c>
      <c r="M39" s="29" t="s">
        <v>35</v>
      </c>
      <c r="N39" s="19">
        <v>3</v>
      </c>
      <c r="O39" s="21">
        <v>39000040</v>
      </c>
    </row>
    <row r="40" spans="3:32" ht="40.5" customHeight="1" x14ac:dyDescent="0.25">
      <c r="C40" s="17">
        <v>34</v>
      </c>
      <c r="D40" s="17" t="s">
        <v>161</v>
      </c>
      <c r="E40" s="83" t="s">
        <v>24</v>
      </c>
      <c r="F40" s="83"/>
      <c r="G40" s="83"/>
      <c r="H40" s="83"/>
      <c r="I40" s="29" t="s">
        <v>242</v>
      </c>
      <c r="J40" s="29" t="s">
        <v>57</v>
      </c>
      <c r="K40" s="29">
        <f>1400+10</f>
        <v>1410</v>
      </c>
      <c r="L40" s="19">
        <v>2</v>
      </c>
      <c r="M40" s="29" t="s">
        <v>39</v>
      </c>
      <c r="N40" s="19">
        <v>3</v>
      </c>
      <c r="O40" s="20">
        <v>39000048</v>
      </c>
    </row>
    <row r="41" spans="3:32" ht="40.5" customHeight="1" x14ac:dyDescent="0.25">
      <c r="C41" s="17">
        <v>35</v>
      </c>
      <c r="D41" s="17" t="s">
        <v>163</v>
      </c>
      <c r="E41" s="83" t="s">
        <v>31</v>
      </c>
      <c r="F41" s="83"/>
      <c r="G41" s="83"/>
      <c r="H41" s="83"/>
      <c r="I41" s="29" t="s">
        <v>234</v>
      </c>
      <c r="J41" s="29" t="s">
        <v>48</v>
      </c>
      <c r="K41" s="29">
        <f>450-30</f>
        <v>420</v>
      </c>
      <c r="L41" s="19">
        <v>3</v>
      </c>
      <c r="M41" s="29">
        <v>39000040</v>
      </c>
      <c r="N41" s="35">
        <v>10</v>
      </c>
      <c r="O41" s="20" t="s">
        <v>59</v>
      </c>
    </row>
    <row r="42" spans="3:32" ht="40.5" customHeight="1" x14ac:dyDescent="0.25">
      <c r="C42" s="17">
        <v>36</v>
      </c>
      <c r="D42" s="17" t="s">
        <v>164</v>
      </c>
      <c r="E42" s="83" t="s">
        <v>31</v>
      </c>
      <c r="F42" s="83"/>
      <c r="G42" s="83"/>
      <c r="H42" s="83"/>
      <c r="I42" s="29" t="s">
        <v>234</v>
      </c>
      <c r="J42" s="29" t="s">
        <v>58</v>
      </c>
      <c r="K42" s="29">
        <f>450-30</f>
        <v>420</v>
      </c>
      <c r="L42" s="19">
        <v>3</v>
      </c>
      <c r="M42" s="29">
        <v>39000040</v>
      </c>
      <c r="N42" s="35">
        <v>10</v>
      </c>
      <c r="O42" s="20" t="s">
        <v>59</v>
      </c>
    </row>
    <row r="43" spans="3:32" ht="40.5" customHeight="1" x14ac:dyDescent="0.25">
      <c r="C43" s="17">
        <v>37</v>
      </c>
      <c r="D43" s="17" t="s">
        <v>165</v>
      </c>
      <c r="E43" s="83" t="s">
        <v>34</v>
      </c>
      <c r="F43" s="83"/>
      <c r="G43" s="83"/>
      <c r="H43" s="83"/>
      <c r="I43" s="29" t="s">
        <v>235</v>
      </c>
      <c r="J43" s="29" t="s">
        <v>48</v>
      </c>
      <c r="K43" s="29">
        <f>1505+15</f>
        <v>1520</v>
      </c>
      <c r="L43" s="19">
        <v>3</v>
      </c>
      <c r="M43" s="29">
        <v>39000040</v>
      </c>
      <c r="N43" s="35">
        <v>10</v>
      </c>
      <c r="O43" s="20" t="s">
        <v>59</v>
      </c>
    </row>
    <row r="44" spans="3:32" ht="40.5" customHeight="1" x14ac:dyDescent="0.25">
      <c r="C44" s="17">
        <v>38</v>
      </c>
      <c r="D44" s="17" t="s">
        <v>166</v>
      </c>
      <c r="E44" s="83" t="s">
        <v>24</v>
      </c>
      <c r="F44" s="83"/>
      <c r="G44" s="83"/>
      <c r="H44" s="83"/>
      <c r="I44" s="29" t="s">
        <v>242</v>
      </c>
      <c r="J44" s="29" t="s">
        <v>60</v>
      </c>
      <c r="K44" s="29">
        <v>1410</v>
      </c>
      <c r="L44" s="19">
        <v>1.9</v>
      </c>
      <c r="M44" s="29" t="s">
        <v>39</v>
      </c>
      <c r="N44" s="19">
        <v>3</v>
      </c>
      <c r="O44" s="20">
        <v>39000048</v>
      </c>
    </row>
    <row r="45" spans="3:32" ht="40.5" customHeight="1" x14ac:dyDescent="0.25">
      <c r="C45" s="17">
        <v>39</v>
      </c>
      <c r="D45" s="17" t="s">
        <v>167</v>
      </c>
      <c r="E45" s="83" t="s">
        <v>24</v>
      </c>
      <c r="F45" s="83"/>
      <c r="G45" s="83"/>
      <c r="H45" s="83"/>
      <c r="I45" s="29" t="s">
        <v>242</v>
      </c>
      <c r="J45" s="29" t="s">
        <v>18</v>
      </c>
      <c r="K45" s="29">
        <v>1355</v>
      </c>
      <c r="L45" s="19">
        <v>3.5</v>
      </c>
      <c r="M45" s="29" t="s">
        <v>61</v>
      </c>
      <c r="N45" s="37">
        <v>6</v>
      </c>
      <c r="O45" s="20" t="s">
        <v>62</v>
      </c>
    </row>
    <row r="46" spans="3:32" ht="40.5" customHeight="1" x14ac:dyDescent="0.25">
      <c r="C46" s="17">
        <v>40</v>
      </c>
      <c r="D46" s="17" t="s">
        <v>168</v>
      </c>
      <c r="E46" s="83" t="s">
        <v>24</v>
      </c>
      <c r="F46" s="83"/>
      <c r="G46" s="83"/>
      <c r="H46" s="83"/>
      <c r="I46" s="29" t="s">
        <v>242</v>
      </c>
      <c r="J46" s="29" t="s">
        <v>16</v>
      </c>
      <c r="K46" s="29">
        <v>1350</v>
      </c>
      <c r="L46" s="19">
        <v>3.5</v>
      </c>
      <c r="M46" s="29" t="s">
        <v>61</v>
      </c>
      <c r="N46" s="37">
        <v>6</v>
      </c>
      <c r="O46" s="20" t="s">
        <v>63</v>
      </c>
    </row>
    <row r="47" spans="3:32" ht="40.5" customHeight="1" x14ac:dyDescent="0.25">
      <c r="C47" s="17">
        <v>41</v>
      </c>
      <c r="D47" s="17" t="s">
        <v>169</v>
      </c>
      <c r="E47" s="83" t="s">
        <v>24</v>
      </c>
      <c r="F47" s="83"/>
      <c r="G47" s="83"/>
      <c r="H47" s="83"/>
      <c r="I47" s="29" t="s">
        <v>242</v>
      </c>
      <c r="J47" s="29" t="s">
        <v>19</v>
      </c>
      <c r="K47" s="29">
        <f>950+20</f>
        <v>970</v>
      </c>
      <c r="L47" s="19">
        <v>3.5</v>
      </c>
      <c r="M47" s="29" t="s">
        <v>61</v>
      </c>
      <c r="N47" s="37">
        <v>6</v>
      </c>
      <c r="O47" s="20" t="s">
        <v>53</v>
      </c>
    </row>
    <row r="48" spans="3:32" ht="40.5" customHeight="1" x14ac:dyDescent="0.25">
      <c r="C48" s="17">
        <v>42</v>
      </c>
      <c r="D48" s="17" t="s">
        <v>170</v>
      </c>
      <c r="E48" s="83" t="s">
        <v>34</v>
      </c>
      <c r="F48" s="83"/>
      <c r="G48" s="83"/>
      <c r="H48" s="83"/>
      <c r="I48" s="29" t="s">
        <v>235</v>
      </c>
      <c r="J48" s="29" t="s">
        <v>64</v>
      </c>
      <c r="K48" s="29">
        <f>1415+10</f>
        <v>1425</v>
      </c>
      <c r="L48" s="19">
        <v>3</v>
      </c>
      <c r="M48" s="29">
        <v>39000040</v>
      </c>
      <c r="N48" s="37">
        <v>6</v>
      </c>
      <c r="O48" s="20" t="s">
        <v>65</v>
      </c>
    </row>
    <row r="49" spans="3:15" ht="40.5" customHeight="1" x14ac:dyDescent="0.25">
      <c r="C49" s="17">
        <v>43</v>
      </c>
      <c r="D49" s="17" t="s">
        <v>171</v>
      </c>
      <c r="E49" s="83" t="s">
        <v>24</v>
      </c>
      <c r="F49" s="83"/>
      <c r="G49" s="83"/>
      <c r="H49" s="83"/>
      <c r="I49" s="29" t="s">
        <v>242</v>
      </c>
      <c r="J49" s="29" t="s">
        <v>16</v>
      </c>
      <c r="K49" s="29">
        <v>1070</v>
      </c>
      <c r="L49" s="19">
        <v>3</v>
      </c>
      <c r="M49" s="29">
        <v>39000048</v>
      </c>
      <c r="N49" s="37">
        <v>6</v>
      </c>
      <c r="O49" s="20" t="s">
        <v>66</v>
      </c>
    </row>
    <row r="50" spans="3:15" ht="40.5" customHeight="1" x14ac:dyDescent="0.25">
      <c r="C50" s="17">
        <v>44</v>
      </c>
      <c r="D50" s="17" t="s">
        <v>172</v>
      </c>
      <c r="E50" s="83" t="s">
        <v>24</v>
      </c>
      <c r="F50" s="83"/>
      <c r="G50" s="83"/>
      <c r="H50" s="83"/>
      <c r="I50" s="29" t="s">
        <v>242</v>
      </c>
      <c r="J50" s="29" t="s">
        <v>18</v>
      </c>
      <c r="K50" s="29">
        <v>1060</v>
      </c>
      <c r="L50" s="19">
        <v>3</v>
      </c>
      <c r="M50" s="29">
        <v>39000048</v>
      </c>
      <c r="N50" s="37">
        <v>6</v>
      </c>
      <c r="O50" s="20" t="s">
        <v>67</v>
      </c>
    </row>
    <row r="51" spans="3:15" ht="40.5" customHeight="1" x14ac:dyDescent="0.25">
      <c r="C51" s="17">
        <v>45</v>
      </c>
      <c r="D51" s="17" t="s">
        <v>173</v>
      </c>
      <c r="E51" s="83" t="s">
        <v>24</v>
      </c>
      <c r="F51" s="83"/>
      <c r="G51" s="83"/>
      <c r="H51" s="83"/>
      <c r="I51" s="29" t="s">
        <v>242</v>
      </c>
      <c r="J51" s="29" t="s">
        <v>19</v>
      </c>
      <c r="K51" s="29">
        <v>1130</v>
      </c>
      <c r="L51" s="19">
        <v>1.9</v>
      </c>
      <c r="M51" s="29" t="s">
        <v>36</v>
      </c>
      <c r="N51" s="37">
        <v>6</v>
      </c>
      <c r="O51" s="20" t="s">
        <v>266</v>
      </c>
    </row>
    <row r="52" spans="3:15" ht="40.5" customHeight="1" x14ac:dyDescent="0.25">
      <c r="C52" s="17">
        <v>46</v>
      </c>
      <c r="D52" s="17" t="s">
        <v>174</v>
      </c>
      <c r="E52" s="83" t="s">
        <v>24</v>
      </c>
      <c r="F52" s="83"/>
      <c r="G52" s="83"/>
      <c r="H52" s="83"/>
      <c r="I52" s="29" t="s">
        <v>242</v>
      </c>
      <c r="J52" s="29" t="s">
        <v>30</v>
      </c>
      <c r="K52" s="29">
        <v>2020</v>
      </c>
      <c r="L52" s="19">
        <v>1.9</v>
      </c>
      <c r="M52" s="29">
        <v>561349000</v>
      </c>
      <c r="N52" s="19">
        <v>3.5</v>
      </c>
      <c r="O52" s="20" t="s">
        <v>25</v>
      </c>
    </row>
    <row r="53" spans="3:15" ht="40.5" customHeight="1" x14ac:dyDescent="0.25">
      <c r="C53" s="17">
        <v>47</v>
      </c>
      <c r="D53" s="17" t="s">
        <v>175</v>
      </c>
      <c r="E53" s="83" t="s">
        <v>24</v>
      </c>
      <c r="F53" s="83"/>
      <c r="G53" s="83"/>
      <c r="H53" s="83"/>
      <c r="I53" s="29" t="s">
        <v>242</v>
      </c>
      <c r="J53" s="29" t="s">
        <v>17</v>
      </c>
      <c r="K53" s="29">
        <v>1020</v>
      </c>
      <c r="L53" s="19">
        <v>3</v>
      </c>
      <c r="M53" s="29">
        <v>39000048</v>
      </c>
      <c r="N53" s="19">
        <v>1.9</v>
      </c>
      <c r="O53" s="21">
        <v>561349000</v>
      </c>
    </row>
    <row r="54" spans="3:15" ht="40.5" customHeight="1" x14ac:dyDescent="0.25">
      <c r="C54" s="17">
        <v>48</v>
      </c>
      <c r="D54" s="17" t="s">
        <v>176</v>
      </c>
      <c r="E54" s="83" t="s">
        <v>24</v>
      </c>
      <c r="F54" s="83"/>
      <c r="G54" s="83"/>
      <c r="H54" s="83"/>
      <c r="I54" s="29" t="s">
        <v>242</v>
      </c>
      <c r="J54" s="29" t="s">
        <v>33</v>
      </c>
      <c r="K54" s="29">
        <v>1020</v>
      </c>
      <c r="L54" s="19">
        <v>3</v>
      </c>
      <c r="M54" s="29">
        <v>39000048</v>
      </c>
      <c r="N54" s="19">
        <v>1.9</v>
      </c>
      <c r="O54" s="21">
        <v>561349000</v>
      </c>
    </row>
    <row r="55" spans="3:15" ht="40.5" customHeight="1" x14ac:dyDescent="0.25">
      <c r="C55" s="17">
        <v>49</v>
      </c>
      <c r="D55" s="17" t="s">
        <v>177</v>
      </c>
      <c r="E55" s="83" t="s">
        <v>24</v>
      </c>
      <c r="F55" s="83"/>
      <c r="G55" s="83"/>
      <c r="H55" s="83"/>
      <c r="I55" s="29" t="s">
        <v>242</v>
      </c>
      <c r="J55" s="29" t="s">
        <v>68</v>
      </c>
      <c r="K55" s="29">
        <v>1610</v>
      </c>
      <c r="L55" s="19">
        <v>3</v>
      </c>
      <c r="M55" s="29">
        <v>39000048</v>
      </c>
      <c r="N55" s="19">
        <v>1.9</v>
      </c>
      <c r="O55" s="21">
        <v>561349000</v>
      </c>
    </row>
    <row r="56" spans="3:15" ht="40.5" customHeight="1" x14ac:dyDescent="0.25">
      <c r="C56" s="17">
        <v>50</v>
      </c>
      <c r="D56" s="17" t="s">
        <v>178</v>
      </c>
      <c r="E56" s="83" t="s">
        <v>24</v>
      </c>
      <c r="F56" s="83"/>
      <c r="G56" s="83"/>
      <c r="H56" s="83"/>
      <c r="I56" s="29" t="s">
        <v>242</v>
      </c>
      <c r="J56" s="29" t="s">
        <v>26</v>
      </c>
      <c r="K56" s="29">
        <v>1610</v>
      </c>
      <c r="L56" s="19">
        <v>3</v>
      </c>
      <c r="M56" s="29">
        <v>39000048</v>
      </c>
      <c r="N56" s="19">
        <v>1.9</v>
      </c>
      <c r="O56" s="21">
        <v>561349000</v>
      </c>
    </row>
    <row r="57" spans="3:15" ht="40.5" customHeight="1" x14ac:dyDescent="0.25">
      <c r="C57" s="17">
        <v>51</v>
      </c>
      <c r="D57" s="17" t="s">
        <v>179</v>
      </c>
      <c r="E57" s="83" t="s">
        <v>24</v>
      </c>
      <c r="F57" s="83"/>
      <c r="G57" s="83"/>
      <c r="H57" s="83"/>
      <c r="I57" s="29" t="s">
        <v>242</v>
      </c>
      <c r="J57" s="29" t="s">
        <v>69</v>
      </c>
      <c r="K57" s="29">
        <v>960</v>
      </c>
      <c r="L57" s="19">
        <v>5</v>
      </c>
      <c r="M57" s="29" t="s">
        <v>50</v>
      </c>
      <c r="N57" s="19">
        <v>1.9</v>
      </c>
      <c r="O57" s="21">
        <v>561349000</v>
      </c>
    </row>
    <row r="58" spans="3:15" ht="40.5" customHeight="1" x14ac:dyDescent="0.25">
      <c r="C58" s="17">
        <v>52</v>
      </c>
      <c r="D58" s="17" t="s">
        <v>180</v>
      </c>
      <c r="E58" s="83" t="s">
        <v>24</v>
      </c>
      <c r="F58" s="83"/>
      <c r="G58" s="83"/>
      <c r="H58" s="83"/>
      <c r="I58" s="29" t="s">
        <v>242</v>
      </c>
      <c r="J58" s="29" t="s">
        <v>57</v>
      </c>
      <c r="K58" s="29">
        <v>960</v>
      </c>
      <c r="L58" s="19">
        <v>5</v>
      </c>
      <c r="M58" s="29" t="s">
        <v>50</v>
      </c>
      <c r="N58" s="19">
        <v>1.9</v>
      </c>
      <c r="O58" s="21">
        <v>561349000</v>
      </c>
    </row>
    <row r="59" spans="3:15" ht="40.5" customHeight="1" x14ac:dyDescent="0.25">
      <c r="C59" s="17">
        <v>53</v>
      </c>
      <c r="D59" s="17" t="s">
        <v>181</v>
      </c>
      <c r="E59" s="83" t="s">
        <v>24</v>
      </c>
      <c r="F59" s="83"/>
      <c r="G59" s="83"/>
      <c r="H59" s="83"/>
      <c r="I59" s="29" t="s">
        <v>242</v>
      </c>
      <c r="J59" s="29" t="s">
        <v>18</v>
      </c>
      <c r="K59" s="29">
        <f>1320+5</f>
        <v>1325</v>
      </c>
      <c r="L59" s="19">
        <v>3</v>
      </c>
      <c r="M59" s="29">
        <v>39000048</v>
      </c>
      <c r="N59" s="19">
        <v>1.9</v>
      </c>
      <c r="O59" s="21">
        <v>561349000</v>
      </c>
    </row>
    <row r="60" spans="3:15" ht="40.5" customHeight="1" x14ac:dyDescent="0.25">
      <c r="C60" s="17">
        <v>54</v>
      </c>
      <c r="D60" s="17" t="s">
        <v>182</v>
      </c>
      <c r="E60" s="83" t="s">
        <v>24</v>
      </c>
      <c r="F60" s="83"/>
      <c r="G60" s="83"/>
      <c r="H60" s="83"/>
      <c r="I60" s="29" t="s">
        <v>242</v>
      </c>
      <c r="J60" s="29" t="s">
        <v>29</v>
      </c>
      <c r="K60" s="29">
        <f>1320+5</f>
        <v>1325</v>
      </c>
      <c r="L60" s="19">
        <v>1.9</v>
      </c>
      <c r="M60" s="29">
        <v>561349000</v>
      </c>
      <c r="N60" s="19">
        <v>3</v>
      </c>
      <c r="O60" s="20">
        <v>39000048</v>
      </c>
    </row>
    <row r="61" spans="3:15" ht="40.5" customHeight="1" x14ac:dyDescent="0.25">
      <c r="C61" s="17">
        <v>55</v>
      </c>
      <c r="D61" s="17" t="s">
        <v>183</v>
      </c>
      <c r="E61" s="83" t="s">
        <v>24</v>
      </c>
      <c r="F61" s="83"/>
      <c r="G61" s="83"/>
      <c r="H61" s="83"/>
      <c r="I61" s="29" t="s">
        <v>242</v>
      </c>
      <c r="J61" s="29" t="s">
        <v>29</v>
      </c>
      <c r="K61" s="29">
        <v>520</v>
      </c>
      <c r="L61" s="19">
        <v>1.9</v>
      </c>
      <c r="M61" s="29" t="s">
        <v>36</v>
      </c>
      <c r="N61" s="37">
        <v>6</v>
      </c>
      <c r="O61" s="20" t="s">
        <v>70</v>
      </c>
    </row>
    <row r="62" spans="3:15" ht="40.5" customHeight="1" x14ac:dyDescent="0.25">
      <c r="C62" s="17">
        <v>56</v>
      </c>
      <c r="D62" s="17" t="s">
        <v>184</v>
      </c>
      <c r="E62" s="83" t="s">
        <v>24</v>
      </c>
      <c r="F62" s="83"/>
      <c r="G62" s="83"/>
      <c r="H62" s="83"/>
      <c r="I62" s="29" t="s">
        <v>242</v>
      </c>
      <c r="J62" s="29" t="s">
        <v>16</v>
      </c>
      <c r="K62" s="29">
        <f>1550+5</f>
        <v>1555</v>
      </c>
      <c r="L62" s="19">
        <v>1.9</v>
      </c>
      <c r="M62" s="29">
        <v>561349000</v>
      </c>
      <c r="N62" s="19">
        <v>3</v>
      </c>
      <c r="O62" s="20">
        <v>39000048</v>
      </c>
    </row>
    <row r="63" spans="3:15" ht="40.5" customHeight="1" x14ac:dyDescent="0.25">
      <c r="C63" s="17">
        <v>57</v>
      </c>
      <c r="D63" s="17" t="s">
        <v>185</v>
      </c>
      <c r="E63" s="83" t="s">
        <v>24</v>
      </c>
      <c r="F63" s="83"/>
      <c r="G63" s="83"/>
      <c r="H63" s="83"/>
      <c r="I63" s="29" t="s">
        <v>242</v>
      </c>
      <c r="J63" s="29" t="s">
        <v>19</v>
      </c>
      <c r="K63" s="29">
        <f>1550+5</f>
        <v>1555</v>
      </c>
      <c r="L63" s="19">
        <v>1.9</v>
      </c>
      <c r="M63" s="29">
        <v>561349000</v>
      </c>
      <c r="N63" s="19">
        <v>3</v>
      </c>
      <c r="O63" s="20">
        <v>39000048</v>
      </c>
    </row>
    <row r="64" spans="3:15" ht="40.5" customHeight="1" x14ac:dyDescent="0.25">
      <c r="C64" s="17">
        <v>58</v>
      </c>
      <c r="D64" s="17" t="s">
        <v>219</v>
      </c>
      <c r="E64" s="83" t="s">
        <v>24</v>
      </c>
      <c r="F64" s="83"/>
      <c r="G64" s="83"/>
      <c r="H64" s="83"/>
      <c r="I64" s="29" t="s">
        <v>242</v>
      </c>
      <c r="J64" s="29" t="s">
        <v>30</v>
      </c>
      <c r="K64" s="29">
        <f>1320+10</f>
        <v>1330</v>
      </c>
      <c r="L64" s="19">
        <v>1.9</v>
      </c>
      <c r="M64" s="29">
        <v>561349000</v>
      </c>
      <c r="N64" s="19">
        <v>3</v>
      </c>
      <c r="O64" s="20">
        <v>39000048</v>
      </c>
    </row>
    <row r="65" spans="3:15" ht="40.5" customHeight="1" x14ac:dyDescent="0.25">
      <c r="C65" s="17">
        <v>59</v>
      </c>
      <c r="D65" s="17" t="s">
        <v>186</v>
      </c>
      <c r="E65" s="83" t="s">
        <v>24</v>
      </c>
      <c r="F65" s="83"/>
      <c r="G65" s="83"/>
      <c r="H65" s="83"/>
      <c r="I65" s="29" t="s">
        <v>242</v>
      </c>
      <c r="J65" s="29" t="s">
        <v>71</v>
      </c>
      <c r="K65" s="29">
        <v>920</v>
      </c>
      <c r="L65" s="19">
        <v>1.9</v>
      </c>
      <c r="M65" s="29">
        <v>561349000</v>
      </c>
      <c r="N65" s="19">
        <v>5</v>
      </c>
      <c r="O65" s="20" t="s">
        <v>73</v>
      </c>
    </row>
    <row r="66" spans="3:15" ht="40.5" customHeight="1" x14ac:dyDescent="0.25">
      <c r="C66" s="17">
        <v>60</v>
      </c>
      <c r="D66" s="17" t="s">
        <v>187</v>
      </c>
      <c r="E66" s="83" t="s">
        <v>24</v>
      </c>
      <c r="F66" s="83"/>
      <c r="G66" s="83"/>
      <c r="H66" s="83"/>
      <c r="I66" s="29" t="s">
        <v>242</v>
      </c>
      <c r="J66" s="29" t="s">
        <v>72</v>
      </c>
      <c r="K66" s="29">
        <f>920-15</f>
        <v>905</v>
      </c>
      <c r="L66" s="19">
        <v>1.9</v>
      </c>
      <c r="M66" s="29">
        <v>561349000</v>
      </c>
      <c r="N66" s="19">
        <v>5</v>
      </c>
      <c r="O66" s="20" t="s">
        <v>50</v>
      </c>
    </row>
    <row r="67" spans="3:15" ht="40.5" customHeight="1" x14ac:dyDescent="0.25">
      <c r="C67" s="17">
        <v>61</v>
      </c>
      <c r="D67" s="17" t="s">
        <v>188</v>
      </c>
      <c r="E67" s="83" t="s">
        <v>24</v>
      </c>
      <c r="F67" s="83"/>
      <c r="G67" s="83"/>
      <c r="H67" s="83"/>
      <c r="I67" s="29" t="s">
        <v>242</v>
      </c>
      <c r="J67" s="29" t="s">
        <v>74</v>
      </c>
      <c r="K67" s="29">
        <v>1830</v>
      </c>
      <c r="L67" s="19">
        <v>3</v>
      </c>
      <c r="M67" s="29">
        <v>39000048</v>
      </c>
      <c r="N67" s="19">
        <v>1.9</v>
      </c>
      <c r="O67" s="21">
        <v>561349000</v>
      </c>
    </row>
    <row r="68" spans="3:15" ht="40.5" customHeight="1" x14ac:dyDescent="0.25">
      <c r="C68" s="17">
        <v>62</v>
      </c>
      <c r="D68" s="17" t="s">
        <v>189</v>
      </c>
      <c r="E68" s="83" t="s">
        <v>24</v>
      </c>
      <c r="F68" s="83"/>
      <c r="G68" s="83"/>
      <c r="H68" s="83"/>
      <c r="I68" s="29" t="s">
        <v>242</v>
      </c>
      <c r="J68" s="29" t="s">
        <v>27</v>
      </c>
      <c r="K68" s="29">
        <v>1830</v>
      </c>
      <c r="L68" s="19">
        <v>3</v>
      </c>
      <c r="M68" s="29">
        <v>39000048</v>
      </c>
      <c r="N68" s="19">
        <v>1.9</v>
      </c>
      <c r="O68" s="21">
        <v>561349000</v>
      </c>
    </row>
    <row r="69" spans="3:15" ht="40.5" customHeight="1" x14ac:dyDescent="0.25">
      <c r="C69" s="17">
        <v>63</v>
      </c>
      <c r="D69" s="17" t="s">
        <v>190</v>
      </c>
      <c r="E69" s="83" t="s">
        <v>24</v>
      </c>
      <c r="F69" s="83"/>
      <c r="G69" s="83"/>
      <c r="H69" s="83"/>
      <c r="I69" s="29" t="s">
        <v>242</v>
      </c>
      <c r="J69" s="29" t="s">
        <v>75</v>
      </c>
      <c r="K69" s="23">
        <f>2410+10</f>
        <v>2420</v>
      </c>
      <c r="L69" s="19">
        <v>3</v>
      </c>
      <c r="M69" s="29">
        <v>39000048</v>
      </c>
      <c r="N69" s="19">
        <v>1.9</v>
      </c>
      <c r="O69" s="21">
        <v>561349000</v>
      </c>
    </row>
    <row r="70" spans="3:15" ht="40.5" customHeight="1" x14ac:dyDescent="0.25">
      <c r="C70" s="17">
        <v>64</v>
      </c>
      <c r="D70" s="17" t="s">
        <v>191</v>
      </c>
      <c r="E70" s="83" t="s">
        <v>24</v>
      </c>
      <c r="F70" s="83"/>
      <c r="G70" s="83"/>
      <c r="H70" s="83"/>
      <c r="I70" s="29" t="s">
        <v>242</v>
      </c>
      <c r="J70" s="29" t="s">
        <v>76</v>
      </c>
      <c r="K70" s="29">
        <v>2410</v>
      </c>
      <c r="L70" s="19">
        <v>3</v>
      </c>
      <c r="M70" s="29">
        <v>39000048</v>
      </c>
      <c r="N70" s="19">
        <v>1.9</v>
      </c>
      <c r="O70" s="21">
        <v>561349000</v>
      </c>
    </row>
    <row r="71" spans="3:15" ht="40.5" customHeight="1" x14ac:dyDescent="0.25">
      <c r="C71" s="17">
        <v>65</v>
      </c>
      <c r="D71" s="17" t="s">
        <v>192</v>
      </c>
      <c r="E71" s="83" t="s">
        <v>24</v>
      </c>
      <c r="F71" s="83"/>
      <c r="G71" s="83"/>
      <c r="H71" s="83"/>
      <c r="I71" s="29" t="s">
        <v>242</v>
      </c>
      <c r="J71" s="29" t="s">
        <v>16</v>
      </c>
      <c r="K71" s="29">
        <v>960</v>
      </c>
      <c r="L71" s="19">
        <v>1.9</v>
      </c>
      <c r="M71" s="29" t="s">
        <v>36</v>
      </c>
      <c r="N71" s="19">
        <v>3.5</v>
      </c>
      <c r="O71" s="20" t="s">
        <v>77</v>
      </c>
    </row>
    <row r="72" spans="3:15" ht="40.5" customHeight="1" x14ac:dyDescent="0.25">
      <c r="C72" s="17">
        <v>66</v>
      </c>
      <c r="D72" s="17" t="s">
        <v>193</v>
      </c>
      <c r="E72" s="83" t="s">
        <v>24</v>
      </c>
      <c r="F72" s="83"/>
      <c r="G72" s="83"/>
      <c r="H72" s="83"/>
      <c r="I72" s="29" t="s">
        <v>242</v>
      </c>
      <c r="J72" s="29" t="s">
        <v>33</v>
      </c>
      <c r="K72" s="29">
        <v>960</v>
      </c>
      <c r="L72" s="19">
        <v>1.9</v>
      </c>
      <c r="M72" s="29" t="s">
        <v>36</v>
      </c>
      <c r="N72" s="19">
        <v>3.5</v>
      </c>
      <c r="O72" s="20" t="s">
        <v>77</v>
      </c>
    </row>
    <row r="73" spans="3:15" ht="40.5" customHeight="1" x14ac:dyDescent="0.25">
      <c r="C73" s="17">
        <v>67</v>
      </c>
      <c r="D73" s="17" t="s">
        <v>194</v>
      </c>
      <c r="E73" s="83" t="s">
        <v>24</v>
      </c>
      <c r="F73" s="83"/>
      <c r="G73" s="83"/>
      <c r="H73" s="83"/>
      <c r="I73" s="29" t="s">
        <v>242</v>
      </c>
      <c r="J73" s="29" t="s">
        <v>78</v>
      </c>
      <c r="K73" s="29">
        <v>960</v>
      </c>
      <c r="L73" s="19">
        <v>1.9</v>
      </c>
      <c r="M73" s="29" t="s">
        <v>36</v>
      </c>
      <c r="N73" s="19">
        <v>3.5</v>
      </c>
      <c r="O73" s="20" t="s">
        <v>77</v>
      </c>
    </row>
    <row r="74" spans="3:15" ht="40.5" customHeight="1" x14ac:dyDescent="0.25">
      <c r="C74" s="17">
        <v>68</v>
      </c>
      <c r="D74" s="17" t="s">
        <v>195</v>
      </c>
      <c r="E74" s="83" t="s">
        <v>24</v>
      </c>
      <c r="F74" s="83"/>
      <c r="G74" s="83"/>
      <c r="H74" s="83"/>
      <c r="I74" s="29" t="s">
        <v>242</v>
      </c>
      <c r="J74" s="29" t="s">
        <v>26</v>
      </c>
      <c r="K74" s="29">
        <v>960</v>
      </c>
      <c r="L74" s="19">
        <v>1.9</v>
      </c>
      <c r="M74" s="29" t="s">
        <v>36</v>
      </c>
      <c r="N74" s="19">
        <v>3.5</v>
      </c>
      <c r="O74" s="20" t="s">
        <v>77</v>
      </c>
    </row>
    <row r="75" spans="3:15" ht="40.5" customHeight="1" x14ac:dyDescent="0.25">
      <c r="C75" s="17">
        <v>69</v>
      </c>
      <c r="D75" s="17" t="s">
        <v>196</v>
      </c>
      <c r="E75" s="83" t="s">
        <v>24</v>
      </c>
      <c r="F75" s="83"/>
      <c r="G75" s="83"/>
      <c r="H75" s="83"/>
      <c r="I75" s="29" t="s">
        <v>242</v>
      </c>
      <c r="J75" s="29" t="s">
        <v>71</v>
      </c>
      <c r="K75" s="24">
        <v>1520</v>
      </c>
      <c r="L75" s="19">
        <v>1.9</v>
      </c>
      <c r="M75" s="29" t="s">
        <v>36</v>
      </c>
      <c r="N75" s="19">
        <v>3.5</v>
      </c>
      <c r="O75" s="20" t="s">
        <v>77</v>
      </c>
    </row>
    <row r="76" spans="3:15" ht="40.5" customHeight="1" x14ac:dyDescent="0.25">
      <c r="C76" s="17">
        <v>70</v>
      </c>
      <c r="D76" s="17" t="s">
        <v>197</v>
      </c>
      <c r="E76" s="83" t="s">
        <v>24</v>
      </c>
      <c r="F76" s="83"/>
      <c r="G76" s="83"/>
      <c r="H76" s="83"/>
      <c r="I76" s="29" t="s">
        <v>242</v>
      </c>
      <c r="J76" s="29" t="s">
        <v>79</v>
      </c>
      <c r="K76" s="24">
        <v>1525</v>
      </c>
      <c r="L76" s="19">
        <v>1.9</v>
      </c>
      <c r="M76" s="29" t="s">
        <v>36</v>
      </c>
      <c r="N76" s="19">
        <v>3.5</v>
      </c>
      <c r="O76" s="20" t="s">
        <v>77</v>
      </c>
    </row>
    <row r="77" spans="3:15" ht="40.5" customHeight="1" x14ac:dyDescent="0.25">
      <c r="C77" s="17">
        <v>71</v>
      </c>
      <c r="D77" s="17" t="s">
        <v>198</v>
      </c>
      <c r="E77" s="83" t="s">
        <v>24</v>
      </c>
      <c r="F77" s="83"/>
      <c r="G77" s="83"/>
      <c r="H77" s="83"/>
      <c r="I77" s="29" t="s">
        <v>242</v>
      </c>
      <c r="J77" s="29" t="s">
        <v>80</v>
      </c>
      <c r="K77" s="24">
        <v>1525</v>
      </c>
      <c r="L77" s="19">
        <v>1.9</v>
      </c>
      <c r="M77" s="29" t="s">
        <v>36</v>
      </c>
      <c r="N77" s="19">
        <v>3.5</v>
      </c>
      <c r="O77" s="20" t="s">
        <v>77</v>
      </c>
    </row>
    <row r="78" spans="3:15" ht="40.5" customHeight="1" x14ac:dyDescent="0.25">
      <c r="C78" s="17">
        <v>72</v>
      </c>
      <c r="D78" s="17" t="s">
        <v>199</v>
      </c>
      <c r="E78" s="83" t="s">
        <v>24</v>
      </c>
      <c r="F78" s="83"/>
      <c r="G78" s="83"/>
      <c r="H78" s="83"/>
      <c r="I78" s="29" t="s">
        <v>242</v>
      </c>
      <c r="J78" s="29" t="s">
        <v>43</v>
      </c>
      <c r="K78" s="24">
        <v>1525</v>
      </c>
      <c r="L78" s="19">
        <v>1.9</v>
      </c>
      <c r="M78" s="29" t="s">
        <v>36</v>
      </c>
      <c r="N78" s="19">
        <v>3.5</v>
      </c>
      <c r="O78" s="20" t="s">
        <v>77</v>
      </c>
    </row>
    <row r="79" spans="3:15" ht="40.5" customHeight="1" x14ac:dyDescent="0.25">
      <c r="C79" s="17">
        <v>73</v>
      </c>
      <c r="D79" s="17" t="s">
        <v>200</v>
      </c>
      <c r="E79" s="83" t="s">
        <v>24</v>
      </c>
      <c r="F79" s="83"/>
      <c r="G79" s="83"/>
      <c r="H79" s="83"/>
      <c r="I79" s="29" t="s">
        <v>242</v>
      </c>
      <c r="J79" s="29" t="s">
        <v>30</v>
      </c>
      <c r="K79" s="24">
        <v>1665</v>
      </c>
      <c r="L79" s="19">
        <v>3.5</v>
      </c>
      <c r="M79" s="20" t="s">
        <v>77</v>
      </c>
      <c r="N79" s="19">
        <v>1.9</v>
      </c>
      <c r="O79" s="20">
        <v>561349000</v>
      </c>
    </row>
    <row r="80" spans="3:15" ht="40.5" customHeight="1" x14ac:dyDescent="0.25">
      <c r="C80" s="17">
        <v>74</v>
      </c>
      <c r="D80" s="17" t="s">
        <v>201</v>
      </c>
      <c r="E80" s="83" t="s">
        <v>24</v>
      </c>
      <c r="F80" s="83"/>
      <c r="G80" s="83"/>
      <c r="H80" s="83"/>
      <c r="I80" s="29" t="s">
        <v>242</v>
      </c>
      <c r="J80" s="29" t="s">
        <v>48</v>
      </c>
      <c r="K80" s="24">
        <v>1665</v>
      </c>
      <c r="L80" s="19">
        <v>3.5</v>
      </c>
      <c r="M80" s="20" t="s">
        <v>77</v>
      </c>
      <c r="N80" s="19">
        <v>1.9</v>
      </c>
      <c r="O80" s="20">
        <v>561349000</v>
      </c>
    </row>
    <row r="81" spans="3:15" ht="40.5" customHeight="1" x14ac:dyDescent="0.25">
      <c r="C81" s="17">
        <v>75</v>
      </c>
      <c r="D81" s="17" t="s">
        <v>202</v>
      </c>
      <c r="E81" s="83" t="s">
        <v>24</v>
      </c>
      <c r="F81" s="83"/>
      <c r="G81" s="83"/>
      <c r="H81" s="83"/>
      <c r="I81" s="29" t="s">
        <v>242</v>
      </c>
      <c r="J81" s="29" t="s">
        <v>33</v>
      </c>
      <c r="K81" s="24">
        <v>1665</v>
      </c>
      <c r="L81" s="19">
        <v>3.5</v>
      </c>
      <c r="M81" s="20" t="s">
        <v>77</v>
      </c>
      <c r="N81" s="19">
        <v>1.9</v>
      </c>
      <c r="O81" s="20">
        <v>561349000</v>
      </c>
    </row>
    <row r="82" spans="3:15" ht="40.5" customHeight="1" x14ac:dyDescent="0.25">
      <c r="C82" s="17">
        <v>76</v>
      </c>
      <c r="D82" s="17" t="s">
        <v>203</v>
      </c>
      <c r="E82" s="83" t="s">
        <v>24</v>
      </c>
      <c r="F82" s="83"/>
      <c r="G82" s="83"/>
      <c r="H82" s="83"/>
      <c r="I82" s="29" t="s">
        <v>242</v>
      </c>
      <c r="J82" s="29" t="s">
        <v>19</v>
      </c>
      <c r="K82" s="29">
        <v>1100</v>
      </c>
      <c r="L82" s="19">
        <v>3.5</v>
      </c>
      <c r="M82" s="20" t="s">
        <v>77</v>
      </c>
      <c r="N82" s="19">
        <v>1.9</v>
      </c>
      <c r="O82" s="20">
        <v>561349000</v>
      </c>
    </row>
    <row r="83" spans="3:15" ht="40.5" customHeight="1" x14ac:dyDescent="0.25">
      <c r="C83" s="17">
        <v>77</v>
      </c>
      <c r="D83" s="17" t="s">
        <v>204</v>
      </c>
      <c r="E83" s="83" t="s">
        <v>24</v>
      </c>
      <c r="F83" s="83"/>
      <c r="G83" s="83"/>
      <c r="H83" s="83"/>
      <c r="I83" s="29" t="s">
        <v>242</v>
      </c>
      <c r="J83" s="29" t="s">
        <v>81</v>
      </c>
      <c r="K83" s="29">
        <v>1100</v>
      </c>
      <c r="L83" s="19">
        <v>3.5</v>
      </c>
      <c r="M83" s="20" t="s">
        <v>77</v>
      </c>
      <c r="N83" s="19">
        <v>1.9</v>
      </c>
      <c r="O83" s="20">
        <v>561349000</v>
      </c>
    </row>
    <row r="84" spans="3:15" ht="40.5" customHeight="1" x14ac:dyDescent="0.25">
      <c r="C84" s="17">
        <v>78</v>
      </c>
      <c r="D84" s="17" t="s">
        <v>205</v>
      </c>
      <c r="E84" s="83" t="s">
        <v>24</v>
      </c>
      <c r="F84" s="83"/>
      <c r="G84" s="83"/>
      <c r="H84" s="83"/>
      <c r="I84" s="29" t="s">
        <v>242</v>
      </c>
      <c r="J84" s="29" t="s">
        <v>82</v>
      </c>
      <c r="K84" s="29">
        <v>1100</v>
      </c>
      <c r="L84" s="19">
        <v>3.5</v>
      </c>
      <c r="M84" s="20" t="s">
        <v>77</v>
      </c>
      <c r="N84" s="19">
        <v>1.9</v>
      </c>
      <c r="O84" s="20">
        <v>561349000</v>
      </c>
    </row>
    <row r="85" spans="3:15" ht="40.5" customHeight="1" x14ac:dyDescent="0.25">
      <c r="C85" s="17">
        <v>79</v>
      </c>
      <c r="D85" s="17" t="s">
        <v>206</v>
      </c>
      <c r="E85" s="83" t="s">
        <v>24</v>
      </c>
      <c r="F85" s="83"/>
      <c r="G85" s="83"/>
      <c r="H85" s="83"/>
      <c r="I85" s="29" t="s">
        <v>242</v>
      </c>
      <c r="J85" s="29" t="s">
        <v>75</v>
      </c>
      <c r="K85" s="29">
        <v>300</v>
      </c>
      <c r="L85" s="19">
        <v>1.9</v>
      </c>
      <c r="M85" s="29" t="s">
        <v>36</v>
      </c>
      <c r="N85" s="37">
        <v>6</v>
      </c>
      <c r="O85" s="20" t="s">
        <v>84</v>
      </c>
    </row>
    <row r="86" spans="3:15" ht="40.5" customHeight="1" x14ac:dyDescent="0.25">
      <c r="C86" s="17">
        <v>80</v>
      </c>
      <c r="D86" s="17" t="s">
        <v>207</v>
      </c>
      <c r="E86" s="83" t="s">
        <v>24</v>
      </c>
      <c r="F86" s="83"/>
      <c r="G86" s="83"/>
      <c r="H86" s="83"/>
      <c r="I86" s="29" t="s">
        <v>242</v>
      </c>
      <c r="J86" s="29" t="s">
        <v>75</v>
      </c>
      <c r="K86" s="29">
        <v>605</v>
      </c>
      <c r="L86" s="19">
        <v>3.5</v>
      </c>
      <c r="M86" s="20" t="s">
        <v>77</v>
      </c>
      <c r="N86" s="37">
        <v>6</v>
      </c>
      <c r="O86" s="20" t="s">
        <v>83</v>
      </c>
    </row>
    <row r="87" spans="3:15" ht="40.5" customHeight="1" x14ac:dyDescent="0.25">
      <c r="C87" s="17">
        <v>81</v>
      </c>
      <c r="D87" s="17" t="s">
        <v>208</v>
      </c>
      <c r="E87" s="83" t="s">
        <v>24</v>
      </c>
      <c r="F87" s="83"/>
      <c r="G87" s="83"/>
      <c r="H87" s="83"/>
      <c r="I87" s="29" t="s">
        <v>242</v>
      </c>
      <c r="J87" s="29" t="s">
        <v>75</v>
      </c>
      <c r="K87" s="24">
        <v>1150</v>
      </c>
      <c r="L87" s="19">
        <v>3.5</v>
      </c>
      <c r="M87" s="20" t="s">
        <v>77</v>
      </c>
      <c r="N87" s="37">
        <v>6</v>
      </c>
      <c r="O87" s="20" t="s">
        <v>83</v>
      </c>
    </row>
    <row r="88" spans="3:15" ht="40.5" customHeight="1" x14ac:dyDescent="0.25">
      <c r="C88" s="17">
        <v>82</v>
      </c>
      <c r="D88" s="17" t="s">
        <v>209</v>
      </c>
      <c r="E88" s="83" t="s">
        <v>24</v>
      </c>
      <c r="F88" s="83"/>
      <c r="G88" s="83"/>
      <c r="H88" s="83"/>
      <c r="I88" s="29" t="s">
        <v>242</v>
      </c>
      <c r="J88" s="29" t="s">
        <v>48</v>
      </c>
      <c r="K88" s="29">
        <v>1610</v>
      </c>
      <c r="L88" s="19">
        <v>1.9</v>
      </c>
      <c r="M88" s="29" t="s">
        <v>36</v>
      </c>
      <c r="N88" s="37">
        <v>6</v>
      </c>
      <c r="O88" s="20" t="s">
        <v>85</v>
      </c>
    </row>
    <row r="89" spans="3:15" ht="40.5" customHeight="1" x14ac:dyDescent="0.25">
      <c r="C89" s="17">
        <v>83</v>
      </c>
      <c r="D89" s="17" t="s">
        <v>210</v>
      </c>
      <c r="E89" s="83" t="s">
        <v>24</v>
      </c>
      <c r="F89" s="83"/>
      <c r="G89" s="83"/>
      <c r="H89" s="83"/>
      <c r="I89" s="29" t="s">
        <v>242</v>
      </c>
      <c r="J89" s="29" t="s">
        <v>15</v>
      </c>
      <c r="K89" s="29">
        <v>650</v>
      </c>
      <c r="L89" s="19">
        <v>3</v>
      </c>
      <c r="M89" s="29">
        <v>39000048</v>
      </c>
      <c r="N89" s="37">
        <v>6</v>
      </c>
      <c r="O89" s="20" t="s">
        <v>86</v>
      </c>
    </row>
    <row r="90" spans="3:15" ht="59.25" customHeight="1" x14ac:dyDescent="0.25">
      <c r="C90" s="17">
        <v>84</v>
      </c>
      <c r="D90" s="17" t="s">
        <v>211</v>
      </c>
      <c r="E90" s="83" t="s">
        <v>24</v>
      </c>
      <c r="F90" s="83"/>
      <c r="G90" s="83"/>
      <c r="H90" s="83"/>
      <c r="I90" s="29" t="s">
        <v>242</v>
      </c>
      <c r="J90" s="29" t="s">
        <v>15</v>
      </c>
      <c r="K90" s="29">
        <v>610</v>
      </c>
      <c r="L90" s="37">
        <v>6</v>
      </c>
      <c r="M90" s="20" t="s">
        <v>87</v>
      </c>
      <c r="N90" s="37">
        <v>6</v>
      </c>
      <c r="O90" s="20" t="s">
        <v>244</v>
      </c>
    </row>
    <row r="91" spans="3:15" ht="49.5" customHeight="1" x14ac:dyDescent="0.25">
      <c r="C91" s="17">
        <v>85</v>
      </c>
      <c r="D91" s="17" t="s">
        <v>212</v>
      </c>
      <c r="E91" s="83" t="s">
        <v>24</v>
      </c>
      <c r="F91" s="83"/>
      <c r="G91" s="83"/>
      <c r="H91" s="83"/>
      <c r="I91" s="29" t="s">
        <v>242</v>
      </c>
      <c r="J91" s="29" t="s">
        <v>48</v>
      </c>
      <c r="K91" s="29">
        <v>610</v>
      </c>
      <c r="L91" s="37">
        <v>6</v>
      </c>
      <c r="M91" s="20" t="s">
        <v>88</v>
      </c>
      <c r="N91" s="37">
        <v>6</v>
      </c>
      <c r="O91" s="20" t="s">
        <v>245</v>
      </c>
    </row>
    <row r="92" spans="3:15" ht="40.5" customHeight="1" x14ac:dyDescent="0.25">
      <c r="C92" s="17">
        <v>86</v>
      </c>
      <c r="D92" s="17" t="s">
        <v>213</v>
      </c>
      <c r="E92" s="83" t="s">
        <v>24</v>
      </c>
      <c r="F92" s="83"/>
      <c r="G92" s="83"/>
      <c r="H92" s="83"/>
      <c r="I92" s="29" t="s">
        <v>242</v>
      </c>
      <c r="J92" s="29" t="s">
        <v>75</v>
      </c>
      <c r="K92" s="29">
        <v>930</v>
      </c>
      <c r="L92" s="19">
        <v>3.2</v>
      </c>
      <c r="M92" s="29" t="s">
        <v>25</v>
      </c>
      <c r="N92" s="19">
        <v>1.9</v>
      </c>
      <c r="O92" s="21" t="s">
        <v>36</v>
      </c>
    </row>
    <row r="93" spans="3:15" ht="40.5" customHeight="1" x14ac:dyDescent="0.25">
      <c r="C93" s="17">
        <v>87</v>
      </c>
      <c r="D93" s="17" t="s">
        <v>214</v>
      </c>
      <c r="E93" s="83" t="s">
        <v>24</v>
      </c>
      <c r="F93" s="83"/>
      <c r="G93" s="83"/>
      <c r="H93" s="83"/>
      <c r="I93" s="29" t="s">
        <v>242</v>
      </c>
      <c r="J93" s="29" t="s">
        <v>27</v>
      </c>
      <c r="K93" s="29">
        <v>930</v>
      </c>
      <c r="L93" s="19">
        <v>1.9</v>
      </c>
      <c r="M93" s="29" t="s">
        <v>36</v>
      </c>
      <c r="N93" s="19">
        <v>3.2</v>
      </c>
      <c r="O93" s="21" t="s">
        <v>25</v>
      </c>
    </row>
    <row r="94" spans="3:15" ht="40.5" customHeight="1" x14ac:dyDescent="0.25">
      <c r="C94" s="17">
        <v>88</v>
      </c>
      <c r="D94" s="17" t="s">
        <v>215</v>
      </c>
      <c r="E94" s="83" t="s">
        <v>24</v>
      </c>
      <c r="F94" s="83"/>
      <c r="G94" s="83"/>
      <c r="H94" s="83"/>
      <c r="I94" s="29" t="s">
        <v>242</v>
      </c>
      <c r="J94" s="29" t="s">
        <v>19</v>
      </c>
      <c r="K94" s="29">
        <v>500</v>
      </c>
      <c r="L94" s="19">
        <v>3</v>
      </c>
      <c r="M94" s="29">
        <v>39000048</v>
      </c>
      <c r="N94" s="37">
        <v>6</v>
      </c>
      <c r="O94" s="20" t="s">
        <v>90</v>
      </c>
    </row>
    <row r="95" spans="3:15" ht="40.5" customHeight="1" x14ac:dyDescent="0.25">
      <c r="C95" s="17">
        <v>89</v>
      </c>
      <c r="D95" s="17" t="s">
        <v>216</v>
      </c>
      <c r="E95" s="83" t="s">
        <v>24</v>
      </c>
      <c r="F95" s="83"/>
      <c r="G95" s="83"/>
      <c r="H95" s="83"/>
      <c r="I95" s="29" t="s">
        <v>242</v>
      </c>
      <c r="J95" s="29" t="s">
        <v>16</v>
      </c>
      <c r="K95" s="29">
        <v>470</v>
      </c>
      <c r="L95" s="19">
        <v>3</v>
      </c>
      <c r="M95" s="29">
        <v>39000048</v>
      </c>
      <c r="N95" s="37">
        <v>6</v>
      </c>
      <c r="O95" s="20" t="s">
        <v>91</v>
      </c>
    </row>
    <row r="96" spans="3:15" ht="40.5" customHeight="1" x14ac:dyDescent="0.25">
      <c r="C96" s="17">
        <v>90</v>
      </c>
      <c r="D96" s="17" t="s">
        <v>217</v>
      </c>
      <c r="E96" s="83" t="s">
        <v>24</v>
      </c>
      <c r="F96" s="83"/>
      <c r="G96" s="83"/>
      <c r="H96" s="83"/>
      <c r="I96" s="29" t="s">
        <v>242</v>
      </c>
      <c r="J96" s="29" t="s">
        <v>18</v>
      </c>
      <c r="K96" s="29">
        <v>460</v>
      </c>
      <c r="L96" s="19">
        <v>3</v>
      </c>
      <c r="M96" s="29">
        <v>39000048</v>
      </c>
      <c r="N96" s="37">
        <v>6</v>
      </c>
      <c r="O96" s="20" t="s">
        <v>92</v>
      </c>
    </row>
    <row r="97" spans="3:15" ht="40.5" customHeight="1" x14ac:dyDescent="0.25">
      <c r="C97" s="17">
        <v>91</v>
      </c>
      <c r="D97" s="17" t="s">
        <v>239</v>
      </c>
      <c r="E97" s="83" t="s">
        <v>24</v>
      </c>
      <c r="F97" s="83"/>
      <c r="G97" s="83"/>
      <c r="H97" s="83"/>
      <c r="I97" s="29" t="s">
        <v>242</v>
      </c>
      <c r="J97" s="29" t="s">
        <v>18</v>
      </c>
      <c r="K97" s="29">
        <f>2220-140</f>
        <v>2080</v>
      </c>
      <c r="L97" s="19">
        <v>1.9</v>
      </c>
      <c r="M97" s="29" t="s">
        <v>39</v>
      </c>
      <c r="N97" s="19">
        <v>3</v>
      </c>
      <c r="O97" s="21" t="s">
        <v>238</v>
      </c>
    </row>
    <row r="98" spans="3:15" ht="40.5" customHeight="1" x14ac:dyDescent="0.25">
      <c r="C98" s="17">
        <v>92</v>
      </c>
      <c r="D98" s="17" t="s">
        <v>108</v>
      </c>
      <c r="E98" s="83" t="s">
        <v>31</v>
      </c>
      <c r="F98" s="83"/>
      <c r="G98" s="83"/>
      <c r="H98" s="83"/>
      <c r="I98" s="29" t="s">
        <v>234</v>
      </c>
      <c r="J98" s="29" t="s">
        <v>93</v>
      </c>
      <c r="K98" s="29">
        <v>360</v>
      </c>
      <c r="L98" s="19">
        <v>5</v>
      </c>
      <c r="M98" s="29" t="s">
        <v>44</v>
      </c>
      <c r="N98" s="36">
        <v>8.5</v>
      </c>
      <c r="O98" s="38" t="s">
        <v>226</v>
      </c>
    </row>
    <row r="99" spans="3:15" ht="40.5" customHeight="1" x14ac:dyDescent="0.25">
      <c r="C99" s="17">
        <v>93</v>
      </c>
      <c r="D99" s="17" t="s">
        <v>109</v>
      </c>
      <c r="E99" s="83" t="s">
        <v>24</v>
      </c>
      <c r="F99" s="83"/>
      <c r="G99" s="83"/>
      <c r="H99" s="83"/>
      <c r="I99" s="29" t="s">
        <v>242</v>
      </c>
      <c r="J99" s="29" t="s">
        <v>94</v>
      </c>
      <c r="K99" s="29">
        <v>2020</v>
      </c>
      <c r="L99" s="19">
        <v>1.9</v>
      </c>
      <c r="M99" s="29">
        <v>561349000</v>
      </c>
      <c r="N99" s="19">
        <v>3.2</v>
      </c>
      <c r="O99" s="20" t="s">
        <v>25</v>
      </c>
    </row>
    <row r="100" spans="3:15" ht="40.5" customHeight="1" x14ac:dyDescent="0.25">
      <c r="C100" s="17">
        <v>94</v>
      </c>
      <c r="D100" s="17" t="s">
        <v>110</v>
      </c>
      <c r="E100" s="83" t="s">
        <v>24</v>
      </c>
      <c r="F100" s="83"/>
      <c r="G100" s="83"/>
      <c r="H100" s="83"/>
      <c r="I100" s="29" t="s">
        <v>242</v>
      </c>
      <c r="J100" s="29" t="s">
        <v>95</v>
      </c>
      <c r="K100" s="29">
        <v>1825</v>
      </c>
      <c r="L100" s="19">
        <v>1.9</v>
      </c>
      <c r="M100" s="29">
        <v>561349000</v>
      </c>
      <c r="N100" s="19">
        <v>3</v>
      </c>
      <c r="O100" s="20" t="s">
        <v>107</v>
      </c>
    </row>
    <row r="101" spans="3:15" ht="40.5" customHeight="1" x14ac:dyDescent="0.25">
      <c r="C101" s="17">
        <v>95</v>
      </c>
      <c r="D101" s="17" t="s">
        <v>111</v>
      </c>
      <c r="E101" s="83" t="s">
        <v>24</v>
      </c>
      <c r="F101" s="83"/>
      <c r="G101" s="83"/>
      <c r="H101" s="83"/>
      <c r="I101" s="29" t="s">
        <v>242</v>
      </c>
      <c r="J101" s="29" t="s">
        <v>96</v>
      </c>
      <c r="K101" s="29">
        <v>1825</v>
      </c>
      <c r="L101" s="19">
        <v>1.9</v>
      </c>
      <c r="M101" s="29">
        <v>561349000</v>
      </c>
      <c r="N101" s="19">
        <v>3</v>
      </c>
      <c r="O101" s="20" t="s">
        <v>107</v>
      </c>
    </row>
    <row r="102" spans="3:15" ht="40.5" customHeight="1" x14ac:dyDescent="0.25">
      <c r="C102" s="17">
        <v>96</v>
      </c>
      <c r="D102" s="17" t="s">
        <v>112</v>
      </c>
      <c r="E102" s="83" t="s">
        <v>24</v>
      </c>
      <c r="F102" s="83"/>
      <c r="G102" s="83"/>
      <c r="H102" s="83"/>
      <c r="I102" s="29" t="s">
        <v>242</v>
      </c>
      <c r="J102" s="29" t="s">
        <v>97</v>
      </c>
      <c r="K102" s="29">
        <v>1825</v>
      </c>
      <c r="L102" s="19">
        <v>1.9</v>
      </c>
      <c r="M102" s="29">
        <v>561349000</v>
      </c>
      <c r="N102" s="19">
        <v>3</v>
      </c>
      <c r="O102" s="20" t="s">
        <v>107</v>
      </c>
    </row>
    <row r="103" spans="3:15" ht="40.5" customHeight="1" x14ac:dyDescent="0.25">
      <c r="C103" s="17">
        <v>97</v>
      </c>
      <c r="D103" s="17" t="s">
        <v>113</v>
      </c>
      <c r="E103" s="83" t="s">
        <v>24</v>
      </c>
      <c r="F103" s="83"/>
      <c r="G103" s="83"/>
      <c r="H103" s="83"/>
      <c r="I103" s="29" t="s">
        <v>242</v>
      </c>
      <c r="J103" s="29" t="s">
        <v>98</v>
      </c>
      <c r="K103" s="29">
        <v>1825</v>
      </c>
      <c r="L103" s="19">
        <v>1.9</v>
      </c>
      <c r="M103" s="29">
        <v>561349000</v>
      </c>
      <c r="N103" s="19">
        <v>3</v>
      </c>
      <c r="O103" s="20" t="s">
        <v>107</v>
      </c>
    </row>
    <row r="104" spans="3:15" ht="40.5" customHeight="1" x14ac:dyDescent="0.25">
      <c r="C104" s="17">
        <v>98</v>
      </c>
      <c r="D104" s="17" t="s">
        <v>114</v>
      </c>
      <c r="E104" s="83" t="s">
        <v>24</v>
      </c>
      <c r="F104" s="83"/>
      <c r="G104" s="83"/>
      <c r="H104" s="83"/>
      <c r="I104" s="29" t="s">
        <v>242</v>
      </c>
      <c r="J104" s="29" t="s">
        <v>95</v>
      </c>
      <c r="K104" s="29">
        <f>2400+10</f>
        <v>2410</v>
      </c>
      <c r="L104" s="19">
        <v>3</v>
      </c>
      <c r="M104" s="29" t="s">
        <v>107</v>
      </c>
      <c r="N104" s="19">
        <v>1.9</v>
      </c>
      <c r="O104" s="20">
        <v>561349000</v>
      </c>
    </row>
    <row r="105" spans="3:15" ht="40.5" customHeight="1" x14ac:dyDescent="0.25">
      <c r="C105" s="17">
        <v>99</v>
      </c>
      <c r="D105" s="17" t="s">
        <v>115</v>
      </c>
      <c r="E105" s="83" t="s">
        <v>24</v>
      </c>
      <c r="F105" s="83"/>
      <c r="G105" s="83"/>
      <c r="H105" s="83"/>
      <c r="I105" s="29" t="s">
        <v>242</v>
      </c>
      <c r="J105" s="29" t="s">
        <v>99</v>
      </c>
      <c r="K105" s="29">
        <f t="shared" ref="K105:K107" si="1">2400+10</f>
        <v>2410</v>
      </c>
      <c r="L105" s="19">
        <v>3</v>
      </c>
      <c r="M105" s="29" t="s">
        <v>107</v>
      </c>
      <c r="N105" s="19">
        <v>1.9</v>
      </c>
      <c r="O105" s="20">
        <v>561349000</v>
      </c>
    </row>
    <row r="106" spans="3:15" ht="40.5" customHeight="1" x14ac:dyDescent="0.25">
      <c r="C106" s="17">
        <v>100</v>
      </c>
      <c r="D106" s="17" t="s">
        <v>116</v>
      </c>
      <c r="E106" s="83" t="s">
        <v>24</v>
      </c>
      <c r="F106" s="83"/>
      <c r="G106" s="83"/>
      <c r="H106" s="83"/>
      <c r="I106" s="29" t="s">
        <v>242</v>
      </c>
      <c r="J106" s="29" t="s">
        <v>100</v>
      </c>
      <c r="K106" s="29">
        <f t="shared" si="1"/>
        <v>2410</v>
      </c>
      <c r="L106" s="19">
        <v>1.9</v>
      </c>
      <c r="M106" s="29">
        <v>561349000</v>
      </c>
      <c r="N106" s="19">
        <v>3</v>
      </c>
      <c r="O106" s="20" t="s">
        <v>107</v>
      </c>
    </row>
    <row r="107" spans="3:15" ht="40.5" customHeight="1" x14ac:dyDescent="0.25">
      <c r="C107" s="17">
        <v>101</v>
      </c>
      <c r="D107" s="17" t="s">
        <v>117</v>
      </c>
      <c r="E107" s="83" t="s">
        <v>24</v>
      </c>
      <c r="F107" s="83"/>
      <c r="G107" s="83"/>
      <c r="H107" s="83"/>
      <c r="I107" s="29" t="s">
        <v>242</v>
      </c>
      <c r="J107" s="29" t="s">
        <v>101</v>
      </c>
      <c r="K107" s="29">
        <f t="shared" si="1"/>
        <v>2410</v>
      </c>
      <c r="L107" s="19">
        <v>1.9</v>
      </c>
      <c r="M107" s="29">
        <v>561349000</v>
      </c>
      <c r="N107" s="19">
        <v>3</v>
      </c>
      <c r="O107" s="20" t="s">
        <v>107</v>
      </c>
    </row>
    <row r="108" spans="3:15" ht="40.5" customHeight="1" x14ac:dyDescent="0.25">
      <c r="C108" s="17">
        <v>102</v>
      </c>
      <c r="D108" s="17" t="s">
        <v>118</v>
      </c>
      <c r="E108" s="83" t="s">
        <v>24</v>
      </c>
      <c r="F108" s="83"/>
      <c r="G108" s="83"/>
      <c r="H108" s="83"/>
      <c r="I108" s="29" t="s">
        <v>242</v>
      </c>
      <c r="J108" s="29" t="s">
        <v>102</v>
      </c>
      <c r="K108" s="29">
        <v>1810</v>
      </c>
      <c r="L108" s="19">
        <v>1.9</v>
      </c>
      <c r="M108" s="29" t="s">
        <v>36</v>
      </c>
      <c r="N108" s="19">
        <v>3.5</v>
      </c>
      <c r="O108" s="20" t="s">
        <v>89</v>
      </c>
    </row>
    <row r="109" spans="3:15" ht="40.5" customHeight="1" x14ac:dyDescent="0.25">
      <c r="C109" s="17">
        <v>103</v>
      </c>
      <c r="D109" s="17" t="s">
        <v>119</v>
      </c>
      <c r="E109" s="83" t="s">
        <v>24</v>
      </c>
      <c r="F109" s="83"/>
      <c r="G109" s="83"/>
      <c r="H109" s="83"/>
      <c r="I109" s="29" t="s">
        <v>242</v>
      </c>
      <c r="J109" s="29" t="s">
        <v>95</v>
      </c>
      <c r="K109" s="29">
        <v>1810</v>
      </c>
      <c r="L109" s="19">
        <v>1.9</v>
      </c>
      <c r="M109" s="29" t="s">
        <v>36</v>
      </c>
      <c r="N109" s="19">
        <v>3.5</v>
      </c>
      <c r="O109" s="20" t="s">
        <v>89</v>
      </c>
    </row>
    <row r="110" spans="3:15" ht="40.5" customHeight="1" x14ac:dyDescent="0.25">
      <c r="C110" s="17">
        <v>104</v>
      </c>
      <c r="D110" s="17" t="s">
        <v>120</v>
      </c>
      <c r="E110" s="83" t="s">
        <v>24</v>
      </c>
      <c r="F110" s="83"/>
      <c r="G110" s="83"/>
      <c r="H110" s="83"/>
      <c r="I110" s="29" t="s">
        <v>242</v>
      </c>
      <c r="J110" s="29" t="s">
        <v>103</v>
      </c>
      <c r="K110" s="29">
        <v>1810</v>
      </c>
      <c r="L110" s="19">
        <v>1.9</v>
      </c>
      <c r="M110" s="29" t="s">
        <v>36</v>
      </c>
      <c r="N110" s="19">
        <v>3.5</v>
      </c>
      <c r="O110" s="20" t="s">
        <v>89</v>
      </c>
    </row>
    <row r="111" spans="3:15" ht="40.5" customHeight="1" x14ac:dyDescent="0.25">
      <c r="C111" s="17">
        <v>105</v>
      </c>
      <c r="D111" s="17" t="s">
        <v>121</v>
      </c>
      <c r="E111" s="83" t="s">
        <v>24</v>
      </c>
      <c r="F111" s="83"/>
      <c r="G111" s="83"/>
      <c r="H111" s="83"/>
      <c r="I111" s="29" t="s">
        <v>242</v>
      </c>
      <c r="J111" s="29" t="s">
        <v>94</v>
      </c>
      <c r="K111" s="29">
        <v>1810</v>
      </c>
      <c r="L111" s="19">
        <v>1.9</v>
      </c>
      <c r="M111" s="29" t="s">
        <v>36</v>
      </c>
      <c r="N111" s="19">
        <v>3.5</v>
      </c>
      <c r="O111" s="20" t="s">
        <v>89</v>
      </c>
    </row>
    <row r="112" spans="3:15" ht="40.5" customHeight="1" x14ac:dyDescent="0.25">
      <c r="C112" s="17">
        <v>106</v>
      </c>
      <c r="D112" s="17" t="s">
        <v>122</v>
      </c>
      <c r="E112" s="83" t="s">
        <v>24</v>
      </c>
      <c r="F112" s="83"/>
      <c r="G112" s="83"/>
      <c r="H112" s="83"/>
      <c r="I112" s="29" t="s">
        <v>242</v>
      </c>
      <c r="J112" s="29" t="s">
        <v>94</v>
      </c>
      <c r="K112" s="29">
        <f>1060+35</f>
        <v>1095</v>
      </c>
      <c r="L112" s="19">
        <v>3</v>
      </c>
      <c r="M112" s="29" t="s">
        <v>107</v>
      </c>
      <c r="N112" s="37">
        <v>6</v>
      </c>
      <c r="O112" s="20" t="s">
        <v>227</v>
      </c>
    </row>
    <row r="113" spans="3:15" ht="40.5" customHeight="1" x14ac:dyDescent="0.25">
      <c r="C113" s="17">
        <v>107</v>
      </c>
      <c r="D113" s="17" t="s">
        <v>123</v>
      </c>
      <c r="E113" s="83" t="s">
        <v>24</v>
      </c>
      <c r="F113" s="83"/>
      <c r="G113" s="83"/>
      <c r="H113" s="83"/>
      <c r="I113" s="29" t="s">
        <v>242</v>
      </c>
      <c r="J113" s="29" t="s">
        <v>104</v>
      </c>
      <c r="K113" s="29">
        <f>1840+5</f>
        <v>1845</v>
      </c>
      <c r="L113" s="19">
        <v>3</v>
      </c>
      <c r="M113" s="29" t="s">
        <v>107</v>
      </c>
      <c r="N113" s="19">
        <v>1.7</v>
      </c>
      <c r="O113" s="20">
        <v>561349000</v>
      </c>
    </row>
    <row r="114" spans="3:15" ht="40.5" customHeight="1" x14ac:dyDescent="0.25">
      <c r="C114" s="17">
        <v>108</v>
      </c>
      <c r="D114" s="17" t="s">
        <v>124</v>
      </c>
      <c r="E114" s="83" t="s">
        <v>24</v>
      </c>
      <c r="F114" s="83"/>
      <c r="G114" s="83"/>
      <c r="H114" s="83"/>
      <c r="I114" s="29" t="s">
        <v>242</v>
      </c>
      <c r="J114" s="29" t="s">
        <v>97</v>
      </c>
      <c r="K114" s="29">
        <f>1825+25</f>
        <v>1850</v>
      </c>
      <c r="L114" s="19">
        <v>1.9</v>
      </c>
      <c r="M114" s="29">
        <v>561349000</v>
      </c>
      <c r="N114" s="19">
        <v>3</v>
      </c>
      <c r="O114" s="20" t="s">
        <v>107</v>
      </c>
    </row>
    <row r="115" spans="3:15" ht="40.5" customHeight="1" x14ac:dyDescent="0.25">
      <c r="C115" s="17">
        <v>109</v>
      </c>
      <c r="D115" s="17" t="s">
        <v>125</v>
      </c>
      <c r="E115" s="83" t="s">
        <v>24</v>
      </c>
      <c r="F115" s="83"/>
      <c r="G115" s="83"/>
      <c r="H115" s="83"/>
      <c r="I115" s="29" t="s">
        <v>242</v>
      </c>
      <c r="J115" s="29" t="s">
        <v>105</v>
      </c>
      <c r="K115" s="29">
        <f>1650+35</f>
        <v>1685</v>
      </c>
      <c r="L115" s="19">
        <v>3</v>
      </c>
      <c r="M115" s="29" t="s">
        <v>107</v>
      </c>
      <c r="N115" s="19">
        <v>1.9</v>
      </c>
      <c r="O115" s="20" t="s">
        <v>39</v>
      </c>
    </row>
    <row r="116" spans="3:15" ht="40.5" customHeight="1" x14ac:dyDescent="0.25">
      <c r="C116" s="17">
        <v>110</v>
      </c>
      <c r="D116" s="17" t="s">
        <v>126</v>
      </c>
      <c r="E116" s="83" t="s">
        <v>24</v>
      </c>
      <c r="F116" s="83"/>
      <c r="G116" s="83"/>
      <c r="H116" s="83"/>
      <c r="I116" s="29" t="s">
        <v>242</v>
      </c>
      <c r="J116" s="29" t="s">
        <v>106</v>
      </c>
      <c r="K116" s="29">
        <f>1650+35</f>
        <v>1685</v>
      </c>
      <c r="L116" s="19">
        <v>3</v>
      </c>
      <c r="M116" s="29" t="s">
        <v>107</v>
      </c>
      <c r="N116" s="16">
        <v>1.9</v>
      </c>
      <c r="O116" s="20" t="s">
        <v>39</v>
      </c>
    </row>
    <row r="117" spans="3:15" ht="40.5" customHeight="1" x14ac:dyDescent="0.25">
      <c r="C117" s="17">
        <v>111</v>
      </c>
      <c r="D117" s="17" t="s">
        <v>127</v>
      </c>
      <c r="E117" s="83" t="s">
        <v>24</v>
      </c>
      <c r="F117" s="83"/>
      <c r="G117" s="83"/>
      <c r="H117" s="83"/>
      <c r="I117" s="29" t="s">
        <v>242</v>
      </c>
      <c r="J117" s="29" t="s">
        <v>101</v>
      </c>
      <c r="K117" s="29">
        <v>3130</v>
      </c>
      <c r="L117" s="16">
        <v>1.9</v>
      </c>
      <c r="M117" s="29" t="s">
        <v>39</v>
      </c>
      <c r="N117" s="16">
        <v>3.2</v>
      </c>
      <c r="O117" s="20" t="s">
        <v>47</v>
      </c>
    </row>
    <row r="118" spans="3:15" ht="40.5" customHeight="1" x14ac:dyDescent="0.25">
      <c r="C118" s="17">
        <v>112</v>
      </c>
      <c r="D118" s="17" t="s">
        <v>128</v>
      </c>
      <c r="E118" s="83" t="s">
        <v>24</v>
      </c>
      <c r="F118" s="83"/>
      <c r="G118" s="83"/>
      <c r="H118" s="83"/>
      <c r="I118" s="29" t="s">
        <v>242</v>
      </c>
      <c r="J118" s="29" t="s">
        <v>94</v>
      </c>
      <c r="K118" s="29">
        <f>4680+50</f>
        <v>4730</v>
      </c>
      <c r="L118" s="16">
        <v>3.2</v>
      </c>
      <c r="M118" s="29" t="s">
        <v>47</v>
      </c>
      <c r="N118" s="16">
        <v>3.2</v>
      </c>
      <c r="O118" s="20" t="s">
        <v>47</v>
      </c>
    </row>
    <row r="119" spans="3:15" ht="40.5" customHeight="1" x14ac:dyDescent="0.25">
      <c r="C119" s="17">
        <v>113</v>
      </c>
      <c r="D119" s="17" t="s">
        <v>129</v>
      </c>
      <c r="E119" s="83" t="s">
        <v>24</v>
      </c>
      <c r="F119" s="83"/>
      <c r="G119" s="83"/>
      <c r="H119" s="83"/>
      <c r="I119" s="29" t="s">
        <v>242</v>
      </c>
      <c r="J119" s="29" t="s">
        <v>97</v>
      </c>
      <c r="K119" s="29">
        <f>2115+20</f>
        <v>2135</v>
      </c>
      <c r="L119" s="16">
        <v>3.2</v>
      </c>
      <c r="M119" s="29" t="s">
        <v>47</v>
      </c>
      <c r="N119" s="16">
        <v>1.9</v>
      </c>
      <c r="O119" s="20" t="s">
        <v>39</v>
      </c>
    </row>
    <row r="120" spans="3:15" ht="35.450000000000003" customHeight="1" thickBot="1" x14ac:dyDescent="0.3">
      <c r="C120" s="84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6"/>
    </row>
    <row r="121" spans="3:15" ht="31.35" customHeight="1" x14ac:dyDescent="0.25">
      <c r="C121" s="87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9"/>
    </row>
    <row r="122" spans="3:15" ht="9.75" hidden="1" customHeight="1" x14ac:dyDescent="0.25">
      <c r="C122" s="1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"/>
    </row>
    <row r="123" spans="3:15" ht="21" customHeight="1" thickBot="1" x14ac:dyDescent="0.3">
      <c r="C123" s="90" t="s">
        <v>20</v>
      </c>
      <c r="D123" s="91"/>
      <c r="E123" s="91"/>
      <c r="F123" s="91"/>
      <c r="G123" s="91"/>
      <c r="H123" s="91"/>
      <c r="I123" s="8"/>
      <c r="J123" s="91" t="s">
        <v>21</v>
      </c>
      <c r="K123" s="91"/>
      <c r="L123" s="8"/>
      <c r="M123" s="8"/>
      <c r="N123" s="9" t="s">
        <v>22</v>
      </c>
      <c r="O123" s="10"/>
    </row>
    <row r="124" spans="3:15" ht="24" customHeight="1" thickBot="1" x14ac:dyDescent="0.3">
      <c r="C124" s="80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2"/>
    </row>
    <row r="125" spans="3:15" ht="15.75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</sheetData>
  <sheetProtection password="DE0D" sheet="1" objects="1" scenarios="1"/>
  <mergeCells count="142">
    <mergeCell ref="E6:H6"/>
    <mergeCell ref="E7:H7"/>
    <mergeCell ref="E51:H51"/>
    <mergeCell ref="E52:H52"/>
    <mergeCell ref="E53:H53"/>
    <mergeCell ref="E54:H54"/>
    <mergeCell ref="E49:H49"/>
    <mergeCell ref="E50:H50"/>
    <mergeCell ref="E39:H39"/>
    <mergeCell ref="E40:H40"/>
    <mergeCell ref="E41:H41"/>
    <mergeCell ref="E42:H42"/>
    <mergeCell ref="E19:H19"/>
    <mergeCell ref="E43:H43"/>
    <mergeCell ref="E44:H44"/>
    <mergeCell ref="E45:H45"/>
    <mergeCell ref="E46:H46"/>
    <mergeCell ref="E47:H47"/>
    <mergeCell ref="E48:H48"/>
    <mergeCell ref="E64:H64"/>
    <mergeCell ref="E65:H65"/>
    <mergeCell ref="E66:H66"/>
    <mergeCell ref="E67:H67"/>
    <mergeCell ref="E68:H68"/>
    <mergeCell ref="E69:H69"/>
    <mergeCell ref="E70:H70"/>
    <mergeCell ref="E71:H71"/>
    <mergeCell ref="E72:H72"/>
    <mergeCell ref="E99:H99"/>
    <mergeCell ref="E100:H100"/>
    <mergeCell ref="E101:H101"/>
    <mergeCell ref="E102:H102"/>
    <mergeCell ref="E97:H97"/>
    <mergeCell ref="E98:H98"/>
    <mergeCell ref="E87:H87"/>
    <mergeCell ref="E88:H88"/>
    <mergeCell ref="E89:H89"/>
    <mergeCell ref="E90:H90"/>
    <mergeCell ref="E92:H92"/>
    <mergeCell ref="E93:H93"/>
    <mergeCell ref="E94:H94"/>
    <mergeCell ref="E95:H95"/>
    <mergeCell ref="E96:H96"/>
    <mergeCell ref="C1:O1"/>
    <mergeCell ref="C2:O2"/>
    <mergeCell ref="C3:H3"/>
    <mergeCell ref="L3:M3"/>
    <mergeCell ref="N3:O3"/>
    <mergeCell ref="C4:H4"/>
    <mergeCell ref="L4:M4"/>
    <mergeCell ref="N4:O4"/>
    <mergeCell ref="C5:H5"/>
    <mergeCell ref="L5:M5"/>
    <mergeCell ref="N5:O5"/>
    <mergeCell ref="S19:V19"/>
    <mergeCell ref="E20:H20"/>
    <mergeCell ref="S20:V20"/>
    <mergeCell ref="E21:H21"/>
    <mergeCell ref="S21:V21"/>
    <mergeCell ref="E8:H8"/>
    <mergeCell ref="E9:H9"/>
    <mergeCell ref="E10:H10"/>
    <mergeCell ref="E11:H11"/>
    <mergeCell ref="E12:H12"/>
    <mergeCell ref="E13:H13"/>
    <mergeCell ref="E15:H15"/>
    <mergeCell ref="E16:H16"/>
    <mergeCell ref="E17:H17"/>
    <mergeCell ref="E18:H18"/>
    <mergeCell ref="E14:H14"/>
    <mergeCell ref="S26:V26"/>
    <mergeCell ref="E27:H27"/>
    <mergeCell ref="S27:V27"/>
    <mergeCell ref="E28:H28"/>
    <mergeCell ref="S28:V28"/>
    <mergeCell ref="E29:H29"/>
    <mergeCell ref="S29:V29"/>
    <mergeCell ref="S22:V22"/>
    <mergeCell ref="E23:H23"/>
    <mergeCell ref="S23:V23"/>
    <mergeCell ref="E24:H24"/>
    <mergeCell ref="S24:V24"/>
    <mergeCell ref="E25:H25"/>
    <mergeCell ref="S25:V25"/>
    <mergeCell ref="E22:H22"/>
    <mergeCell ref="E26:H26"/>
    <mergeCell ref="S30:V30"/>
    <mergeCell ref="E31:H31"/>
    <mergeCell ref="E32:H32"/>
    <mergeCell ref="E33:H33"/>
    <mergeCell ref="E34:H34"/>
    <mergeCell ref="E35:H35"/>
    <mergeCell ref="E36:H36"/>
    <mergeCell ref="E37:H37"/>
    <mergeCell ref="E38:H38"/>
    <mergeCell ref="E30:H30"/>
    <mergeCell ref="E55:H55"/>
    <mergeCell ref="E56:H56"/>
    <mergeCell ref="E57:H57"/>
    <mergeCell ref="E58:H58"/>
    <mergeCell ref="E59:H59"/>
    <mergeCell ref="E60:H60"/>
    <mergeCell ref="E61:H61"/>
    <mergeCell ref="E62:H62"/>
    <mergeCell ref="E91:H91"/>
    <mergeCell ref="E79:H79"/>
    <mergeCell ref="E80:H80"/>
    <mergeCell ref="E81:H81"/>
    <mergeCell ref="E82:H82"/>
    <mergeCell ref="E83:H83"/>
    <mergeCell ref="E84:H84"/>
    <mergeCell ref="E85:H85"/>
    <mergeCell ref="E86:H86"/>
    <mergeCell ref="E75:H75"/>
    <mergeCell ref="E76:H76"/>
    <mergeCell ref="E77:H77"/>
    <mergeCell ref="E78:H78"/>
    <mergeCell ref="E73:H73"/>
    <mergeCell ref="E74:H74"/>
    <mergeCell ref="E63:H63"/>
    <mergeCell ref="C124:O124"/>
    <mergeCell ref="E115:H115"/>
    <mergeCell ref="E116:H116"/>
    <mergeCell ref="E117:H117"/>
    <mergeCell ref="E118:H118"/>
    <mergeCell ref="E119:H119"/>
    <mergeCell ref="C120:O120"/>
    <mergeCell ref="E103:H103"/>
    <mergeCell ref="E104:H104"/>
    <mergeCell ref="E105:H105"/>
    <mergeCell ref="E106:H106"/>
    <mergeCell ref="E107:H107"/>
    <mergeCell ref="E108:H108"/>
    <mergeCell ref="C121:O121"/>
    <mergeCell ref="C123:H123"/>
    <mergeCell ref="J123:K123"/>
    <mergeCell ref="E111:H111"/>
    <mergeCell ref="E112:H112"/>
    <mergeCell ref="E113:H113"/>
    <mergeCell ref="E114:H114"/>
    <mergeCell ref="E109:H109"/>
    <mergeCell ref="E110:H110"/>
  </mergeCells>
  <printOptions horizontalCentered="1" verticalCentered="1"/>
  <pageMargins left="0" right="0" top="0" bottom="0" header="0" footer="0"/>
  <pageSetup scale="40" orientation="landscape" r:id="rId1"/>
  <rowBreaks count="3" manualBreakCount="3">
    <brk id="36" max="14" man="1"/>
    <brk id="66" max="14" man="1"/>
    <brk id="96" max="14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AF125"/>
  <sheetViews>
    <sheetView view="pageBreakPreview" zoomScale="60" zoomScaleNormal="85" workbookViewId="0">
      <selection activeCell="M8" sqref="M8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5.140625" customWidth="1"/>
    <col min="9" max="9" width="50" customWidth="1"/>
    <col min="10" max="10" width="39.5703125" customWidth="1"/>
    <col min="11" max="11" width="34.85546875" customWidth="1"/>
    <col min="12" max="12" width="26.5703125" customWidth="1"/>
    <col min="13" max="13" width="34.28515625" customWidth="1"/>
    <col min="14" max="14" width="18.140625" customWidth="1"/>
    <col min="15" max="15" width="45.7109375" customWidth="1"/>
    <col min="16" max="16" width="6.85546875" customWidth="1"/>
    <col min="18" max="18" width="13" customWidth="1"/>
    <col min="23" max="23" width="30.5703125" customWidth="1"/>
    <col min="24" max="24" width="18.42578125" customWidth="1"/>
    <col min="25" max="25" width="18" customWidth="1"/>
    <col min="26" max="26" width="14.5703125" customWidth="1"/>
    <col min="27" max="27" width="23.5703125" customWidth="1"/>
    <col min="28" max="28" width="16.28515625" customWidth="1"/>
    <col min="29" max="29" width="21.7109375" customWidth="1"/>
  </cols>
  <sheetData>
    <row r="1" spans="3:15" ht="55.5" customHeight="1" thickBot="1" x14ac:dyDescent="0.3">
      <c r="C1" s="117" t="s">
        <v>0</v>
      </c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9"/>
    </row>
    <row r="2" spans="3:15" ht="28.35" customHeight="1" x14ac:dyDescent="0.25">
      <c r="C2" s="128" t="s">
        <v>1</v>
      </c>
      <c r="D2" s="129"/>
      <c r="E2" s="129"/>
      <c r="F2" s="129"/>
      <c r="G2" s="129"/>
      <c r="H2" s="130"/>
      <c r="I2" s="130"/>
      <c r="J2" s="130"/>
      <c r="K2" s="130"/>
      <c r="L2" s="130"/>
      <c r="M2" s="130"/>
      <c r="N2" s="130"/>
      <c r="O2" s="131"/>
    </row>
    <row r="3" spans="3:15" ht="15.95" customHeight="1" x14ac:dyDescent="0.25">
      <c r="C3" s="108" t="s">
        <v>2</v>
      </c>
      <c r="D3" s="109"/>
      <c r="E3" s="109"/>
      <c r="F3" s="109"/>
      <c r="G3" s="109"/>
      <c r="H3" s="94"/>
      <c r="I3" s="14" t="s">
        <v>218</v>
      </c>
      <c r="J3" s="11" t="s">
        <v>228</v>
      </c>
      <c r="K3" s="12"/>
      <c r="L3" s="110" t="s">
        <v>229</v>
      </c>
      <c r="M3" s="94"/>
      <c r="N3" s="110" t="s">
        <v>230</v>
      </c>
      <c r="O3" s="111"/>
    </row>
    <row r="4" spans="3:15" ht="21" customHeight="1" x14ac:dyDescent="0.25">
      <c r="C4" s="112" t="s">
        <v>3</v>
      </c>
      <c r="D4" s="113"/>
      <c r="E4" s="113"/>
      <c r="F4" s="113"/>
      <c r="G4" s="113"/>
      <c r="H4" s="114"/>
      <c r="I4" s="12" t="s">
        <v>4</v>
      </c>
      <c r="J4" s="13" t="s">
        <v>231</v>
      </c>
      <c r="K4" s="12">
        <v>0</v>
      </c>
      <c r="L4" s="115" t="s">
        <v>232</v>
      </c>
      <c r="M4" s="113"/>
      <c r="N4" s="114" t="s">
        <v>241</v>
      </c>
      <c r="O4" s="116"/>
    </row>
    <row r="5" spans="3:15" ht="21" customHeight="1" x14ac:dyDescent="0.25">
      <c r="C5" s="93" t="s">
        <v>5</v>
      </c>
      <c r="D5" s="94"/>
      <c r="E5" s="94"/>
      <c r="F5" s="94"/>
      <c r="G5" s="94"/>
      <c r="H5" s="95"/>
      <c r="I5" s="14" t="s">
        <v>23</v>
      </c>
      <c r="J5" s="13" t="s">
        <v>233</v>
      </c>
      <c r="K5" s="12" t="s">
        <v>243</v>
      </c>
      <c r="L5" s="96" t="s">
        <v>6</v>
      </c>
      <c r="M5" s="97"/>
      <c r="N5" s="98" t="s">
        <v>7</v>
      </c>
      <c r="O5" s="99"/>
    </row>
    <row r="6" spans="3:15" ht="56.25" customHeight="1" x14ac:dyDescent="0.25">
      <c r="C6" s="6" t="s">
        <v>236</v>
      </c>
      <c r="D6" s="6" t="s">
        <v>8</v>
      </c>
      <c r="E6" s="100" t="s">
        <v>9</v>
      </c>
      <c r="F6" s="100"/>
      <c r="G6" s="100"/>
      <c r="H6" s="100"/>
      <c r="I6" s="5" t="s">
        <v>10</v>
      </c>
      <c r="J6" s="4" t="s">
        <v>11</v>
      </c>
      <c r="K6" s="4" t="s">
        <v>12</v>
      </c>
      <c r="L6" s="5" t="s">
        <v>13</v>
      </c>
      <c r="M6" s="5" t="s">
        <v>14</v>
      </c>
      <c r="N6" s="5" t="s">
        <v>13</v>
      </c>
      <c r="O6" s="7" t="s">
        <v>14</v>
      </c>
    </row>
    <row r="7" spans="3:15" ht="40.5" customHeight="1" x14ac:dyDescent="0.25">
      <c r="C7" s="17">
        <v>1</v>
      </c>
      <c r="D7" s="17" t="s">
        <v>130</v>
      </c>
      <c r="E7" s="83" t="s">
        <v>31</v>
      </c>
      <c r="F7" s="83"/>
      <c r="G7" s="83"/>
      <c r="H7" s="83"/>
      <c r="I7" s="18" t="s">
        <v>234</v>
      </c>
      <c r="J7" s="18" t="s">
        <v>32</v>
      </c>
      <c r="K7" s="24">
        <v>980</v>
      </c>
      <c r="L7" s="16">
        <v>4.8</v>
      </c>
      <c r="M7" s="18" t="s">
        <v>246</v>
      </c>
      <c r="N7" s="19">
        <v>10</v>
      </c>
      <c r="O7" s="20" t="s">
        <v>37</v>
      </c>
    </row>
    <row r="8" spans="3:15" ht="40.5" customHeight="1" x14ac:dyDescent="0.25">
      <c r="C8" s="17">
        <v>2</v>
      </c>
      <c r="D8" s="17" t="s">
        <v>131</v>
      </c>
      <c r="E8" s="83" t="s">
        <v>31</v>
      </c>
      <c r="F8" s="83"/>
      <c r="G8" s="83"/>
      <c r="H8" s="83"/>
      <c r="I8" s="18" t="s">
        <v>234</v>
      </c>
      <c r="J8" s="18" t="s">
        <v>33</v>
      </c>
      <c r="K8" s="24">
        <v>1200</v>
      </c>
      <c r="L8" s="19">
        <v>10</v>
      </c>
      <c r="M8" s="20" t="s">
        <v>38</v>
      </c>
      <c r="N8" s="19">
        <v>4.8</v>
      </c>
      <c r="O8" s="21" t="s">
        <v>246</v>
      </c>
    </row>
    <row r="9" spans="3:15" ht="40.5" customHeight="1" x14ac:dyDescent="0.25">
      <c r="C9" s="17">
        <v>3</v>
      </c>
      <c r="D9" s="17" t="s">
        <v>132</v>
      </c>
      <c r="E9" s="83" t="s">
        <v>34</v>
      </c>
      <c r="F9" s="83"/>
      <c r="G9" s="83"/>
      <c r="H9" s="83"/>
      <c r="I9" s="18" t="s">
        <v>235</v>
      </c>
      <c r="J9" s="18" t="s">
        <v>29</v>
      </c>
      <c r="K9" s="18">
        <f>2615+15</f>
        <v>2630</v>
      </c>
      <c r="L9" s="19">
        <v>3.5</v>
      </c>
      <c r="M9" s="18" t="s">
        <v>35</v>
      </c>
      <c r="N9" s="19">
        <v>3</v>
      </c>
      <c r="O9" s="21">
        <v>39000040</v>
      </c>
    </row>
    <row r="10" spans="3:15" ht="40.5" customHeight="1" x14ac:dyDescent="0.25">
      <c r="C10" s="17">
        <v>4</v>
      </c>
      <c r="D10" s="17" t="s">
        <v>133</v>
      </c>
      <c r="E10" s="83" t="s">
        <v>31</v>
      </c>
      <c r="F10" s="83"/>
      <c r="G10" s="83"/>
      <c r="H10" s="83"/>
      <c r="I10" s="18" t="s">
        <v>234</v>
      </c>
      <c r="J10" s="18" t="s">
        <v>32</v>
      </c>
      <c r="K10" s="18">
        <v>625</v>
      </c>
      <c r="L10" s="19">
        <v>3</v>
      </c>
      <c r="M10" s="21">
        <v>39000040</v>
      </c>
      <c r="N10" s="19">
        <v>10</v>
      </c>
      <c r="O10" s="20" t="s">
        <v>220</v>
      </c>
    </row>
    <row r="11" spans="3:15" ht="40.5" customHeight="1" x14ac:dyDescent="0.25">
      <c r="C11" s="17">
        <v>5</v>
      </c>
      <c r="D11" s="17" t="s">
        <v>134</v>
      </c>
      <c r="E11" s="83" t="s">
        <v>24</v>
      </c>
      <c r="F11" s="83"/>
      <c r="G11" s="83"/>
      <c r="H11" s="83"/>
      <c r="I11" s="18" t="s">
        <v>242</v>
      </c>
      <c r="J11" s="18" t="s">
        <v>15</v>
      </c>
      <c r="K11" s="18">
        <v>1610</v>
      </c>
      <c r="L11" s="19">
        <v>2</v>
      </c>
      <c r="M11" s="18" t="s">
        <v>36</v>
      </c>
      <c r="N11" s="19">
        <v>7</v>
      </c>
      <c r="O11" s="20" t="s">
        <v>221</v>
      </c>
    </row>
    <row r="12" spans="3:15" ht="40.5" customHeight="1" x14ac:dyDescent="0.25">
      <c r="C12" s="17">
        <v>6</v>
      </c>
      <c r="D12" s="17" t="s">
        <v>135</v>
      </c>
      <c r="E12" s="83" t="s">
        <v>24</v>
      </c>
      <c r="F12" s="83"/>
      <c r="G12" s="83"/>
      <c r="H12" s="83"/>
      <c r="I12" s="18" t="s">
        <v>242</v>
      </c>
      <c r="J12" s="18" t="s">
        <v>33</v>
      </c>
      <c r="K12" s="18">
        <v>650</v>
      </c>
      <c r="L12" s="19">
        <v>3</v>
      </c>
      <c r="M12" s="18">
        <v>39000048</v>
      </c>
      <c r="N12" s="19">
        <v>7</v>
      </c>
      <c r="O12" s="20" t="s">
        <v>222</v>
      </c>
    </row>
    <row r="13" spans="3:15" ht="40.5" customHeight="1" x14ac:dyDescent="0.25">
      <c r="C13" s="17">
        <v>7</v>
      </c>
      <c r="D13" s="17" t="s">
        <v>136</v>
      </c>
      <c r="E13" s="83" t="s">
        <v>24</v>
      </c>
      <c r="F13" s="83"/>
      <c r="G13" s="83"/>
      <c r="H13" s="83"/>
      <c r="I13" s="18" t="s">
        <v>242</v>
      </c>
      <c r="J13" s="18" t="s">
        <v>15</v>
      </c>
      <c r="K13" s="18">
        <f>1400+10</f>
        <v>1410</v>
      </c>
      <c r="L13" s="19">
        <v>1.8</v>
      </c>
      <c r="M13" s="18" t="s">
        <v>39</v>
      </c>
      <c r="N13" s="19">
        <v>3</v>
      </c>
      <c r="O13" s="21">
        <v>39000048</v>
      </c>
    </row>
    <row r="14" spans="3:15" ht="40.5" customHeight="1" x14ac:dyDescent="0.25">
      <c r="C14" s="17">
        <v>8</v>
      </c>
      <c r="D14" s="17" t="s">
        <v>137</v>
      </c>
      <c r="E14" s="83" t="s">
        <v>24</v>
      </c>
      <c r="F14" s="83"/>
      <c r="G14" s="83"/>
      <c r="H14" s="83"/>
      <c r="I14" s="18" t="s">
        <v>242</v>
      </c>
      <c r="J14" s="18" t="s">
        <v>17</v>
      </c>
      <c r="K14" s="18">
        <f>1400+10</f>
        <v>1410</v>
      </c>
      <c r="L14" s="19">
        <v>3</v>
      </c>
      <c r="M14" s="18">
        <v>39000048</v>
      </c>
      <c r="N14" s="19">
        <v>2</v>
      </c>
      <c r="O14" s="20" t="s">
        <v>39</v>
      </c>
    </row>
    <row r="15" spans="3:15" ht="40.5" customHeight="1" x14ac:dyDescent="0.25">
      <c r="C15" s="17">
        <v>9</v>
      </c>
      <c r="D15" s="17" t="s">
        <v>138</v>
      </c>
      <c r="E15" s="83" t="s">
        <v>34</v>
      </c>
      <c r="F15" s="83"/>
      <c r="G15" s="83"/>
      <c r="H15" s="83"/>
      <c r="I15" s="18" t="s">
        <v>235</v>
      </c>
      <c r="J15" s="18" t="s">
        <v>16</v>
      </c>
      <c r="K15" s="18">
        <v>1230</v>
      </c>
      <c r="L15" s="19">
        <v>3.5</v>
      </c>
      <c r="M15" s="18" t="s">
        <v>35</v>
      </c>
      <c r="N15" s="19">
        <v>8</v>
      </c>
      <c r="O15" s="20" t="s">
        <v>40</v>
      </c>
    </row>
    <row r="16" spans="3:15" ht="40.5" customHeight="1" x14ac:dyDescent="0.25">
      <c r="C16" s="17">
        <v>10</v>
      </c>
      <c r="D16" s="17" t="s">
        <v>237</v>
      </c>
      <c r="E16" s="83" t="s">
        <v>24</v>
      </c>
      <c r="F16" s="83"/>
      <c r="G16" s="83"/>
      <c r="H16" s="83"/>
      <c r="I16" s="18" t="s">
        <v>242</v>
      </c>
      <c r="J16" s="18" t="s">
        <v>17</v>
      </c>
      <c r="K16" s="18">
        <f>2220-140</f>
        <v>2080</v>
      </c>
      <c r="L16" s="19">
        <v>1.8</v>
      </c>
      <c r="M16" s="18" t="s">
        <v>39</v>
      </c>
      <c r="N16" s="19">
        <v>3.5</v>
      </c>
      <c r="O16" s="21" t="s">
        <v>238</v>
      </c>
    </row>
    <row r="17" spans="3:32" ht="40.5" customHeight="1" x14ac:dyDescent="0.25">
      <c r="C17" s="17">
        <v>11</v>
      </c>
      <c r="D17" s="17" t="s">
        <v>139</v>
      </c>
      <c r="E17" s="83" t="s">
        <v>24</v>
      </c>
      <c r="F17" s="83"/>
      <c r="G17" s="83"/>
      <c r="H17" s="83"/>
      <c r="I17" s="18" t="s">
        <v>242</v>
      </c>
      <c r="J17" s="18" t="s">
        <v>27</v>
      </c>
      <c r="K17" s="18">
        <f>1320+5</f>
        <v>1325</v>
      </c>
      <c r="L17" s="19">
        <v>3</v>
      </c>
      <c r="M17" s="18">
        <v>39000048</v>
      </c>
      <c r="N17" s="19">
        <v>1.9</v>
      </c>
      <c r="O17" s="21">
        <v>561349000</v>
      </c>
    </row>
    <row r="18" spans="3:32" ht="40.5" customHeight="1" x14ac:dyDescent="0.25">
      <c r="C18" s="17">
        <v>12</v>
      </c>
      <c r="D18" s="17" t="s">
        <v>140</v>
      </c>
      <c r="E18" s="83" t="s">
        <v>31</v>
      </c>
      <c r="F18" s="83"/>
      <c r="G18" s="83"/>
      <c r="H18" s="83"/>
      <c r="I18" s="18" t="s">
        <v>234</v>
      </c>
      <c r="J18" s="18" t="s">
        <v>32</v>
      </c>
      <c r="K18" s="24">
        <v>950</v>
      </c>
      <c r="L18" s="19">
        <v>3.5</v>
      </c>
      <c r="M18" s="18" t="s">
        <v>41</v>
      </c>
      <c r="N18" s="19">
        <v>10</v>
      </c>
      <c r="O18" s="2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 spans="3:32" ht="40.5" customHeight="1" x14ac:dyDescent="0.25">
      <c r="C19" s="17">
        <v>13</v>
      </c>
      <c r="D19" s="17" t="s">
        <v>141</v>
      </c>
      <c r="E19" s="83" t="s">
        <v>24</v>
      </c>
      <c r="F19" s="83"/>
      <c r="G19" s="83"/>
      <c r="H19" s="83"/>
      <c r="I19" s="18" t="s">
        <v>242</v>
      </c>
      <c r="J19" s="18" t="s">
        <v>26</v>
      </c>
      <c r="K19" s="18">
        <f>1230-20</f>
        <v>1210</v>
      </c>
      <c r="L19" s="19">
        <v>1.8</v>
      </c>
      <c r="M19" s="21">
        <v>561349000</v>
      </c>
      <c r="N19" s="19">
        <v>3</v>
      </c>
      <c r="O19" s="21">
        <v>39000048</v>
      </c>
      <c r="Q19" s="25"/>
      <c r="R19" s="26"/>
      <c r="S19" s="92"/>
      <c r="T19" s="92"/>
      <c r="U19" s="92"/>
      <c r="V19" s="92"/>
      <c r="W19" s="26"/>
      <c r="X19" s="26"/>
      <c r="Y19" s="26"/>
      <c r="Z19" s="27"/>
      <c r="AA19" s="26"/>
      <c r="AB19" s="27"/>
      <c r="AC19" s="26"/>
      <c r="AD19" s="25"/>
      <c r="AE19" s="25"/>
      <c r="AF19" s="25"/>
    </row>
    <row r="20" spans="3:32" ht="40.5" customHeight="1" x14ac:dyDescent="0.25">
      <c r="C20" s="17">
        <v>14</v>
      </c>
      <c r="D20" s="17" t="s">
        <v>142</v>
      </c>
      <c r="E20" s="83" t="s">
        <v>24</v>
      </c>
      <c r="F20" s="83"/>
      <c r="G20" s="83"/>
      <c r="H20" s="83"/>
      <c r="I20" s="18" t="s">
        <v>242</v>
      </c>
      <c r="J20" s="18" t="s">
        <v>29</v>
      </c>
      <c r="K20" s="18">
        <f>1060+20</f>
        <v>1080</v>
      </c>
      <c r="L20" s="19">
        <v>2</v>
      </c>
      <c r="M20" s="18" t="s">
        <v>36</v>
      </c>
      <c r="N20" s="19">
        <v>3</v>
      </c>
      <c r="O20" s="21">
        <v>39000048</v>
      </c>
      <c r="Q20" s="25"/>
      <c r="R20" s="26"/>
      <c r="S20" s="92"/>
      <c r="T20" s="92"/>
      <c r="U20" s="92"/>
      <c r="V20" s="92"/>
      <c r="W20" s="26"/>
      <c r="X20" s="26"/>
      <c r="Y20" s="26"/>
      <c r="Z20" s="27"/>
      <c r="AA20" s="26"/>
      <c r="AB20" s="27"/>
      <c r="AC20" s="26"/>
      <c r="AD20" s="25"/>
      <c r="AE20" s="25"/>
      <c r="AF20" s="25"/>
    </row>
    <row r="21" spans="3:32" ht="40.5" customHeight="1" x14ac:dyDescent="0.25">
      <c r="C21" s="17">
        <v>15</v>
      </c>
      <c r="D21" s="17" t="s">
        <v>143</v>
      </c>
      <c r="E21" s="83" t="s">
        <v>34</v>
      </c>
      <c r="F21" s="83"/>
      <c r="G21" s="83"/>
      <c r="H21" s="83"/>
      <c r="I21" s="18" t="s">
        <v>235</v>
      </c>
      <c r="J21" s="18" t="s">
        <v>28</v>
      </c>
      <c r="K21" s="18">
        <f>2590+10</f>
        <v>2600</v>
      </c>
      <c r="L21" s="19">
        <v>3.5</v>
      </c>
      <c r="M21" s="18" t="s">
        <v>35</v>
      </c>
      <c r="N21" s="19">
        <v>3</v>
      </c>
      <c r="O21" s="21">
        <v>39000048</v>
      </c>
      <c r="Q21" s="25"/>
      <c r="R21" s="26"/>
      <c r="S21" s="92"/>
      <c r="T21" s="92"/>
      <c r="U21" s="92"/>
      <c r="V21" s="92"/>
      <c r="W21" s="26"/>
      <c r="X21" s="26"/>
      <c r="Y21" s="26"/>
      <c r="Z21" s="27"/>
      <c r="AA21" s="26"/>
      <c r="AB21" s="27"/>
      <c r="AC21" s="28"/>
      <c r="AD21" s="25"/>
      <c r="AE21" s="25"/>
      <c r="AF21" s="25"/>
    </row>
    <row r="22" spans="3:32" ht="40.5" customHeight="1" x14ac:dyDescent="0.25">
      <c r="C22" s="17">
        <v>16</v>
      </c>
      <c r="D22" s="17" t="s">
        <v>144</v>
      </c>
      <c r="E22" s="83" t="s">
        <v>24</v>
      </c>
      <c r="F22" s="83"/>
      <c r="G22" s="83"/>
      <c r="H22" s="83"/>
      <c r="I22" s="18" t="s">
        <v>242</v>
      </c>
      <c r="J22" s="18" t="s">
        <v>43</v>
      </c>
      <c r="K22" s="18">
        <v>1400</v>
      </c>
      <c r="L22" s="19">
        <v>1.8</v>
      </c>
      <c r="M22" s="18" t="s">
        <v>39</v>
      </c>
      <c r="N22" s="19">
        <v>3</v>
      </c>
      <c r="O22" s="21">
        <v>39000048</v>
      </c>
      <c r="Q22" s="25"/>
      <c r="R22" s="26"/>
      <c r="S22" s="92"/>
      <c r="T22" s="92"/>
      <c r="U22" s="92"/>
      <c r="V22" s="92"/>
      <c r="W22" s="26"/>
      <c r="X22" s="26"/>
      <c r="Y22" s="26"/>
      <c r="Z22" s="27"/>
      <c r="AA22" s="26"/>
      <c r="AB22" s="27"/>
      <c r="AC22" s="28"/>
      <c r="AD22" s="25"/>
      <c r="AE22" s="25"/>
      <c r="AF22" s="25"/>
    </row>
    <row r="23" spans="3:32" ht="40.5" customHeight="1" x14ac:dyDescent="0.25">
      <c r="C23" s="17">
        <v>17</v>
      </c>
      <c r="D23" s="17" t="s">
        <v>145</v>
      </c>
      <c r="E23" s="83" t="s">
        <v>31</v>
      </c>
      <c r="F23" s="83"/>
      <c r="G23" s="83"/>
      <c r="H23" s="83"/>
      <c r="I23" s="18" t="s">
        <v>234</v>
      </c>
      <c r="J23" s="18" t="s">
        <v>19</v>
      </c>
      <c r="K23" s="18">
        <v>1120</v>
      </c>
      <c r="L23" s="19">
        <v>3.8</v>
      </c>
      <c r="M23" s="18" t="s">
        <v>41</v>
      </c>
      <c r="N23" s="19">
        <v>5</v>
      </c>
      <c r="O23" s="20" t="s">
        <v>44</v>
      </c>
      <c r="Q23" s="25"/>
      <c r="R23" s="26"/>
      <c r="S23" s="92"/>
      <c r="T23" s="92"/>
      <c r="U23" s="92"/>
      <c r="V23" s="92"/>
      <c r="W23" s="26"/>
      <c r="X23" s="26"/>
      <c r="Y23" s="26"/>
      <c r="Z23" s="27"/>
      <c r="AA23" s="26"/>
      <c r="AB23" s="27"/>
      <c r="AC23" s="28"/>
      <c r="AD23" s="25"/>
      <c r="AE23" s="25"/>
      <c r="AF23" s="25"/>
    </row>
    <row r="24" spans="3:32" ht="40.5" customHeight="1" x14ac:dyDescent="0.25">
      <c r="C24" s="17">
        <v>18</v>
      </c>
      <c r="D24" s="17" t="s">
        <v>146</v>
      </c>
      <c r="E24" s="83" t="s">
        <v>24</v>
      </c>
      <c r="F24" s="83"/>
      <c r="G24" s="83"/>
      <c r="H24" s="83"/>
      <c r="I24" s="18" t="s">
        <v>242</v>
      </c>
      <c r="J24" s="18" t="s">
        <v>45</v>
      </c>
      <c r="K24" s="18">
        <f>660+5</f>
        <v>665</v>
      </c>
      <c r="L24" s="19">
        <v>7</v>
      </c>
      <c r="M24" s="22" t="s">
        <v>223</v>
      </c>
      <c r="N24" s="19">
        <v>3</v>
      </c>
      <c r="O24" s="21">
        <v>39000048</v>
      </c>
      <c r="Q24" s="25"/>
      <c r="R24" s="26"/>
      <c r="S24" s="92"/>
      <c r="T24" s="92"/>
      <c r="U24" s="92"/>
      <c r="V24" s="92"/>
      <c r="W24" s="26"/>
      <c r="X24" s="26"/>
      <c r="Y24" s="26"/>
      <c r="Z24" s="27"/>
      <c r="AA24" s="26"/>
      <c r="AB24" s="27"/>
      <c r="AC24" s="28"/>
      <c r="AD24" s="25"/>
      <c r="AE24" s="25"/>
      <c r="AF24" s="25"/>
    </row>
    <row r="25" spans="3:32" ht="40.5" customHeight="1" x14ac:dyDescent="0.25">
      <c r="C25" s="17">
        <v>19</v>
      </c>
      <c r="D25" s="17" t="s">
        <v>147</v>
      </c>
      <c r="E25" s="83" t="s">
        <v>24</v>
      </c>
      <c r="F25" s="83"/>
      <c r="G25" s="83"/>
      <c r="H25" s="83"/>
      <c r="I25" s="18" t="s">
        <v>242</v>
      </c>
      <c r="J25" s="18" t="s">
        <v>30</v>
      </c>
      <c r="K25" s="18">
        <f>1320-15</f>
        <v>1305</v>
      </c>
      <c r="L25" s="19">
        <v>3</v>
      </c>
      <c r="M25" s="18" t="s">
        <v>47</v>
      </c>
      <c r="N25" s="19">
        <v>1.9</v>
      </c>
      <c r="O25" s="21" t="s">
        <v>39</v>
      </c>
      <c r="Q25" s="25"/>
      <c r="R25" s="26"/>
      <c r="S25" s="92"/>
      <c r="T25" s="92"/>
      <c r="U25" s="92"/>
      <c r="V25" s="92"/>
      <c r="W25" s="26"/>
      <c r="X25" s="26"/>
      <c r="Y25" s="26"/>
      <c r="Z25" s="27"/>
      <c r="AA25" s="26"/>
      <c r="AB25" s="27"/>
      <c r="AC25" s="26"/>
      <c r="AD25" s="25"/>
      <c r="AE25" s="25"/>
      <c r="AF25" s="25"/>
    </row>
    <row r="26" spans="3:32" ht="40.5" customHeight="1" x14ac:dyDescent="0.25">
      <c r="C26" s="17">
        <v>20</v>
      </c>
      <c r="D26" s="17" t="s">
        <v>148</v>
      </c>
      <c r="E26" s="83" t="s">
        <v>24</v>
      </c>
      <c r="F26" s="83"/>
      <c r="G26" s="83"/>
      <c r="H26" s="83"/>
      <c r="I26" s="18" t="s">
        <v>242</v>
      </c>
      <c r="J26" s="18" t="s">
        <v>46</v>
      </c>
      <c r="K26" s="18">
        <v>1305</v>
      </c>
      <c r="L26" s="19">
        <v>3</v>
      </c>
      <c r="M26" s="18" t="s">
        <v>47</v>
      </c>
      <c r="N26" s="19">
        <v>1.9</v>
      </c>
      <c r="O26" s="21" t="s">
        <v>39</v>
      </c>
      <c r="Q26" s="25"/>
      <c r="R26" s="26"/>
      <c r="S26" s="92"/>
      <c r="T26" s="92"/>
      <c r="U26" s="92"/>
      <c r="V26" s="92"/>
      <c r="W26" s="26"/>
      <c r="X26" s="26"/>
      <c r="Y26" s="26"/>
      <c r="Z26" s="27"/>
      <c r="AA26" s="26"/>
      <c r="AB26" s="27"/>
      <c r="AC26" s="26"/>
      <c r="AD26" s="25"/>
      <c r="AE26" s="25"/>
      <c r="AF26" s="25"/>
    </row>
    <row r="27" spans="3:32" ht="40.5" customHeight="1" x14ac:dyDescent="0.25">
      <c r="C27" s="17">
        <v>21</v>
      </c>
      <c r="D27" s="17" t="s">
        <v>149</v>
      </c>
      <c r="E27" s="83" t="s">
        <v>34</v>
      </c>
      <c r="F27" s="83"/>
      <c r="G27" s="83"/>
      <c r="H27" s="83"/>
      <c r="I27" s="18" t="s">
        <v>235</v>
      </c>
      <c r="J27" s="18" t="s">
        <v>18</v>
      </c>
      <c r="K27" s="18">
        <v>1235</v>
      </c>
      <c r="L27" s="19">
        <v>3.5</v>
      </c>
      <c r="M27" s="18" t="s">
        <v>35</v>
      </c>
      <c r="N27" s="19">
        <v>7</v>
      </c>
      <c r="O27" s="20" t="s">
        <v>224</v>
      </c>
      <c r="Q27" s="25"/>
      <c r="R27" s="26"/>
      <c r="S27" s="92"/>
      <c r="T27" s="92"/>
      <c r="U27" s="92"/>
      <c r="V27" s="92"/>
      <c r="W27" s="26"/>
      <c r="X27" s="26"/>
      <c r="Y27" s="26"/>
      <c r="Z27" s="27"/>
      <c r="AA27" s="26"/>
      <c r="AB27" s="27"/>
      <c r="AC27" s="28"/>
      <c r="AD27" s="25"/>
      <c r="AE27" s="25"/>
      <c r="AF27" s="25"/>
    </row>
    <row r="28" spans="3:32" ht="40.5" customHeight="1" x14ac:dyDescent="0.25">
      <c r="C28" s="17">
        <v>22</v>
      </c>
      <c r="D28" s="17" t="s">
        <v>150</v>
      </c>
      <c r="E28" s="83" t="s">
        <v>31</v>
      </c>
      <c r="F28" s="83"/>
      <c r="G28" s="83"/>
      <c r="H28" s="83"/>
      <c r="I28" s="18" t="s">
        <v>234</v>
      </c>
      <c r="J28" s="18" t="s">
        <v>48</v>
      </c>
      <c r="K28" s="18">
        <f>1280-300</f>
        <v>980</v>
      </c>
      <c r="L28" s="19">
        <v>3</v>
      </c>
      <c r="M28" s="18">
        <v>39000040</v>
      </c>
      <c r="N28" s="19">
        <v>12</v>
      </c>
      <c r="O28" s="20" t="s">
        <v>49</v>
      </c>
      <c r="Q28" s="25"/>
      <c r="R28" s="26"/>
      <c r="S28" s="92"/>
      <c r="T28" s="92"/>
      <c r="U28" s="92"/>
      <c r="V28" s="92"/>
      <c r="W28" s="26"/>
      <c r="X28" s="26"/>
      <c r="Y28" s="26"/>
      <c r="Z28" s="27"/>
      <c r="AA28" s="26"/>
      <c r="AB28" s="27"/>
      <c r="AC28" s="28"/>
      <c r="AD28" s="25"/>
      <c r="AE28" s="25"/>
      <c r="AF28" s="25"/>
    </row>
    <row r="29" spans="3:32" ht="40.5" customHeight="1" x14ac:dyDescent="0.25">
      <c r="C29" s="17">
        <v>23</v>
      </c>
      <c r="D29" s="17" t="s">
        <v>151</v>
      </c>
      <c r="E29" s="83" t="s">
        <v>24</v>
      </c>
      <c r="F29" s="83"/>
      <c r="G29" s="83"/>
      <c r="H29" s="83"/>
      <c r="I29" s="18" t="s">
        <v>242</v>
      </c>
      <c r="J29" s="18" t="s">
        <v>43</v>
      </c>
      <c r="K29" s="18">
        <f>220+15</f>
        <v>235</v>
      </c>
      <c r="L29" s="19">
        <v>5</v>
      </c>
      <c r="M29" s="18" t="s">
        <v>50</v>
      </c>
      <c r="N29" s="19">
        <v>7</v>
      </c>
      <c r="O29" s="20" t="s">
        <v>51</v>
      </c>
      <c r="Q29" s="25"/>
      <c r="R29" s="26"/>
      <c r="S29" s="92"/>
      <c r="T29" s="92"/>
      <c r="U29" s="92"/>
      <c r="V29" s="92"/>
      <c r="W29" s="26"/>
      <c r="X29" s="26"/>
      <c r="Y29" s="26"/>
      <c r="Z29" s="27"/>
      <c r="AA29" s="26"/>
      <c r="AB29" s="27"/>
      <c r="AC29" s="28"/>
      <c r="AD29" s="25"/>
      <c r="AE29" s="25"/>
      <c r="AF29" s="25"/>
    </row>
    <row r="30" spans="3:32" ht="40.5" customHeight="1" x14ac:dyDescent="0.25">
      <c r="C30" s="17">
        <v>24</v>
      </c>
      <c r="D30" s="17" t="s">
        <v>152</v>
      </c>
      <c r="E30" s="83" t="s">
        <v>31</v>
      </c>
      <c r="F30" s="83"/>
      <c r="G30" s="83"/>
      <c r="H30" s="83"/>
      <c r="I30" s="18" t="s">
        <v>234</v>
      </c>
      <c r="J30" s="18" t="s">
        <v>19</v>
      </c>
      <c r="K30" s="18">
        <v>625</v>
      </c>
      <c r="L30" s="19">
        <v>3</v>
      </c>
      <c r="M30" s="18">
        <v>39000040</v>
      </c>
      <c r="N30" s="19">
        <v>10</v>
      </c>
      <c r="O30" s="20" t="s">
        <v>52</v>
      </c>
      <c r="Q30" s="25"/>
      <c r="R30" s="26"/>
      <c r="S30" s="92"/>
      <c r="T30" s="92"/>
      <c r="U30" s="92"/>
      <c r="V30" s="92"/>
      <c r="W30" s="26"/>
      <c r="X30" s="26"/>
      <c r="Y30" s="26"/>
      <c r="Z30" s="27"/>
      <c r="AA30" s="26"/>
      <c r="AB30" s="27"/>
      <c r="AC30" s="28"/>
      <c r="AD30" s="25"/>
      <c r="AE30" s="25"/>
      <c r="AF30" s="25"/>
    </row>
    <row r="31" spans="3:32" ht="40.5" customHeight="1" x14ac:dyDescent="0.25">
      <c r="C31" s="17">
        <v>25</v>
      </c>
      <c r="D31" s="17" t="s">
        <v>153</v>
      </c>
      <c r="E31" s="83" t="s">
        <v>34</v>
      </c>
      <c r="F31" s="83"/>
      <c r="G31" s="83"/>
      <c r="H31" s="83"/>
      <c r="I31" s="18" t="s">
        <v>235</v>
      </c>
      <c r="J31" s="18" t="s">
        <v>19</v>
      </c>
      <c r="K31" s="18">
        <v>855</v>
      </c>
      <c r="L31" s="19">
        <v>3.5</v>
      </c>
      <c r="M31" s="18" t="s">
        <v>35</v>
      </c>
      <c r="N31" s="19">
        <v>7</v>
      </c>
      <c r="O31" s="20" t="s">
        <v>53</v>
      </c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spans="3:32" ht="40.5" customHeight="1" x14ac:dyDescent="0.25">
      <c r="C32" s="17">
        <v>26</v>
      </c>
      <c r="D32" s="17" t="s">
        <v>154</v>
      </c>
      <c r="E32" s="83" t="s">
        <v>31</v>
      </c>
      <c r="F32" s="83"/>
      <c r="G32" s="83"/>
      <c r="H32" s="83"/>
      <c r="I32" s="18" t="s">
        <v>234</v>
      </c>
      <c r="J32" s="18" t="s">
        <v>54</v>
      </c>
      <c r="K32" s="18">
        <v>2200</v>
      </c>
      <c r="L32" s="19">
        <v>3</v>
      </c>
      <c r="M32" s="18">
        <v>39000040</v>
      </c>
      <c r="N32" s="19">
        <v>10</v>
      </c>
      <c r="O32" s="20" t="s">
        <v>55</v>
      </c>
      <c r="Q32" s="25"/>
      <c r="R32" s="25">
        <f>113-8</f>
        <v>105</v>
      </c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</row>
    <row r="33" spans="3:32" ht="40.5" customHeight="1" x14ac:dyDescent="0.25">
      <c r="C33" s="17">
        <v>27</v>
      </c>
      <c r="D33" s="17" t="s">
        <v>155</v>
      </c>
      <c r="E33" s="83" t="s">
        <v>31</v>
      </c>
      <c r="F33" s="83"/>
      <c r="G33" s="83"/>
      <c r="H33" s="83"/>
      <c r="I33" s="18" t="s">
        <v>234</v>
      </c>
      <c r="J33" s="18" t="s">
        <v>54</v>
      </c>
      <c r="K33" s="18">
        <v>780</v>
      </c>
      <c r="L33" s="19">
        <v>3</v>
      </c>
      <c r="M33" s="18">
        <v>39000040</v>
      </c>
      <c r="N33" s="19">
        <v>10</v>
      </c>
      <c r="O33" s="20" t="s">
        <v>56</v>
      </c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</row>
    <row r="34" spans="3:32" ht="40.5" customHeight="1" x14ac:dyDescent="0.25">
      <c r="C34" s="17">
        <v>28</v>
      </c>
      <c r="D34" s="17" t="s">
        <v>156</v>
      </c>
      <c r="E34" s="83" t="s">
        <v>24</v>
      </c>
      <c r="F34" s="83"/>
      <c r="G34" s="83"/>
      <c r="H34" s="83"/>
      <c r="I34" s="18" t="s">
        <v>242</v>
      </c>
      <c r="J34" s="18" t="s">
        <v>16</v>
      </c>
      <c r="K34" s="18">
        <f>1230-20</f>
        <v>1210</v>
      </c>
      <c r="L34" s="19">
        <v>1.9</v>
      </c>
      <c r="M34" s="21">
        <v>561349000</v>
      </c>
      <c r="N34" s="19">
        <v>3</v>
      </c>
      <c r="O34" s="20">
        <v>39000048</v>
      </c>
    </row>
    <row r="35" spans="3:32" ht="40.5" customHeight="1" x14ac:dyDescent="0.25">
      <c r="C35" s="17">
        <v>29</v>
      </c>
      <c r="D35" s="17" t="s">
        <v>157</v>
      </c>
      <c r="E35" s="83" t="s">
        <v>24</v>
      </c>
      <c r="F35" s="83"/>
      <c r="G35" s="83"/>
      <c r="H35" s="83"/>
      <c r="I35" s="18" t="s">
        <v>242</v>
      </c>
      <c r="J35" s="18" t="s">
        <v>15</v>
      </c>
      <c r="K35" s="18">
        <f t="shared" ref="K35:K36" si="0">1230-20</f>
        <v>1210</v>
      </c>
      <c r="L35" s="19">
        <v>1.9</v>
      </c>
      <c r="M35" s="21">
        <v>561349000</v>
      </c>
      <c r="N35" s="19">
        <v>3</v>
      </c>
      <c r="O35" s="20">
        <v>39000048</v>
      </c>
    </row>
    <row r="36" spans="3:32" ht="40.5" customHeight="1" x14ac:dyDescent="0.25">
      <c r="C36" s="17">
        <v>30</v>
      </c>
      <c r="D36" s="17" t="s">
        <v>158</v>
      </c>
      <c r="E36" s="83" t="s">
        <v>24</v>
      </c>
      <c r="F36" s="83"/>
      <c r="G36" s="83"/>
      <c r="H36" s="83"/>
      <c r="I36" s="18" t="s">
        <v>242</v>
      </c>
      <c r="J36" s="18" t="s">
        <v>57</v>
      </c>
      <c r="K36" s="18">
        <f t="shared" si="0"/>
        <v>1210</v>
      </c>
      <c r="L36" s="19">
        <v>1.9</v>
      </c>
      <c r="M36" s="21">
        <v>561349000</v>
      </c>
      <c r="N36" s="19">
        <v>3</v>
      </c>
      <c r="O36" s="20">
        <v>39000048</v>
      </c>
    </row>
    <row r="37" spans="3:32" ht="40.5" customHeight="1" x14ac:dyDescent="0.25">
      <c r="C37" s="17">
        <v>31</v>
      </c>
      <c r="D37" s="17" t="s">
        <v>159</v>
      </c>
      <c r="E37" s="83" t="s">
        <v>24</v>
      </c>
      <c r="F37" s="83"/>
      <c r="G37" s="83"/>
      <c r="H37" s="83"/>
      <c r="I37" s="18" t="s">
        <v>242</v>
      </c>
      <c r="J37" s="18" t="s">
        <v>48</v>
      </c>
      <c r="K37" s="18">
        <f>1120-35-25+10</f>
        <v>1070</v>
      </c>
      <c r="L37" s="19">
        <v>2</v>
      </c>
      <c r="M37" s="18" t="s">
        <v>36</v>
      </c>
      <c r="N37" s="19">
        <v>3</v>
      </c>
      <c r="O37" s="20">
        <v>39000048</v>
      </c>
    </row>
    <row r="38" spans="3:32" ht="40.5" customHeight="1" x14ac:dyDescent="0.25">
      <c r="C38" s="17">
        <v>32</v>
      </c>
      <c r="D38" s="17" t="s">
        <v>160</v>
      </c>
      <c r="E38" s="83" t="s">
        <v>24</v>
      </c>
      <c r="F38" s="83"/>
      <c r="G38" s="83"/>
      <c r="H38" s="83"/>
      <c r="I38" s="18" t="s">
        <v>242</v>
      </c>
      <c r="J38" s="18" t="s">
        <v>29</v>
      </c>
      <c r="K38" s="18">
        <v>890</v>
      </c>
      <c r="L38" s="19">
        <v>3</v>
      </c>
      <c r="M38" s="20">
        <v>39000048</v>
      </c>
      <c r="N38" s="19">
        <v>7</v>
      </c>
      <c r="O38" s="20" t="s">
        <v>51</v>
      </c>
    </row>
    <row r="39" spans="3:32" ht="40.5" customHeight="1" x14ac:dyDescent="0.25">
      <c r="C39" s="17">
        <v>33</v>
      </c>
      <c r="D39" s="17" t="s">
        <v>162</v>
      </c>
      <c r="E39" s="83" t="s">
        <v>34</v>
      </c>
      <c r="F39" s="83"/>
      <c r="G39" s="83"/>
      <c r="H39" s="83"/>
      <c r="I39" s="18" t="s">
        <v>235</v>
      </c>
      <c r="J39" s="18" t="s">
        <v>48</v>
      </c>
      <c r="K39" s="18">
        <v>2580</v>
      </c>
      <c r="L39" s="19">
        <v>3.5</v>
      </c>
      <c r="M39" s="18" t="s">
        <v>35</v>
      </c>
      <c r="N39" s="19">
        <v>3</v>
      </c>
      <c r="O39" s="21">
        <v>39000040</v>
      </c>
    </row>
    <row r="40" spans="3:32" ht="40.5" customHeight="1" x14ac:dyDescent="0.25">
      <c r="C40" s="17">
        <v>34</v>
      </c>
      <c r="D40" s="17" t="s">
        <v>161</v>
      </c>
      <c r="E40" s="83" t="s">
        <v>24</v>
      </c>
      <c r="F40" s="83"/>
      <c r="G40" s="83"/>
      <c r="H40" s="83"/>
      <c r="I40" s="18" t="s">
        <v>242</v>
      </c>
      <c r="J40" s="18" t="s">
        <v>57</v>
      </c>
      <c r="K40" s="18">
        <f>1400+10</f>
        <v>1410</v>
      </c>
      <c r="L40" s="19">
        <v>2</v>
      </c>
      <c r="M40" s="18" t="s">
        <v>39</v>
      </c>
      <c r="N40" s="19">
        <v>3</v>
      </c>
      <c r="O40" s="20">
        <v>39000048</v>
      </c>
    </row>
    <row r="41" spans="3:32" ht="40.5" customHeight="1" x14ac:dyDescent="0.25">
      <c r="C41" s="17">
        <v>35</v>
      </c>
      <c r="D41" s="17" t="s">
        <v>163</v>
      </c>
      <c r="E41" s="83" t="s">
        <v>31</v>
      </c>
      <c r="F41" s="83"/>
      <c r="G41" s="83"/>
      <c r="H41" s="83"/>
      <c r="I41" s="18" t="s">
        <v>234</v>
      </c>
      <c r="J41" s="18" t="s">
        <v>48</v>
      </c>
      <c r="K41" s="18">
        <f>450-30</f>
        <v>420</v>
      </c>
      <c r="L41" s="19">
        <v>3</v>
      </c>
      <c r="M41" s="18">
        <v>39000040</v>
      </c>
      <c r="N41" s="19">
        <v>12</v>
      </c>
      <c r="O41" s="20" t="s">
        <v>59</v>
      </c>
    </row>
    <row r="42" spans="3:32" ht="40.5" customHeight="1" x14ac:dyDescent="0.25">
      <c r="C42" s="17">
        <v>36</v>
      </c>
      <c r="D42" s="17" t="s">
        <v>164</v>
      </c>
      <c r="E42" s="83" t="s">
        <v>31</v>
      </c>
      <c r="F42" s="83"/>
      <c r="G42" s="83"/>
      <c r="H42" s="83"/>
      <c r="I42" s="18" t="s">
        <v>234</v>
      </c>
      <c r="J42" s="18" t="s">
        <v>58</v>
      </c>
      <c r="K42" s="18">
        <f>450-30</f>
        <v>420</v>
      </c>
      <c r="L42" s="19">
        <v>3</v>
      </c>
      <c r="M42" s="18">
        <v>39000040</v>
      </c>
      <c r="N42" s="19">
        <v>12</v>
      </c>
      <c r="O42" s="20" t="s">
        <v>59</v>
      </c>
    </row>
    <row r="43" spans="3:32" ht="40.5" customHeight="1" x14ac:dyDescent="0.25">
      <c r="C43" s="17">
        <v>37</v>
      </c>
      <c r="D43" s="17" t="s">
        <v>165</v>
      </c>
      <c r="E43" s="83" t="s">
        <v>34</v>
      </c>
      <c r="F43" s="83"/>
      <c r="G43" s="83"/>
      <c r="H43" s="83"/>
      <c r="I43" s="18" t="s">
        <v>235</v>
      </c>
      <c r="J43" s="18" t="s">
        <v>48</v>
      </c>
      <c r="K43" s="18">
        <f>1505+15</f>
        <v>1520</v>
      </c>
      <c r="L43" s="19">
        <v>3</v>
      </c>
      <c r="M43" s="18">
        <v>39000040</v>
      </c>
      <c r="N43" s="19">
        <v>12</v>
      </c>
      <c r="O43" s="20" t="s">
        <v>59</v>
      </c>
    </row>
    <row r="44" spans="3:32" ht="40.5" customHeight="1" x14ac:dyDescent="0.25">
      <c r="C44" s="17">
        <v>38</v>
      </c>
      <c r="D44" s="17" t="s">
        <v>166</v>
      </c>
      <c r="E44" s="83" t="s">
        <v>24</v>
      </c>
      <c r="F44" s="83"/>
      <c r="G44" s="83"/>
      <c r="H44" s="83"/>
      <c r="I44" s="18" t="s">
        <v>242</v>
      </c>
      <c r="J44" s="18" t="s">
        <v>60</v>
      </c>
      <c r="K44" s="18">
        <v>1410</v>
      </c>
      <c r="L44" s="19">
        <v>1.9</v>
      </c>
      <c r="M44" s="18" t="s">
        <v>39</v>
      </c>
      <c r="N44" s="19">
        <v>3</v>
      </c>
      <c r="O44" s="20">
        <v>39000048</v>
      </c>
    </row>
    <row r="45" spans="3:32" ht="40.5" customHeight="1" x14ac:dyDescent="0.25">
      <c r="C45" s="17">
        <v>39</v>
      </c>
      <c r="D45" s="17" t="s">
        <v>167</v>
      </c>
      <c r="E45" s="83" t="s">
        <v>24</v>
      </c>
      <c r="F45" s="83"/>
      <c r="G45" s="83"/>
      <c r="H45" s="83"/>
      <c r="I45" s="18" t="s">
        <v>242</v>
      </c>
      <c r="J45" s="18" t="s">
        <v>18</v>
      </c>
      <c r="K45" s="18">
        <v>1355</v>
      </c>
      <c r="L45" s="19">
        <v>3.5</v>
      </c>
      <c r="M45" s="18" t="s">
        <v>61</v>
      </c>
      <c r="N45" s="19">
        <v>7</v>
      </c>
      <c r="O45" s="20" t="s">
        <v>62</v>
      </c>
    </row>
    <row r="46" spans="3:32" ht="40.5" customHeight="1" x14ac:dyDescent="0.25">
      <c r="C46" s="17">
        <v>40</v>
      </c>
      <c r="D46" s="17" t="s">
        <v>168</v>
      </c>
      <c r="E46" s="83" t="s">
        <v>24</v>
      </c>
      <c r="F46" s="83"/>
      <c r="G46" s="83"/>
      <c r="H46" s="83"/>
      <c r="I46" s="18" t="s">
        <v>242</v>
      </c>
      <c r="J46" s="18" t="s">
        <v>16</v>
      </c>
      <c r="K46" s="18">
        <v>1350</v>
      </c>
      <c r="L46" s="19">
        <v>3.5</v>
      </c>
      <c r="M46" s="18" t="s">
        <v>61</v>
      </c>
      <c r="N46" s="19">
        <v>7</v>
      </c>
      <c r="O46" s="20" t="s">
        <v>63</v>
      </c>
    </row>
    <row r="47" spans="3:32" ht="40.5" customHeight="1" x14ac:dyDescent="0.25">
      <c r="C47" s="17">
        <v>41</v>
      </c>
      <c r="D47" s="17" t="s">
        <v>169</v>
      </c>
      <c r="E47" s="83" t="s">
        <v>24</v>
      </c>
      <c r="F47" s="83"/>
      <c r="G47" s="83"/>
      <c r="H47" s="83"/>
      <c r="I47" s="18" t="s">
        <v>242</v>
      </c>
      <c r="J47" s="18" t="s">
        <v>19</v>
      </c>
      <c r="K47" s="18">
        <f>950+20</f>
        <v>970</v>
      </c>
      <c r="L47" s="19">
        <v>3.5</v>
      </c>
      <c r="M47" s="18" t="s">
        <v>61</v>
      </c>
      <c r="N47" s="19">
        <v>7</v>
      </c>
      <c r="O47" s="20" t="s">
        <v>53</v>
      </c>
    </row>
    <row r="48" spans="3:32" ht="40.5" customHeight="1" x14ac:dyDescent="0.25">
      <c r="C48" s="17">
        <v>42</v>
      </c>
      <c r="D48" s="17" t="s">
        <v>170</v>
      </c>
      <c r="E48" s="83" t="s">
        <v>34</v>
      </c>
      <c r="F48" s="83"/>
      <c r="G48" s="83"/>
      <c r="H48" s="83"/>
      <c r="I48" s="18" t="s">
        <v>235</v>
      </c>
      <c r="J48" s="18" t="s">
        <v>64</v>
      </c>
      <c r="K48" s="18">
        <f>1415+10</f>
        <v>1425</v>
      </c>
      <c r="L48" s="19">
        <v>3</v>
      </c>
      <c r="M48" s="18">
        <v>39000040</v>
      </c>
      <c r="N48" s="19">
        <v>7</v>
      </c>
      <c r="O48" s="20" t="s">
        <v>65</v>
      </c>
    </row>
    <row r="49" spans="3:15" ht="40.5" customHeight="1" x14ac:dyDescent="0.25">
      <c r="C49" s="17">
        <v>43</v>
      </c>
      <c r="D49" s="17" t="s">
        <v>171</v>
      </c>
      <c r="E49" s="83" t="s">
        <v>24</v>
      </c>
      <c r="F49" s="83"/>
      <c r="G49" s="83"/>
      <c r="H49" s="83"/>
      <c r="I49" s="18" t="s">
        <v>242</v>
      </c>
      <c r="J49" s="18" t="s">
        <v>16</v>
      </c>
      <c r="K49" s="18">
        <v>1070</v>
      </c>
      <c r="L49" s="19">
        <v>3</v>
      </c>
      <c r="M49" s="18">
        <v>39000048</v>
      </c>
      <c r="N49" s="19">
        <v>7</v>
      </c>
      <c r="O49" s="20" t="s">
        <v>66</v>
      </c>
    </row>
    <row r="50" spans="3:15" ht="40.5" customHeight="1" x14ac:dyDescent="0.25">
      <c r="C50" s="17">
        <v>44</v>
      </c>
      <c r="D50" s="17" t="s">
        <v>172</v>
      </c>
      <c r="E50" s="83" t="s">
        <v>24</v>
      </c>
      <c r="F50" s="83"/>
      <c r="G50" s="83"/>
      <c r="H50" s="83"/>
      <c r="I50" s="18" t="s">
        <v>242</v>
      </c>
      <c r="J50" s="18" t="s">
        <v>18</v>
      </c>
      <c r="K50" s="18">
        <v>1060</v>
      </c>
      <c r="L50" s="19">
        <v>3</v>
      </c>
      <c r="M50" s="18">
        <v>39000048</v>
      </c>
      <c r="N50" s="19">
        <v>7</v>
      </c>
      <c r="O50" s="20" t="s">
        <v>67</v>
      </c>
    </row>
    <row r="51" spans="3:15" ht="40.5" customHeight="1" x14ac:dyDescent="0.25">
      <c r="C51" s="17">
        <v>45</v>
      </c>
      <c r="D51" s="17" t="s">
        <v>173</v>
      </c>
      <c r="E51" s="83" t="s">
        <v>24</v>
      </c>
      <c r="F51" s="83"/>
      <c r="G51" s="83"/>
      <c r="H51" s="83"/>
      <c r="I51" s="18" t="s">
        <v>242</v>
      </c>
      <c r="J51" s="18" t="s">
        <v>19</v>
      </c>
      <c r="K51" s="18">
        <v>1130</v>
      </c>
      <c r="L51" s="19">
        <v>1.9</v>
      </c>
      <c r="M51" s="18" t="s">
        <v>36</v>
      </c>
      <c r="N51" s="19">
        <v>7</v>
      </c>
      <c r="O51" s="20" t="s">
        <v>225</v>
      </c>
    </row>
    <row r="52" spans="3:15" ht="40.5" customHeight="1" x14ac:dyDescent="0.25">
      <c r="C52" s="17">
        <v>46</v>
      </c>
      <c r="D52" s="17" t="s">
        <v>174</v>
      </c>
      <c r="E52" s="83" t="s">
        <v>24</v>
      </c>
      <c r="F52" s="83"/>
      <c r="G52" s="83"/>
      <c r="H52" s="83"/>
      <c r="I52" s="18" t="s">
        <v>242</v>
      </c>
      <c r="J52" s="18" t="s">
        <v>30</v>
      </c>
      <c r="K52" s="18">
        <v>2020</v>
      </c>
      <c r="L52" s="19">
        <v>1.9</v>
      </c>
      <c r="M52" s="18">
        <v>561349000</v>
      </c>
      <c r="N52" s="19">
        <v>3.5</v>
      </c>
      <c r="O52" s="20" t="s">
        <v>25</v>
      </c>
    </row>
    <row r="53" spans="3:15" ht="40.5" customHeight="1" x14ac:dyDescent="0.25">
      <c r="C53" s="17">
        <v>47</v>
      </c>
      <c r="D53" s="17" t="s">
        <v>175</v>
      </c>
      <c r="E53" s="83" t="s">
        <v>24</v>
      </c>
      <c r="F53" s="83"/>
      <c r="G53" s="83"/>
      <c r="H53" s="83"/>
      <c r="I53" s="18" t="s">
        <v>242</v>
      </c>
      <c r="J53" s="18" t="s">
        <v>17</v>
      </c>
      <c r="K53" s="18">
        <v>1020</v>
      </c>
      <c r="L53" s="19">
        <v>3</v>
      </c>
      <c r="M53" s="18">
        <v>39000048</v>
      </c>
      <c r="N53" s="19">
        <v>1.9</v>
      </c>
      <c r="O53" s="21">
        <v>561349000</v>
      </c>
    </row>
    <row r="54" spans="3:15" ht="40.5" customHeight="1" x14ac:dyDescent="0.25">
      <c r="C54" s="17">
        <v>48</v>
      </c>
      <c r="D54" s="17" t="s">
        <v>176</v>
      </c>
      <c r="E54" s="83" t="s">
        <v>24</v>
      </c>
      <c r="F54" s="83"/>
      <c r="G54" s="83"/>
      <c r="H54" s="83"/>
      <c r="I54" s="18" t="s">
        <v>242</v>
      </c>
      <c r="J54" s="18" t="s">
        <v>33</v>
      </c>
      <c r="K54" s="18">
        <v>1020</v>
      </c>
      <c r="L54" s="19">
        <v>3</v>
      </c>
      <c r="M54" s="18">
        <v>39000048</v>
      </c>
      <c r="N54" s="19">
        <v>1.9</v>
      </c>
      <c r="O54" s="21">
        <v>561349000</v>
      </c>
    </row>
    <row r="55" spans="3:15" ht="40.5" customHeight="1" x14ac:dyDescent="0.25">
      <c r="C55" s="17">
        <v>49</v>
      </c>
      <c r="D55" s="17" t="s">
        <v>177</v>
      </c>
      <c r="E55" s="83" t="s">
        <v>24</v>
      </c>
      <c r="F55" s="83"/>
      <c r="G55" s="83"/>
      <c r="H55" s="83"/>
      <c r="I55" s="18" t="s">
        <v>242</v>
      </c>
      <c r="J55" s="18" t="s">
        <v>68</v>
      </c>
      <c r="K55" s="18">
        <v>1610</v>
      </c>
      <c r="L55" s="19">
        <v>3</v>
      </c>
      <c r="M55" s="18">
        <v>39000048</v>
      </c>
      <c r="N55" s="19">
        <v>1.9</v>
      </c>
      <c r="O55" s="21">
        <v>561349000</v>
      </c>
    </row>
    <row r="56" spans="3:15" ht="40.5" customHeight="1" x14ac:dyDescent="0.25">
      <c r="C56" s="17">
        <v>50</v>
      </c>
      <c r="D56" s="17" t="s">
        <v>178</v>
      </c>
      <c r="E56" s="83" t="s">
        <v>24</v>
      </c>
      <c r="F56" s="83"/>
      <c r="G56" s="83"/>
      <c r="H56" s="83"/>
      <c r="I56" s="18" t="s">
        <v>242</v>
      </c>
      <c r="J56" s="18" t="s">
        <v>26</v>
      </c>
      <c r="K56" s="18">
        <v>1610</v>
      </c>
      <c r="L56" s="19">
        <v>3</v>
      </c>
      <c r="M56" s="18">
        <v>39000048</v>
      </c>
      <c r="N56" s="19">
        <v>1.9</v>
      </c>
      <c r="O56" s="21">
        <v>561349000</v>
      </c>
    </row>
    <row r="57" spans="3:15" ht="40.5" customHeight="1" x14ac:dyDescent="0.25">
      <c r="C57" s="17">
        <v>51</v>
      </c>
      <c r="D57" s="17" t="s">
        <v>179</v>
      </c>
      <c r="E57" s="83" t="s">
        <v>24</v>
      </c>
      <c r="F57" s="83"/>
      <c r="G57" s="83"/>
      <c r="H57" s="83"/>
      <c r="I57" s="18" t="s">
        <v>242</v>
      </c>
      <c r="J57" s="18" t="s">
        <v>69</v>
      </c>
      <c r="K57" s="18">
        <v>960</v>
      </c>
      <c r="L57" s="19">
        <v>5</v>
      </c>
      <c r="M57" s="18" t="s">
        <v>50</v>
      </c>
      <c r="N57" s="19">
        <v>1.9</v>
      </c>
      <c r="O57" s="21">
        <v>561349000</v>
      </c>
    </row>
    <row r="58" spans="3:15" ht="40.5" customHeight="1" x14ac:dyDescent="0.25">
      <c r="C58" s="17">
        <v>52</v>
      </c>
      <c r="D58" s="17" t="s">
        <v>180</v>
      </c>
      <c r="E58" s="83" t="s">
        <v>24</v>
      </c>
      <c r="F58" s="83"/>
      <c r="G58" s="83"/>
      <c r="H58" s="83"/>
      <c r="I58" s="18" t="s">
        <v>242</v>
      </c>
      <c r="J58" s="18" t="s">
        <v>57</v>
      </c>
      <c r="K58" s="18">
        <v>960</v>
      </c>
      <c r="L58" s="19">
        <v>5</v>
      </c>
      <c r="M58" s="18" t="s">
        <v>50</v>
      </c>
      <c r="N58" s="19">
        <v>1.9</v>
      </c>
      <c r="O58" s="21">
        <v>561349000</v>
      </c>
    </row>
    <row r="59" spans="3:15" ht="40.5" customHeight="1" x14ac:dyDescent="0.25">
      <c r="C59" s="17">
        <v>53</v>
      </c>
      <c r="D59" s="17" t="s">
        <v>181</v>
      </c>
      <c r="E59" s="83" t="s">
        <v>24</v>
      </c>
      <c r="F59" s="83"/>
      <c r="G59" s="83"/>
      <c r="H59" s="83"/>
      <c r="I59" s="18" t="s">
        <v>242</v>
      </c>
      <c r="J59" s="18" t="s">
        <v>18</v>
      </c>
      <c r="K59" s="18">
        <f>1320+5</f>
        <v>1325</v>
      </c>
      <c r="L59" s="19">
        <v>3</v>
      </c>
      <c r="M59" s="18">
        <v>39000048</v>
      </c>
      <c r="N59" s="19">
        <v>1.9</v>
      </c>
      <c r="O59" s="21">
        <v>561349000</v>
      </c>
    </row>
    <row r="60" spans="3:15" ht="40.5" customHeight="1" x14ac:dyDescent="0.25">
      <c r="C60" s="17">
        <v>54</v>
      </c>
      <c r="D60" s="17" t="s">
        <v>182</v>
      </c>
      <c r="E60" s="83" t="s">
        <v>24</v>
      </c>
      <c r="F60" s="83"/>
      <c r="G60" s="83"/>
      <c r="H60" s="83"/>
      <c r="I60" s="18" t="s">
        <v>242</v>
      </c>
      <c r="J60" s="18" t="s">
        <v>29</v>
      </c>
      <c r="K60" s="18">
        <f>1320+5</f>
        <v>1325</v>
      </c>
      <c r="L60" s="19">
        <v>1.9</v>
      </c>
      <c r="M60" s="18">
        <v>561349000</v>
      </c>
      <c r="N60" s="19">
        <v>3</v>
      </c>
      <c r="O60" s="20">
        <v>39000048</v>
      </c>
    </row>
    <row r="61" spans="3:15" ht="40.5" customHeight="1" x14ac:dyDescent="0.25">
      <c r="C61" s="17">
        <v>55</v>
      </c>
      <c r="D61" s="17" t="s">
        <v>183</v>
      </c>
      <c r="E61" s="83" t="s">
        <v>24</v>
      </c>
      <c r="F61" s="83"/>
      <c r="G61" s="83"/>
      <c r="H61" s="83"/>
      <c r="I61" s="18" t="s">
        <v>242</v>
      </c>
      <c r="J61" s="18" t="s">
        <v>29</v>
      </c>
      <c r="K61" s="18">
        <v>520</v>
      </c>
      <c r="L61" s="19">
        <v>1.9</v>
      </c>
      <c r="M61" s="18" t="s">
        <v>36</v>
      </c>
      <c r="N61" s="19">
        <v>7</v>
      </c>
      <c r="O61" s="20" t="s">
        <v>70</v>
      </c>
    </row>
    <row r="62" spans="3:15" ht="40.5" customHeight="1" x14ac:dyDescent="0.25">
      <c r="C62" s="17">
        <v>56</v>
      </c>
      <c r="D62" s="17" t="s">
        <v>184</v>
      </c>
      <c r="E62" s="83" t="s">
        <v>24</v>
      </c>
      <c r="F62" s="83"/>
      <c r="G62" s="83"/>
      <c r="H62" s="83"/>
      <c r="I62" s="18" t="s">
        <v>242</v>
      </c>
      <c r="J62" s="18" t="s">
        <v>16</v>
      </c>
      <c r="K62" s="18">
        <f>1550+5</f>
        <v>1555</v>
      </c>
      <c r="L62" s="19">
        <v>1.9</v>
      </c>
      <c r="M62" s="18">
        <v>561349000</v>
      </c>
      <c r="N62" s="19">
        <v>3</v>
      </c>
      <c r="O62" s="20">
        <v>39000048</v>
      </c>
    </row>
    <row r="63" spans="3:15" ht="40.5" customHeight="1" x14ac:dyDescent="0.25">
      <c r="C63" s="17">
        <v>57</v>
      </c>
      <c r="D63" s="17" t="s">
        <v>185</v>
      </c>
      <c r="E63" s="83" t="s">
        <v>24</v>
      </c>
      <c r="F63" s="83"/>
      <c r="G63" s="83"/>
      <c r="H63" s="83"/>
      <c r="I63" s="18" t="s">
        <v>242</v>
      </c>
      <c r="J63" s="18" t="s">
        <v>19</v>
      </c>
      <c r="K63" s="18">
        <f>1550+5</f>
        <v>1555</v>
      </c>
      <c r="L63" s="19">
        <v>1.9</v>
      </c>
      <c r="M63" s="18">
        <v>561349000</v>
      </c>
      <c r="N63" s="19">
        <v>3</v>
      </c>
      <c r="O63" s="20">
        <v>39000048</v>
      </c>
    </row>
    <row r="64" spans="3:15" ht="40.5" customHeight="1" x14ac:dyDescent="0.25">
      <c r="C64" s="17">
        <v>58</v>
      </c>
      <c r="D64" s="17" t="s">
        <v>219</v>
      </c>
      <c r="E64" s="83" t="s">
        <v>24</v>
      </c>
      <c r="F64" s="83"/>
      <c r="G64" s="83"/>
      <c r="H64" s="83"/>
      <c r="I64" s="18" t="s">
        <v>242</v>
      </c>
      <c r="J64" s="18" t="s">
        <v>30</v>
      </c>
      <c r="K64" s="18">
        <f>1320+10</f>
        <v>1330</v>
      </c>
      <c r="L64" s="19">
        <v>1.9</v>
      </c>
      <c r="M64" s="18">
        <v>561349000</v>
      </c>
      <c r="N64" s="19">
        <v>3</v>
      </c>
      <c r="O64" s="20">
        <v>39000048</v>
      </c>
    </row>
    <row r="65" spans="3:15" ht="40.5" customHeight="1" x14ac:dyDescent="0.25">
      <c r="C65" s="17">
        <v>59</v>
      </c>
      <c r="D65" s="17" t="s">
        <v>186</v>
      </c>
      <c r="E65" s="83" t="s">
        <v>24</v>
      </c>
      <c r="F65" s="83"/>
      <c r="G65" s="83"/>
      <c r="H65" s="83"/>
      <c r="I65" s="18" t="s">
        <v>242</v>
      </c>
      <c r="J65" s="18" t="s">
        <v>71</v>
      </c>
      <c r="K65" s="18">
        <v>920</v>
      </c>
      <c r="L65" s="19">
        <v>1.9</v>
      </c>
      <c r="M65" s="18">
        <v>561349000</v>
      </c>
      <c r="N65" s="19">
        <v>5</v>
      </c>
      <c r="O65" s="20" t="s">
        <v>73</v>
      </c>
    </row>
    <row r="66" spans="3:15" ht="40.5" customHeight="1" x14ac:dyDescent="0.25">
      <c r="C66" s="17">
        <v>60</v>
      </c>
      <c r="D66" s="17" t="s">
        <v>187</v>
      </c>
      <c r="E66" s="83" t="s">
        <v>24</v>
      </c>
      <c r="F66" s="83"/>
      <c r="G66" s="83"/>
      <c r="H66" s="83"/>
      <c r="I66" s="18" t="s">
        <v>242</v>
      </c>
      <c r="J66" s="18" t="s">
        <v>72</v>
      </c>
      <c r="K66" s="18">
        <f>920-15</f>
        <v>905</v>
      </c>
      <c r="L66" s="19">
        <v>1.9</v>
      </c>
      <c r="M66" s="18">
        <v>561349000</v>
      </c>
      <c r="N66" s="19">
        <v>5</v>
      </c>
      <c r="O66" s="20" t="s">
        <v>50</v>
      </c>
    </row>
    <row r="67" spans="3:15" ht="40.5" customHeight="1" x14ac:dyDescent="0.25">
      <c r="C67" s="17">
        <v>61</v>
      </c>
      <c r="D67" s="17" t="s">
        <v>188</v>
      </c>
      <c r="E67" s="83" t="s">
        <v>24</v>
      </c>
      <c r="F67" s="83"/>
      <c r="G67" s="83"/>
      <c r="H67" s="83"/>
      <c r="I67" s="18" t="s">
        <v>242</v>
      </c>
      <c r="J67" s="18" t="s">
        <v>74</v>
      </c>
      <c r="K67" s="18">
        <v>1830</v>
      </c>
      <c r="L67" s="19">
        <v>3</v>
      </c>
      <c r="M67" s="18">
        <v>39000048</v>
      </c>
      <c r="N67" s="19">
        <v>1.9</v>
      </c>
      <c r="O67" s="21">
        <v>561349000</v>
      </c>
    </row>
    <row r="68" spans="3:15" ht="40.5" customHeight="1" x14ac:dyDescent="0.25">
      <c r="C68" s="17">
        <v>62</v>
      </c>
      <c r="D68" s="17" t="s">
        <v>189</v>
      </c>
      <c r="E68" s="83" t="s">
        <v>24</v>
      </c>
      <c r="F68" s="83"/>
      <c r="G68" s="83"/>
      <c r="H68" s="83"/>
      <c r="I68" s="18" t="s">
        <v>242</v>
      </c>
      <c r="J68" s="18" t="s">
        <v>27</v>
      </c>
      <c r="K68" s="18">
        <v>1830</v>
      </c>
      <c r="L68" s="19">
        <v>3</v>
      </c>
      <c r="M68" s="18">
        <v>39000048</v>
      </c>
      <c r="N68" s="19">
        <v>1.9</v>
      </c>
      <c r="O68" s="21">
        <v>561349000</v>
      </c>
    </row>
    <row r="69" spans="3:15" ht="40.5" customHeight="1" x14ac:dyDescent="0.25">
      <c r="C69" s="17">
        <v>63</v>
      </c>
      <c r="D69" s="17" t="s">
        <v>190</v>
      </c>
      <c r="E69" s="83" t="s">
        <v>24</v>
      </c>
      <c r="F69" s="83"/>
      <c r="G69" s="83"/>
      <c r="H69" s="83"/>
      <c r="I69" s="18" t="s">
        <v>242</v>
      </c>
      <c r="J69" s="18" t="s">
        <v>75</v>
      </c>
      <c r="K69" s="23">
        <f>2410+10</f>
        <v>2420</v>
      </c>
      <c r="L69" s="19">
        <v>3</v>
      </c>
      <c r="M69" s="18">
        <v>39000048</v>
      </c>
      <c r="N69" s="19">
        <v>1.9</v>
      </c>
      <c r="O69" s="21">
        <v>561349000</v>
      </c>
    </row>
    <row r="70" spans="3:15" ht="40.5" customHeight="1" x14ac:dyDescent="0.25">
      <c r="C70" s="17">
        <v>64</v>
      </c>
      <c r="D70" s="17" t="s">
        <v>191</v>
      </c>
      <c r="E70" s="83" t="s">
        <v>24</v>
      </c>
      <c r="F70" s="83"/>
      <c r="G70" s="83"/>
      <c r="H70" s="83"/>
      <c r="I70" s="18" t="s">
        <v>242</v>
      </c>
      <c r="J70" s="18" t="s">
        <v>76</v>
      </c>
      <c r="K70" s="18">
        <v>2410</v>
      </c>
      <c r="L70" s="19">
        <v>3</v>
      </c>
      <c r="M70" s="18">
        <v>39000048</v>
      </c>
      <c r="N70" s="19">
        <v>1.9</v>
      </c>
      <c r="O70" s="21">
        <v>561349000</v>
      </c>
    </row>
    <row r="71" spans="3:15" ht="40.5" customHeight="1" x14ac:dyDescent="0.25">
      <c r="C71" s="17">
        <v>65</v>
      </c>
      <c r="D71" s="17" t="s">
        <v>192</v>
      </c>
      <c r="E71" s="83" t="s">
        <v>24</v>
      </c>
      <c r="F71" s="83"/>
      <c r="G71" s="83"/>
      <c r="H71" s="83"/>
      <c r="I71" s="18" t="s">
        <v>242</v>
      </c>
      <c r="J71" s="18" t="s">
        <v>16</v>
      </c>
      <c r="K71" s="18">
        <v>960</v>
      </c>
      <c r="L71" s="19">
        <v>1.9</v>
      </c>
      <c r="M71" s="18" t="s">
        <v>36</v>
      </c>
      <c r="N71" s="19">
        <v>3.5</v>
      </c>
      <c r="O71" s="20" t="s">
        <v>77</v>
      </c>
    </row>
    <row r="72" spans="3:15" ht="40.5" customHeight="1" x14ac:dyDescent="0.25">
      <c r="C72" s="17">
        <v>66</v>
      </c>
      <c r="D72" s="17" t="s">
        <v>193</v>
      </c>
      <c r="E72" s="83" t="s">
        <v>24</v>
      </c>
      <c r="F72" s="83"/>
      <c r="G72" s="83"/>
      <c r="H72" s="83"/>
      <c r="I72" s="18" t="s">
        <v>242</v>
      </c>
      <c r="J72" s="18" t="s">
        <v>33</v>
      </c>
      <c r="K72" s="18">
        <v>960</v>
      </c>
      <c r="L72" s="19">
        <v>1.9</v>
      </c>
      <c r="M72" s="18" t="s">
        <v>36</v>
      </c>
      <c r="N72" s="19">
        <v>3.5</v>
      </c>
      <c r="O72" s="20" t="s">
        <v>77</v>
      </c>
    </row>
    <row r="73" spans="3:15" ht="40.5" customHeight="1" x14ac:dyDescent="0.25">
      <c r="C73" s="17">
        <v>67</v>
      </c>
      <c r="D73" s="17" t="s">
        <v>194</v>
      </c>
      <c r="E73" s="83" t="s">
        <v>24</v>
      </c>
      <c r="F73" s="83"/>
      <c r="G73" s="83"/>
      <c r="H73" s="83"/>
      <c r="I73" s="18" t="s">
        <v>242</v>
      </c>
      <c r="J73" s="18" t="s">
        <v>78</v>
      </c>
      <c r="K73" s="18">
        <v>960</v>
      </c>
      <c r="L73" s="19">
        <v>1.9</v>
      </c>
      <c r="M73" s="18" t="s">
        <v>36</v>
      </c>
      <c r="N73" s="19">
        <v>3.5</v>
      </c>
      <c r="O73" s="20" t="s">
        <v>77</v>
      </c>
    </row>
    <row r="74" spans="3:15" ht="40.5" customHeight="1" x14ac:dyDescent="0.25">
      <c r="C74" s="17">
        <v>68</v>
      </c>
      <c r="D74" s="17" t="s">
        <v>195</v>
      </c>
      <c r="E74" s="83" t="s">
        <v>24</v>
      </c>
      <c r="F74" s="83"/>
      <c r="G74" s="83"/>
      <c r="H74" s="83"/>
      <c r="I74" s="18" t="s">
        <v>242</v>
      </c>
      <c r="J74" s="18" t="s">
        <v>26</v>
      </c>
      <c r="K74" s="18">
        <v>960</v>
      </c>
      <c r="L74" s="19">
        <v>1.9</v>
      </c>
      <c r="M74" s="18" t="s">
        <v>36</v>
      </c>
      <c r="N74" s="19">
        <v>3.5</v>
      </c>
      <c r="O74" s="20" t="s">
        <v>77</v>
      </c>
    </row>
    <row r="75" spans="3:15" ht="40.5" customHeight="1" x14ac:dyDescent="0.25">
      <c r="C75" s="17">
        <v>69</v>
      </c>
      <c r="D75" s="17" t="s">
        <v>196</v>
      </c>
      <c r="E75" s="83" t="s">
        <v>24</v>
      </c>
      <c r="F75" s="83"/>
      <c r="G75" s="83"/>
      <c r="H75" s="83"/>
      <c r="I75" s="18" t="s">
        <v>242</v>
      </c>
      <c r="J75" s="18" t="s">
        <v>71</v>
      </c>
      <c r="K75" s="24">
        <v>1520</v>
      </c>
      <c r="L75" s="19">
        <v>1.9</v>
      </c>
      <c r="M75" s="18" t="s">
        <v>36</v>
      </c>
      <c r="N75" s="19">
        <v>3.5</v>
      </c>
      <c r="O75" s="20" t="s">
        <v>77</v>
      </c>
    </row>
    <row r="76" spans="3:15" ht="40.5" customHeight="1" x14ac:dyDescent="0.25">
      <c r="C76" s="17">
        <v>70</v>
      </c>
      <c r="D76" s="17" t="s">
        <v>197</v>
      </c>
      <c r="E76" s="83" t="s">
        <v>24</v>
      </c>
      <c r="F76" s="83"/>
      <c r="G76" s="83"/>
      <c r="H76" s="83"/>
      <c r="I76" s="18" t="s">
        <v>242</v>
      </c>
      <c r="J76" s="18" t="s">
        <v>79</v>
      </c>
      <c r="K76" s="24">
        <v>1525</v>
      </c>
      <c r="L76" s="19">
        <v>1.9</v>
      </c>
      <c r="M76" s="18" t="s">
        <v>36</v>
      </c>
      <c r="N76" s="19">
        <v>3.5</v>
      </c>
      <c r="O76" s="20" t="s">
        <v>77</v>
      </c>
    </row>
    <row r="77" spans="3:15" ht="40.5" customHeight="1" x14ac:dyDescent="0.25">
      <c r="C77" s="17">
        <v>71</v>
      </c>
      <c r="D77" s="17" t="s">
        <v>198</v>
      </c>
      <c r="E77" s="83" t="s">
        <v>24</v>
      </c>
      <c r="F77" s="83"/>
      <c r="G77" s="83"/>
      <c r="H77" s="83"/>
      <c r="I77" s="18" t="s">
        <v>242</v>
      </c>
      <c r="J77" s="18" t="s">
        <v>80</v>
      </c>
      <c r="K77" s="24">
        <v>1525</v>
      </c>
      <c r="L77" s="19">
        <v>1.9</v>
      </c>
      <c r="M77" s="18" t="s">
        <v>36</v>
      </c>
      <c r="N77" s="19">
        <v>3.5</v>
      </c>
      <c r="O77" s="20" t="s">
        <v>77</v>
      </c>
    </row>
    <row r="78" spans="3:15" ht="40.5" customHeight="1" x14ac:dyDescent="0.25">
      <c r="C78" s="17">
        <v>72</v>
      </c>
      <c r="D78" s="17" t="s">
        <v>199</v>
      </c>
      <c r="E78" s="83" t="s">
        <v>24</v>
      </c>
      <c r="F78" s="83"/>
      <c r="G78" s="83"/>
      <c r="H78" s="83"/>
      <c r="I78" s="18" t="s">
        <v>242</v>
      </c>
      <c r="J78" s="18" t="s">
        <v>43</v>
      </c>
      <c r="K78" s="24">
        <v>1525</v>
      </c>
      <c r="L78" s="19">
        <v>1.9</v>
      </c>
      <c r="M78" s="18" t="s">
        <v>36</v>
      </c>
      <c r="N78" s="19">
        <v>3.5</v>
      </c>
      <c r="O78" s="20" t="s">
        <v>77</v>
      </c>
    </row>
    <row r="79" spans="3:15" ht="40.5" customHeight="1" x14ac:dyDescent="0.25">
      <c r="C79" s="17">
        <v>73</v>
      </c>
      <c r="D79" s="17" t="s">
        <v>200</v>
      </c>
      <c r="E79" s="83" t="s">
        <v>24</v>
      </c>
      <c r="F79" s="83"/>
      <c r="G79" s="83"/>
      <c r="H79" s="83"/>
      <c r="I79" s="18" t="s">
        <v>242</v>
      </c>
      <c r="J79" s="18" t="s">
        <v>30</v>
      </c>
      <c r="K79" s="24">
        <v>1665</v>
      </c>
      <c r="L79" s="19">
        <v>3.5</v>
      </c>
      <c r="M79" s="20" t="s">
        <v>77</v>
      </c>
      <c r="N79" s="19">
        <v>1.9</v>
      </c>
      <c r="O79" s="20">
        <v>561349000</v>
      </c>
    </row>
    <row r="80" spans="3:15" ht="40.5" customHeight="1" x14ac:dyDescent="0.25">
      <c r="C80" s="17">
        <v>74</v>
      </c>
      <c r="D80" s="17" t="s">
        <v>201</v>
      </c>
      <c r="E80" s="83" t="s">
        <v>24</v>
      </c>
      <c r="F80" s="83"/>
      <c r="G80" s="83"/>
      <c r="H80" s="83"/>
      <c r="I80" s="18" t="s">
        <v>242</v>
      </c>
      <c r="J80" s="18" t="s">
        <v>48</v>
      </c>
      <c r="K80" s="24">
        <v>1665</v>
      </c>
      <c r="L80" s="19">
        <v>3.5</v>
      </c>
      <c r="M80" s="20" t="s">
        <v>77</v>
      </c>
      <c r="N80" s="19">
        <v>1.9</v>
      </c>
      <c r="O80" s="20">
        <v>561349000</v>
      </c>
    </row>
    <row r="81" spans="3:15" ht="40.5" customHeight="1" x14ac:dyDescent="0.25">
      <c r="C81" s="17">
        <v>75</v>
      </c>
      <c r="D81" s="17" t="s">
        <v>202</v>
      </c>
      <c r="E81" s="83" t="s">
        <v>24</v>
      </c>
      <c r="F81" s="83"/>
      <c r="G81" s="83"/>
      <c r="H81" s="83"/>
      <c r="I81" s="18" t="s">
        <v>242</v>
      </c>
      <c r="J81" s="18" t="s">
        <v>33</v>
      </c>
      <c r="K81" s="24">
        <v>1665</v>
      </c>
      <c r="L81" s="19">
        <v>3.5</v>
      </c>
      <c r="M81" s="20" t="s">
        <v>77</v>
      </c>
      <c r="N81" s="19">
        <v>1.9</v>
      </c>
      <c r="O81" s="20">
        <v>561349000</v>
      </c>
    </row>
    <row r="82" spans="3:15" ht="40.5" customHeight="1" x14ac:dyDescent="0.25">
      <c r="C82" s="17">
        <v>76</v>
      </c>
      <c r="D82" s="17" t="s">
        <v>203</v>
      </c>
      <c r="E82" s="83" t="s">
        <v>24</v>
      </c>
      <c r="F82" s="83"/>
      <c r="G82" s="83"/>
      <c r="H82" s="83"/>
      <c r="I82" s="18" t="s">
        <v>242</v>
      </c>
      <c r="J82" s="18" t="s">
        <v>19</v>
      </c>
      <c r="K82" s="18">
        <v>1100</v>
      </c>
      <c r="L82" s="19">
        <v>3.5</v>
      </c>
      <c r="M82" s="20" t="s">
        <v>77</v>
      </c>
      <c r="N82" s="19">
        <v>1.9</v>
      </c>
      <c r="O82" s="20">
        <v>561349000</v>
      </c>
    </row>
    <row r="83" spans="3:15" ht="40.5" customHeight="1" x14ac:dyDescent="0.25">
      <c r="C83" s="17">
        <v>77</v>
      </c>
      <c r="D83" s="17" t="s">
        <v>204</v>
      </c>
      <c r="E83" s="83" t="s">
        <v>24</v>
      </c>
      <c r="F83" s="83"/>
      <c r="G83" s="83"/>
      <c r="H83" s="83"/>
      <c r="I83" s="18" t="s">
        <v>242</v>
      </c>
      <c r="J83" s="18" t="s">
        <v>81</v>
      </c>
      <c r="K83" s="18">
        <v>1100</v>
      </c>
      <c r="L83" s="19">
        <v>3.5</v>
      </c>
      <c r="M83" s="20" t="s">
        <v>77</v>
      </c>
      <c r="N83" s="19">
        <v>1.9</v>
      </c>
      <c r="O83" s="20">
        <v>561349000</v>
      </c>
    </row>
    <row r="84" spans="3:15" ht="40.5" customHeight="1" x14ac:dyDescent="0.25">
      <c r="C84" s="17">
        <v>78</v>
      </c>
      <c r="D84" s="17" t="s">
        <v>205</v>
      </c>
      <c r="E84" s="83" t="s">
        <v>24</v>
      </c>
      <c r="F84" s="83"/>
      <c r="G84" s="83"/>
      <c r="H84" s="83"/>
      <c r="I84" s="18" t="s">
        <v>242</v>
      </c>
      <c r="J84" s="18" t="s">
        <v>82</v>
      </c>
      <c r="K84" s="18">
        <v>1100</v>
      </c>
      <c r="L84" s="19">
        <v>3.5</v>
      </c>
      <c r="M84" s="20" t="s">
        <v>77</v>
      </c>
      <c r="N84" s="19">
        <v>1.9</v>
      </c>
      <c r="O84" s="20">
        <v>561349000</v>
      </c>
    </row>
    <row r="85" spans="3:15" ht="40.5" customHeight="1" x14ac:dyDescent="0.25">
      <c r="C85" s="17">
        <v>79</v>
      </c>
      <c r="D85" s="17" t="s">
        <v>206</v>
      </c>
      <c r="E85" s="83" t="s">
        <v>24</v>
      </c>
      <c r="F85" s="83"/>
      <c r="G85" s="83"/>
      <c r="H85" s="83"/>
      <c r="I85" s="18" t="s">
        <v>242</v>
      </c>
      <c r="J85" s="18" t="s">
        <v>75</v>
      </c>
      <c r="K85" s="18">
        <v>300</v>
      </c>
      <c r="L85" s="19">
        <v>1.9</v>
      </c>
      <c r="M85" s="18" t="s">
        <v>36</v>
      </c>
      <c r="N85" s="19">
        <v>7</v>
      </c>
      <c r="O85" s="20" t="s">
        <v>84</v>
      </c>
    </row>
    <row r="86" spans="3:15" ht="40.5" customHeight="1" x14ac:dyDescent="0.25">
      <c r="C86" s="17">
        <v>80</v>
      </c>
      <c r="D86" s="17" t="s">
        <v>207</v>
      </c>
      <c r="E86" s="83" t="s">
        <v>24</v>
      </c>
      <c r="F86" s="83"/>
      <c r="G86" s="83"/>
      <c r="H86" s="83"/>
      <c r="I86" s="18" t="s">
        <v>242</v>
      </c>
      <c r="J86" s="18" t="s">
        <v>75</v>
      </c>
      <c r="K86" s="18">
        <v>605</v>
      </c>
      <c r="L86" s="19">
        <v>3.5</v>
      </c>
      <c r="M86" s="20" t="s">
        <v>77</v>
      </c>
      <c r="N86" s="19">
        <v>7</v>
      </c>
      <c r="O86" s="20" t="s">
        <v>83</v>
      </c>
    </row>
    <row r="87" spans="3:15" ht="40.5" customHeight="1" x14ac:dyDescent="0.25">
      <c r="C87" s="17">
        <v>81</v>
      </c>
      <c r="D87" s="17" t="s">
        <v>208</v>
      </c>
      <c r="E87" s="83" t="s">
        <v>24</v>
      </c>
      <c r="F87" s="83"/>
      <c r="G87" s="83"/>
      <c r="H87" s="83"/>
      <c r="I87" s="18" t="s">
        <v>242</v>
      </c>
      <c r="J87" s="18" t="s">
        <v>75</v>
      </c>
      <c r="K87" s="24">
        <v>1150</v>
      </c>
      <c r="L87" s="19">
        <v>3.5</v>
      </c>
      <c r="M87" s="20" t="s">
        <v>77</v>
      </c>
      <c r="N87" s="19">
        <v>7</v>
      </c>
      <c r="O87" s="20" t="s">
        <v>83</v>
      </c>
    </row>
    <row r="88" spans="3:15" ht="40.5" customHeight="1" x14ac:dyDescent="0.25">
      <c r="C88" s="17">
        <v>82</v>
      </c>
      <c r="D88" s="17" t="s">
        <v>209</v>
      </c>
      <c r="E88" s="83" t="s">
        <v>24</v>
      </c>
      <c r="F88" s="83"/>
      <c r="G88" s="83"/>
      <c r="H88" s="83"/>
      <c r="I88" s="18" t="s">
        <v>242</v>
      </c>
      <c r="J88" s="18" t="s">
        <v>48</v>
      </c>
      <c r="K88" s="18">
        <v>1610</v>
      </c>
      <c r="L88" s="19">
        <v>1.9</v>
      </c>
      <c r="M88" s="18" t="s">
        <v>36</v>
      </c>
      <c r="N88" s="19">
        <v>7</v>
      </c>
      <c r="O88" s="20" t="s">
        <v>85</v>
      </c>
    </row>
    <row r="89" spans="3:15" ht="40.5" customHeight="1" x14ac:dyDescent="0.25">
      <c r="C89" s="17">
        <v>83</v>
      </c>
      <c r="D89" s="17" t="s">
        <v>210</v>
      </c>
      <c r="E89" s="83" t="s">
        <v>24</v>
      </c>
      <c r="F89" s="83"/>
      <c r="G89" s="83"/>
      <c r="H89" s="83"/>
      <c r="I89" s="18" t="s">
        <v>242</v>
      </c>
      <c r="J89" s="18" t="s">
        <v>15</v>
      </c>
      <c r="K89" s="18">
        <v>650</v>
      </c>
      <c r="L89" s="19">
        <v>3</v>
      </c>
      <c r="M89" s="18">
        <v>39000048</v>
      </c>
      <c r="N89" s="19">
        <v>7</v>
      </c>
      <c r="O89" s="20" t="s">
        <v>86</v>
      </c>
    </row>
    <row r="90" spans="3:15" ht="59.25" customHeight="1" x14ac:dyDescent="0.25">
      <c r="C90" s="17">
        <v>84</v>
      </c>
      <c r="D90" s="17" t="s">
        <v>211</v>
      </c>
      <c r="E90" s="83" t="s">
        <v>24</v>
      </c>
      <c r="F90" s="83"/>
      <c r="G90" s="83"/>
      <c r="H90" s="83"/>
      <c r="I90" s="18" t="s">
        <v>242</v>
      </c>
      <c r="J90" s="18" t="s">
        <v>15</v>
      </c>
      <c r="K90" s="18">
        <v>610</v>
      </c>
      <c r="L90" s="19">
        <v>7</v>
      </c>
      <c r="M90" s="20" t="s">
        <v>87</v>
      </c>
      <c r="N90" s="19">
        <v>7</v>
      </c>
      <c r="O90" s="20" t="s">
        <v>244</v>
      </c>
    </row>
    <row r="91" spans="3:15" ht="49.5" customHeight="1" x14ac:dyDescent="0.25">
      <c r="C91" s="17">
        <v>85</v>
      </c>
      <c r="D91" s="17" t="s">
        <v>212</v>
      </c>
      <c r="E91" s="83" t="s">
        <v>24</v>
      </c>
      <c r="F91" s="83"/>
      <c r="G91" s="83"/>
      <c r="H91" s="83"/>
      <c r="I91" s="18" t="s">
        <v>242</v>
      </c>
      <c r="J91" s="18" t="s">
        <v>48</v>
      </c>
      <c r="K91" s="18">
        <v>610</v>
      </c>
      <c r="L91" s="19">
        <v>7</v>
      </c>
      <c r="M91" s="20" t="s">
        <v>88</v>
      </c>
      <c r="N91" s="19">
        <v>7</v>
      </c>
      <c r="O91" s="20" t="s">
        <v>245</v>
      </c>
    </row>
    <row r="92" spans="3:15" ht="40.5" customHeight="1" x14ac:dyDescent="0.25">
      <c r="C92" s="17">
        <v>86</v>
      </c>
      <c r="D92" s="17" t="s">
        <v>213</v>
      </c>
      <c r="E92" s="83" t="s">
        <v>24</v>
      </c>
      <c r="F92" s="83"/>
      <c r="G92" s="83"/>
      <c r="H92" s="83"/>
      <c r="I92" s="18" t="s">
        <v>242</v>
      </c>
      <c r="J92" s="18" t="s">
        <v>75</v>
      </c>
      <c r="K92" s="18">
        <v>930</v>
      </c>
      <c r="L92" s="19">
        <v>3.2</v>
      </c>
      <c r="M92" s="18" t="s">
        <v>25</v>
      </c>
      <c r="N92" s="19">
        <v>1.9</v>
      </c>
      <c r="O92" s="21" t="s">
        <v>36</v>
      </c>
    </row>
    <row r="93" spans="3:15" ht="40.5" customHeight="1" x14ac:dyDescent="0.25">
      <c r="C93" s="17">
        <v>87</v>
      </c>
      <c r="D93" s="17" t="s">
        <v>214</v>
      </c>
      <c r="E93" s="83" t="s">
        <v>24</v>
      </c>
      <c r="F93" s="83"/>
      <c r="G93" s="83"/>
      <c r="H93" s="83"/>
      <c r="I93" s="18" t="s">
        <v>242</v>
      </c>
      <c r="J93" s="18" t="s">
        <v>27</v>
      </c>
      <c r="K93" s="18">
        <v>930</v>
      </c>
      <c r="L93" s="19">
        <v>1.9</v>
      </c>
      <c r="M93" s="18" t="s">
        <v>36</v>
      </c>
      <c r="N93" s="19">
        <v>3.2</v>
      </c>
      <c r="O93" s="21" t="s">
        <v>25</v>
      </c>
    </row>
    <row r="94" spans="3:15" ht="40.5" customHeight="1" x14ac:dyDescent="0.25">
      <c r="C94" s="17">
        <v>88</v>
      </c>
      <c r="D94" s="17" t="s">
        <v>215</v>
      </c>
      <c r="E94" s="83" t="s">
        <v>24</v>
      </c>
      <c r="F94" s="83"/>
      <c r="G94" s="83"/>
      <c r="H94" s="83"/>
      <c r="I94" s="18" t="s">
        <v>242</v>
      </c>
      <c r="J94" s="18" t="s">
        <v>19</v>
      </c>
      <c r="K94" s="18">
        <v>500</v>
      </c>
      <c r="L94" s="19">
        <v>3</v>
      </c>
      <c r="M94" s="18">
        <v>39000048</v>
      </c>
      <c r="N94" s="19">
        <v>7</v>
      </c>
      <c r="O94" s="20" t="s">
        <v>90</v>
      </c>
    </row>
    <row r="95" spans="3:15" ht="40.5" customHeight="1" x14ac:dyDescent="0.25">
      <c r="C95" s="17">
        <v>89</v>
      </c>
      <c r="D95" s="17" t="s">
        <v>216</v>
      </c>
      <c r="E95" s="83" t="s">
        <v>24</v>
      </c>
      <c r="F95" s="83"/>
      <c r="G95" s="83"/>
      <c r="H95" s="83"/>
      <c r="I95" s="18" t="s">
        <v>242</v>
      </c>
      <c r="J95" s="18" t="s">
        <v>16</v>
      </c>
      <c r="K95" s="18">
        <v>470</v>
      </c>
      <c r="L95" s="19">
        <v>3</v>
      </c>
      <c r="M95" s="18">
        <v>39000048</v>
      </c>
      <c r="N95" s="19">
        <v>7</v>
      </c>
      <c r="O95" s="20" t="s">
        <v>91</v>
      </c>
    </row>
    <row r="96" spans="3:15" ht="40.5" customHeight="1" x14ac:dyDescent="0.25">
      <c r="C96" s="17">
        <v>90</v>
      </c>
      <c r="D96" s="17" t="s">
        <v>217</v>
      </c>
      <c r="E96" s="83" t="s">
        <v>24</v>
      </c>
      <c r="F96" s="83"/>
      <c r="G96" s="83"/>
      <c r="H96" s="83"/>
      <c r="I96" s="18" t="s">
        <v>242</v>
      </c>
      <c r="J96" s="18" t="s">
        <v>18</v>
      </c>
      <c r="K96" s="18">
        <v>460</v>
      </c>
      <c r="L96" s="19">
        <v>3</v>
      </c>
      <c r="M96" s="18">
        <v>39000048</v>
      </c>
      <c r="N96" s="19">
        <v>7</v>
      </c>
      <c r="O96" s="20" t="s">
        <v>92</v>
      </c>
    </row>
    <row r="97" spans="3:15" ht="40.5" customHeight="1" x14ac:dyDescent="0.25">
      <c r="C97" s="17">
        <v>91</v>
      </c>
      <c r="D97" s="17" t="s">
        <v>239</v>
      </c>
      <c r="E97" s="83" t="s">
        <v>24</v>
      </c>
      <c r="F97" s="83"/>
      <c r="G97" s="83"/>
      <c r="H97" s="83"/>
      <c r="I97" s="18" t="s">
        <v>242</v>
      </c>
      <c r="J97" s="18" t="s">
        <v>18</v>
      </c>
      <c r="K97" s="18">
        <f>2220-140</f>
        <v>2080</v>
      </c>
      <c r="L97" s="19">
        <v>1.9</v>
      </c>
      <c r="M97" s="18" t="s">
        <v>39</v>
      </c>
      <c r="N97" s="19">
        <v>3</v>
      </c>
      <c r="O97" s="21" t="s">
        <v>238</v>
      </c>
    </row>
    <row r="98" spans="3:15" ht="40.5" customHeight="1" x14ac:dyDescent="0.25">
      <c r="C98" s="17">
        <v>92</v>
      </c>
      <c r="D98" s="17" t="s">
        <v>108</v>
      </c>
      <c r="E98" s="83" t="s">
        <v>31</v>
      </c>
      <c r="F98" s="83"/>
      <c r="G98" s="83"/>
      <c r="H98" s="83"/>
      <c r="I98" s="18" t="s">
        <v>234</v>
      </c>
      <c r="J98" s="18" t="s">
        <v>93</v>
      </c>
      <c r="K98" s="18">
        <v>360</v>
      </c>
      <c r="L98" s="19">
        <v>5</v>
      </c>
      <c r="M98" s="18" t="s">
        <v>44</v>
      </c>
      <c r="N98" s="19">
        <v>4</v>
      </c>
      <c r="O98" s="20" t="s">
        <v>226</v>
      </c>
    </row>
    <row r="99" spans="3:15" ht="40.5" customHeight="1" x14ac:dyDescent="0.25">
      <c r="C99" s="17">
        <v>93</v>
      </c>
      <c r="D99" s="17" t="s">
        <v>109</v>
      </c>
      <c r="E99" s="83" t="s">
        <v>24</v>
      </c>
      <c r="F99" s="83"/>
      <c r="G99" s="83"/>
      <c r="H99" s="83"/>
      <c r="I99" s="18" t="s">
        <v>242</v>
      </c>
      <c r="J99" s="18" t="s">
        <v>94</v>
      </c>
      <c r="K99" s="18">
        <v>2020</v>
      </c>
      <c r="L99" s="19">
        <v>1.9</v>
      </c>
      <c r="M99" s="18">
        <v>561349000</v>
      </c>
      <c r="N99" s="19">
        <v>3.2</v>
      </c>
      <c r="O99" s="20" t="s">
        <v>25</v>
      </c>
    </row>
    <row r="100" spans="3:15" ht="40.5" customHeight="1" x14ac:dyDescent="0.25">
      <c r="C100" s="17">
        <v>94</v>
      </c>
      <c r="D100" s="17" t="s">
        <v>110</v>
      </c>
      <c r="E100" s="83" t="s">
        <v>24</v>
      </c>
      <c r="F100" s="83"/>
      <c r="G100" s="83"/>
      <c r="H100" s="83"/>
      <c r="I100" s="18" t="s">
        <v>242</v>
      </c>
      <c r="J100" s="18" t="s">
        <v>95</v>
      </c>
      <c r="K100" s="18">
        <v>1825</v>
      </c>
      <c r="L100" s="19">
        <v>1.9</v>
      </c>
      <c r="M100" s="18">
        <v>561349000</v>
      </c>
      <c r="N100" s="19">
        <v>3</v>
      </c>
      <c r="O100" s="20" t="s">
        <v>107</v>
      </c>
    </row>
    <row r="101" spans="3:15" ht="40.5" customHeight="1" x14ac:dyDescent="0.25">
      <c r="C101" s="17">
        <v>95</v>
      </c>
      <c r="D101" s="17" t="s">
        <v>111</v>
      </c>
      <c r="E101" s="83" t="s">
        <v>24</v>
      </c>
      <c r="F101" s="83"/>
      <c r="G101" s="83"/>
      <c r="H101" s="83"/>
      <c r="I101" s="18" t="s">
        <v>242</v>
      </c>
      <c r="J101" s="18" t="s">
        <v>96</v>
      </c>
      <c r="K101" s="18">
        <v>1825</v>
      </c>
      <c r="L101" s="19">
        <v>1.9</v>
      </c>
      <c r="M101" s="18">
        <v>561349000</v>
      </c>
      <c r="N101" s="19">
        <v>3</v>
      </c>
      <c r="O101" s="20" t="s">
        <v>107</v>
      </c>
    </row>
    <row r="102" spans="3:15" ht="40.5" customHeight="1" x14ac:dyDescent="0.25">
      <c r="C102" s="17">
        <v>96</v>
      </c>
      <c r="D102" s="17" t="s">
        <v>112</v>
      </c>
      <c r="E102" s="83" t="s">
        <v>24</v>
      </c>
      <c r="F102" s="83"/>
      <c r="G102" s="83"/>
      <c r="H102" s="83"/>
      <c r="I102" s="18" t="s">
        <v>242</v>
      </c>
      <c r="J102" s="18" t="s">
        <v>97</v>
      </c>
      <c r="K102" s="18">
        <v>1825</v>
      </c>
      <c r="L102" s="19">
        <v>1.9</v>
      </c>
      <c r="M102" s="18">
        <v>561349000</v>
      </c>
      <c r="N102" s="19">
        <v>3</v>
      </c>
      <c r="O102" s="20" t="s">
        <v>107</v>
      </c>
    </row>
    <row r="103" spans="3:15" ht="40.5" customHeight="1" x14ac:dyDescent="0.25">
      <c r="C103" s="17">
        <v>97</v>
      </c>
      <c r="D103" s="17" t="s">
        <v>113</v>
      </c>
      <c r="E103" s="83" t="s">
        <v>24</v>
      </c>
      <c r="F103" s="83"/>
      <c r="G103" s="83"/>
      <c r="H103" s="83"/>
      <c r="I103" s="18" t="s">
        <v>242</v>
      </c>
      <c r="J103" s="18" t="s">
        <v>98</v>
      </c>
      <c r="K103" s="18">
        <v>1825</v>
      </c>
      <c r="L103" s="19">
        <v>1.9</v>
      </c>
      <c r="M103" s="18">
        <v>561349000</v>
      </c>
      <c r="N103" s="19">
        <v>3</v>
      </c>
      <c r="O103" s="20" t="s">
        <v>107</v>
      </c>
    </row>
    <row r="104" spans="3:15" ht="40.5" customHeight="1" x14ac:dyDescent="0.25">
      <c r="C104" s="17">
        <v>98</v>
      </c>
      <c r="D104" s="17" t="s">
        <v>114</v>
      </c>
      <c r="E104" s="83" t="s">
        <v>24</v>
      </c>
      <c r="F104" s="83"/>
      <c r="G104" s="83"/>
      <c r="H104" s="83"/>
      <c r="I104" s="18" t="s">
        <v>242</v>
      </c>
      <c r="J104" s="18" t="s">
        <v>95</v>
      </c>
      <c r="K104" s="18">
        <f>2400+10</f>
        <v>2410</v>
      </c>
      <c r="L104" s="19">
        <v>3</v>
      </c>
      <c r="M104" s="18" t="s">
        <v>107</v>
      </c>
      <c r="N104" s="19">
        <v>1.9</v>
      </c>
      <c r="O104" s="20">
        <v>561349000</v>
      </c>
    </row>
    <row r="105" spans="3:15" ht="40.5" customHeight="1" x14ac:dyDescent="0.25">
      <c r="C105" s="17">
        <v>99</v>
      </c>
      <c r="D105" s="17" t="s">
        <v>115</v>
      </c>
      <c r="E105" s="83" t="s">
        <v>24</v>
      </c>
      <c r="F105" s="83"/>
      <c r="G105" s="83"/>
      <c r="H105" s="83"/>
      <c r="I105" s="18" t="s">
        <v>242</v>
      </c>
      <c r="J105" s="18" t="s">
        <v>99</v>
      </c>
      <c r="K105" s="18">
        <f t="shared" ref="K105:K107" si="1">2400+10</f>
        <v>2410</v>
      </c>
      <c r="L105" s="19">
        <v>3</v>
      </c>
      <c r="M105" s="18" t="s">
        <v>107</v>
      </c>
      <c r="N105" s="19">
        <v>1.9</v>
      </c>
      <c r="O105" s="20">
        <v>561349000</v>
      </c>
    </row>
    <row r="106" spans="3:15" ht="40.5" customHeight="1" x14ac:dyDescent="0.25">
      <c r="C106" s="17">
        <v>100</v>
      </c>
      <c r="D106" s="17" t="s">
        <v>116</v>
      </c>
      <c r="E106" s="83" t="s">
        <v>24</v>
      </c>
      <c r="F106" s="83"/>
      <c r="G106" s="83"/>
      <c r="H106" s="83"/>
      <c r="I106" s="18" t="s">
        <v>242</v>
      </c>
      <c r="J106" s="18" t="s">
        <v>100</v>
      </c>
      <c r="K106" s="18">
        <f t="shared" si="1"/>
        <v>2410</v>
      </c>
      <c r="L106" s="19">
        <v>1.9</v>
      </c>
      <c r="M106" s="18">
        <v>561349000</v>
      </c>
      <c r="N106" s="19">
        <v>3</v>
      </c>
      <c r="O106" s="20" t="s">
        <v>107</v>
      </c>
    </row>
    <row r="107" spans="3:15" ht="40.5" customHeight="1" x14ac:dyDescent="0.25">
      <c r="C107" s="17">
        <v>101</v>
      </c>
      <c r="D107" s="17" t="s">
        <v>117</v>
      </c>
      <c r="E107" s="83" t="s">
        <v>24</v>
      </c>
      <c r="F107" s="83"/>
      <c r="G107" s="83"/>
      <c r="H107" s="83"/>
      <c r="I107" s="18" t="s">
        <v>242</v>
      </c>
      <c r="J107" s="18" t="s">
        <v>101</v>
      </c>
      <c r="K107" s="18">
        <f t="shared" si="1"/>
        <v>2410</v>
      </c>
      <c r="L107" s="19">
        <v>1.9</v>
      </c>
      <c r="M107" s="18">
        <v>561349000</v>
      </c>
      <c r="N107" s="19">
        <v>3</v>
      </c>
      <c r="O107" s="20" t="s">
        <v>107</v>
      </c>
    </row>
    <row r="108" spans="3:15" ht="40.5" customHeight="1" x14ac:dyDescent="0.25">
      <c r="C108" s="17">
        <v>102</v>
      </c>
      <c r="D108" s="17" t="s">
        <v>118</v>
      </c>
      <c r="E108" s="83" t="s">
        <v>24</v>
      </c>
      <c r="F108" s="83"/>
      <c r="G108" s="83"/>
      <c r="H108" s="83"/>
      <c r="I108" s="18" t="s">
        <v>242</v>
      </c>
      <c r="J108" s="18" t="s">
        <v>102</v>
      </c>
      <c r="K108" s="18">
        <v>1810</v>
      </c>
      <c r="L108" s="19">
        <v>1.9</v>
      </c>
      <c r="M108" s="18" t="s">
        <v>36</v>
      </c>
      <c r="N108" s="19">
        <v>3.5</v>
      </c>
      <c r="O108" s="20" t="s">
        <v>89</v>
      </c>
    </row>
    <row r="109" spans="3:15" ht="40.5" customHeight="1" x14ac:dyDescent="0.25">
      <c r="C109" s="17">
        <v>103</v>
      </c>
      <c r="D109" s="17" t="s">
        <v>119</v>
      </c>
      <c r="E109" s="83" t="s">
        <v>24</v>
      </c>
      <c r="F109" s="83"/>
      <c r="G109" s="83"/>
      <c r="H109" s="83"/>
      <c r="I109" s="18" t="s">
        <v>242</v>
      </c>
      <c r="J109" s="18" t="s">
        <v>95</v>
      </c>
      <c r="K109" s="18">
        <v>1810</v>
      </c>
      <c r="L109" s="19">
        <v>1.9</v>
      </c>
      <c r="M109" s="18" t="s">
        <v>36</v>
      </c>
      <c r="N109" s="19">
        <v>3.5</v>
      </c>
      <c r="O109" s="20" t="s">
        <v>89</v>
      </c>
    </row>
    <row r="110" spans="3:15" ht="40.5" customHeight="1" x14ac:dyDescent="0.25">
      <c r="C110" s="17">
        <v>104</v>
      </c>
      <c r="D110" s="17" t="s">
        <v>120</v>
      </c>
      <c r="E110" s="83" t="s">
        <v>24</v>
      </c>
      <c r="F110" s="83"/>
      <c r="G110" s="83"/>
      <c r="H110" s="83"/>
      <c r="I110" s="18" t="s">
        <v>242</v>
      </c>
      <c r="J110" s="18" t="s">
        <v>103</v>
      </c>
      <c r="K110" s="18">
        <v>1810</v>
      </c>
      <c r="L110" s="19">
        <v>1.9</v>
      </c>
      <c r="M110" s="18" t="s">
        <v>36</v>
      </c>
      <c r="N110" s="19">
        <v>3.5</v>
      </c>
      <c r="O110" s="20" t="s">
        <v>89</v>
      </c>
    </row>
    <row r="111" spans="3:15" ht="40.5" customHeight="1" x14ac:dyDescent="0.25">
      <c r="C111" s="17">
        <v>105</v>
      </c>
      <c r="D111" s="17" t="s">
        <v>121</v>
      </c>
      <c r="E111" s="83" t="s">
        <v>24</v>
      </c>
      <c r="F111" s="83"/>
      <c r="G111" s="83"/>
      <c r="H111" s="83"/>
      <c r="I111" s="18" t="s">
        <v>242</v>
      </c>
      <c r="J111" s="18" t="s">
        <v>94</v>
      </c>
      <c r="K111" s="18">
        <v>1810</v>
      </c>
      <c r="L111" s="19">
        <v>1.9</v>
      </c>
      <c r="M111" s="18" t="s">
        <v>36</v>
      </c>
      <c r="N111" s="19">
        <v>3.5</v>
      </c>
      <c r="O111" s="20" t="s">
        <v>89</v>
      </c>
    </row>
    <row r="112" spans="3:15" ht="40.5" customHeight="1" x14ac:dyDescent="0.25">
      <c r="C112" s="17">
        <v>106</v>
      </c>
      <c r="D112" s="17" t="s">
        <v>122</v>
      </c>
      <c r="E112" s="83" t="s">
        <v>24</v>
      </c>
      <c r="F112" s="83"/>
      <c r="G112" s="83"/>
      <c r="H112" s="83"/>
      <c r="I112" s="18" t="s">
        <v>242</v>
      </c>
      <c r="J112" s="18" t="s">
        <v>94</v>
      </c>
      <c r="K112" s="18">
        <f>1060+35</f>
        <v>1095</v>
      </c>
      <c r="L112" s="19">
        <v>3</v>
      </c>
      <c r="M112" s="18" t="s">
        <v>107</v>
      </c>
      <c r="N112" s="19">
        <v>7</v>
      </c>
      <c r="O112" s="20" t="s">
        <v>227</v>
      </c>
    </row>
    <row r="113" spans="3:15" ht="40.5" customHeight="1" x14ac:dyDescent="0.25">
      <c r="C113" s="17">
        <v>107</v>
      </c>
      <c r="D113" s="17" t="s">
        <v>123</v>
      </c>
      <c r="E113" s="83" t="s">
        <v>24</v>
      </c>
      <c r="F113" s="83"/>
      <c r="G113" s="83"/>
      <c r="H113" s="83"/>
      <c r="I113" s="18" t="s">
        <v>242</v>
      </c>
      <c r="J113" s="18" t="s">
        <v>104</v>
      </c>
      <c r="K113" s="18">
        <f>1840+5</f>
        <v>1845</v>
      </c>
      <c r="L113" s="19">
        <v>3</v>
      </c>
      <c r="M113" s="18" t="s">
        <v>107</v>
      </c>
      <c r="N113" s="19">
        <v>1.7</v>
      </c>
      <c r="O113" s="20">
        <v>561349000</v>
      </c>
    </row>
    <row r="114" spans="3:15" ht="40.5" customHeight="1" x14ac:dyDescent="0.25">
      <c r="C114" s="17">
        <v>108</v>
      </c>
      <c r="D114" s="17" t="s">
        <v>124</v>
      </c>
      <c r="E114" s="83" t="s">
        <v>24</v>
      </c>
      <c r="F114" s="83"/>
      <c r="G114" s="83"/>
      <c r="H114" s="83"/>
      <c r="I114" s="18" t="s">
        <v>242</v>
      </c>
      <c r="J114" s="18" t="s">
        <v>97</v>
      </c>
      <c r="K114" s="18">
        <f>1825+25</f>
        <v>1850</v>
      </c>
      <c r="L114" s="19">
        <v>1.9</v>
      </c>
      <c r="M114" s="18">
        <v>561349000</v>
      </c>
      <c r="N114" s="19">
        <v>3</v>
      </c>
      <c r="O114" s="20" t="s">
        <v>107</v>
      </c>
    </row>
    <row r="115" spans="3:15" ht="40.5" customHeight="1" x14ac:dyDescent="0.25">
      <c r="C115" s="17">
        <v>109</v>
      </c>
      <c r="D115" s="17" t="s">
        <v>125</v>
      </c>
      <c r="E115" s="83" t="s">
        <v>24</v>
      </c>
      <c r="F115" s="83"/>
      <c r="G115" s="83"/>
      <c r="H115" s="83"/>
      <c r="I115" s="18" t="s">
        <v>242</v>
      </c>
      <c r="J115" s="18" t="s">
        <v>105</v>
      </c>
      <c r="K115" s="18">
        <f>1650+35</f>
        <v>1685</v>
      </c>
      <c r="L115" s="19">
        <v>3</v>
      </c>
      <c r="M115" s="18" t="s">
        <v>107</v>
      </c>
      <c r="N115" s="19">
        <v>1.9</v>
      </c>
      <c r="O115" s="20" t="s">
        <v>39</v>
      </c>
    </row>
    <row r="116" spans="3:15" ht="40.5" customHeight="1" x14ac:dyDescent="0.25">
      <c r="C116" s="17">
        <v>110</v>
      </c>
      <c r="D116" s="17" t="s">
        <v>126</v>
      </c>
      <c r="E116" s="83" t="s">
        <v>24</v>
      </c>
      <c r="F116" s="83"/>
      <c r="G116" s="83"/>
      <c r="H116" s="83"/>
      <c r="I116" s="18" t="s">
        <v>242</v>
      </c>
      <c r="J116" s="18" t="s">
        <v>106</v>
      </c>
      <c r="K116" s="18">
        <f>1650+35</f>
        <v>1685</v>
      </c>
      <c r="L116" s="19">
        <v>3</v>
      </c>
      <c r="M116" s="18" t="s">
        <v>107</v>
      </c>
      <c r="N116" s="16">
        <v>1.9</v>
      </c>
      <c r="O116" s="20" t="s">
        <v>39</v>
      </c>
    </row>
    <row r="117" spans="3:15" ht="40.5" customHeight="1" x14ac:dyDescent="0.25">
      <c r="C117" s="17">
        <v>111</v>
      </c>
      <c r="D117" s="17" t="s">
        <v>127</v>
      </c>
      <c r="E117" s="83" t="s">
        <v>24</v>
      </c>
      <c r="F117" s="83"/>
      <c r="G117" s="83"/>
      <c r="H117" s="83"/>
      <c r="I117" s="18" t="s">
        <v>242</v>
      </c>
      <c r="J117" s="18" t="s">
        <v>101</v>
      </c>
      <c r="K117" s="18">
        <v>3130</v>
      </c>
      <c r="L117" s="16">
        <v>1.9</v>
      </c>
      <c r="M117" s="18" t="s">
        <v>39</v>
      </c>
      <c r="N117" s="16">
        <v>3.2</v>
      </c>
      <c r="O117" s="20" t="s">
        <v>47</v>
      </c>
    </row>
    <row r="118" spans="3:15" ht="40.5" customHeight="1" x14ac:dyDescent="0.25">
      <c r="C118" s="17">
        <v>112</v>
      </c>
      <c r="D118" s="17" t="s">
        <v>128</v>
      </c>
      <c r="E118" s="83" t="s">
        <v>24</v>
      </c>
      <c r="F118" s="83"/>
      <c r="G118" s="83"/>
      <c r="H118" s="83"/>
      <c r="I118" s="18" t="s">
        <v>242</v>
      </c>
      <c r="J118" s="18" t="s">
        <v>94</v>
      </c>
      <c r="K118" s="18">
        <f>4680+50</f>
        <v>4730</v>
      </c>
      <c r="L118" s="16">
        <v>3.2</v>
      </c>
      <c r="M118" s="18" t="s">
        <v>47</v>
      </c>
      <c r="N118" s="16">
        <v>3.2</v>
      </c>
      <c r="O118" s="20" t="s">
        <v>47</v>
      </c>
    </row>
    <row r="119" spans="3:15" ht="40.5" customHeight="1" x14ac:dyDescent="0.25">
      <c r="C119" s="17">
        <v>113</v>
      </c>
      <c r="D119" s="17" t="s">
        <v>129</v>
      </c>
      <c r="E119" s="83" t="s">
        <v>24</v>
      </c>
      <c r="F119" s="83"/>
      <c r="G119" s="83"/>
      <c r="H119" s="83"/>
      <c r="I119" s="18" t="s">
        <v>242</v>
      </c>
      <c r="J119" s="18" t="s">
        <v>97</v>
      </c>
      <c r="K119" s="18">
        <f>2115+20</f>
        <v>2135</v>
      </c>
      <c r="L119" s="16">
        <v>3.2</v>
      </c>
      <c r="M119" s="18" t="s">
        <v>47</v>
      </c>
      <c r="N119" s="16">
        <v>1.9</v>
      </c>
      <c r="O119" s="20" t="s">
        <v>39</v>
      </c>
    </row>
    <row r="120" spans="3:15" ht="35.450000000000003" customHeight="1" thickBot="1" x14ac:dyDescent="0.3">
      <c r="C120" s="84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6"/>
    </row>
    <row r="121" spans="3:15" ht="31.35" customHeight="1" x14ac:dyDescent="0.25">
      <c r="C121" s="87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9"/>
    </row>
    <row r="122" spans="3:15" ht="9.75" hidden="1" customHeight="1" x14ac:dyDescent="0.25"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</row>
    <row r="123" spans="3:15" ht="21" customHeight="1" thickBot="1" x14ac:dyDescent="0.3">
      <c r="C123" s="90" t="s">
        <v>20</v>
      </c>
      <c r="D123" s="91"/>
      <c r="E123" s="91"/>
      <c r="F123" s="91"/>
      <c r="G123" s="91"/>
      <c r="H123" s="91"/>
      <c r="I123" s="8"/>
      <c r="J123" s="91" t="s">
        <v>21</v>
      </c>
      <c r="K123" s="91"/>
      <c r="L123" s="8"/>
      <c r="M123" s="8"/>
      <c r="N123" s="9" t="s">
        <v>22</v>
      </c>
      <c r="O123" s="10"/>
    </row>
    <row r="124" spans="3:15" ht="24" customHeight="1" thickBot="1" x14ac:dyDescent="0.3">
      <c r="C124" s="80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2"/>
    </row>
    <row r="125" spans="3:15" ht="16.5" thickBot="1" x14ac:dyDescent="0.3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</sheetData>
  <sheetProtection password="DE4D" sheet="1" objects="1" scenarios="1"/>
  <autoFilter ref="C6:O121">
    <filterColumn colId="2" showButton="0"/>
    <filterColumn colId="3" showButton="0"/>
    <filterColumn colId="4" showButton="0"/>
  </autoFilter>
  <mergeCells count="142">
    <mergeCell ref="S28:V28"/>
    <mergeCell ref="S29:V29"/>
    <mergeCell ref="S30:V30"/>
    <mergeCell ref="S19:V19"/>
    <mergeCell ref="S20:V20"/>
    <mergeCell ref="S21:V21"/>
    <mergeCell ref="S22:V22"/>
    <mergeCell ref="S23:V23"/>
    <mergeCell ref="S24:V24"/>
    <mergeCell ref="S25:V25"/>
    <mergeCell ref="S26:V26"/>
    <mergeCell ref="S27:V27"/>
    <mergeCell ref="E16:H16"/>
    <mergeCell ref="E97:H97"/>
    <mergeCell ref="C1:O1"/>
    <mergeCell ref="C2:O2"/>
    <mergeCell ref="C3:H3"/>
    <mergeCell ref="L4:M4"/>
    <mergeCell ref="N4:O4"/>
    <mergeCell ref="C4:H4"/>
    <mergeCell ref="C5:H5"/>
    <mergeCell ref="L5:M5"/>
    <mergeCell ref="N5:O5"/>
    <mergeCell ref="L3:M3"/>
    <mergeCell ref="N3:O3"/>
    <mergeCell ref="E6:H6"/>
    <mergeCell ref="E10:H10"/>
    <mergeCell ref="E11:H11"/>
    <mergeCell ref="E12:H12"/>
    <mergeCell ref="E13:H13"/>
    <mergeCell ref="E14:H14"/>
    <mergeCell ref="E15:H15"/>
    <mergeCell ref="E7:H7"/>
    <mergeCell ref="E8:H8"/>
    <mergeCell ref="E9:H9"/>
    <mergeCell ref="E31:H31"/>
    <mergeCell ref="C124:O124"/>
    <mergeCell ref="C123:H123"/>
    <mergeCell ref="J123:K123"/>
    <mergeCell ref="E17:H17"/>
    <mergeCell ref="E18:H18"/>
    <mergeCell ref="E19:H19"/>
    <mergeCell ref="C120:O120"/>
    <mergeCell ref="C121:O121"/>
    <mergeCell ref="E20:H20"/>
    <mergeCell ref="E22:H22"/>
    <mergeCell ref="E23:H23"/>
    <mergeCell ref="E24:H24"/>
    <mergeCell ref="E25:H25"/>
    <mergeCell ref="E26:H26"/>
    <mergeCell ref="E27:H27"/>
    <mergeCell ref="E64:H64"/>
    <mergeCell ref="E33:H33"/>
    <mergeCell ref="E34:H34"/>
    <mergeCell ref="E35:H35"/>
    <mergeCell ref="E36:H36"/>
    <mergeCell ref="E37:H37"/>
    <mergeCell ref="E28:H28"/>
    <mergeCell ref="E29:H29"/>
    <mergeCell ref="E30:H30"/>
    <mergeCell ref="E32:H32"/>
    <mergeCell ref="E43:H43"/>
    <mergeCell ref="E44:H44"/>
    <mergeCell ref="E45:H45"/>
    <mergeCell ref="E46:H46"/>
    <mergeCell ref="E38:H38"/>
    <mergeCell ref="E39:H39"/>
    <mergeCell ref="E40:H40"/>
    <mergeCell ref="E41:H41"/>
    <mergeCell ref="E42:H42"/>
    <mergeCell ref="E52:H52"/>
    <mergeCell ref="E53:H53"/>
    <mergeCell ref="E54:H54"/>
    <mergeCell ref="E55:H55"/>
    <mergeCell ref="E56:H56"/>
    <mergeCell ref="E47:H47"/>
    <mergeCell ref="E48:H48"/>
    <mergeCell ref="E49:H49"/>
    <mergeCell ref="E50:H50"/>
    <mergeCell ref="E51:H51"/>
    <mergeCell ref="E62:H62"/>
    <mergeCell ref="E63:H63"/>
    <mergeCell ref="E65:H65"/>
    <mergeCell ref="E66:H66"/>
    <mergeCell ref="E67:H67"/>
    <mergeCell ref="E57:H57"/>
    <mergeCell ref="E58:H58"/>
    <mergeCell ref="E59:H59"/>
    <mergeCell ref="E60:H60"/>
    <mergeCell ref="E61:H61"/>
    <mergeCell ref="E73:H73"/>
    <mergeCell ref="E74:H74"/>
    <mergeCell ref="E75:H75"/>
    <mergeCell ref="E76:H76"/>
    <mergeCell ref="E77:H77"/>
    <mergeCell ref="E68:H68"/>
    <mergeCell ref="E69:H69"/>
    <mergeCell ref="E70:H70"/>
    <mergeCell ref="E71:H71"/>
    <mergeCell ref="E72:H72"/>
    <mergeCell ref="E84:H84"/>
    <mergeCell ref="E85:H85"/>
    <mergeCell ref="E86:H86"/>
    <mergeCell ref="E87:H87"/>
    <mergeCell ref="E78:H78"/>
    <mergeCell ref="E79:H79"/>
    <mergeCell ref="E80:H80"/>
    <mergeCell ref="E81:H81"/>
    <mergeCell ref="E82:H82"/>
    <mergeCell ref="E116:H116"/>
    <mergeCell ref="E117:H117"/>
    <mergeCell ref="E118:H118"/>
    <mergeCell ref="E119:H119"/>
    <mergeCell ref="E103:H103"/>
    <mergeCell ref="E104:H104"/>
    <mergeCell ref="E105:H105"/>
    <mergeCell ref="E106:H106"/>
    <mergeCell ref="E107:H107"/>
    <mergeCell ref="E21:H21"/>
    <mergeCell ref="E108:H108"/>
    <mergeCell ref="E109:H109"/>
    <mergeCell ref="E110:H110"/>
    <mergeCell ref="E111:H111"/>
    <mergeCell ref="E112:H112"/>
    <mergeCell ref="E113:H113"/>
    <mergeCell ref="E114:H114"/>
    <mergeCell ref="E115:H115"/>
    <mergeCell ref="E98:H98"/>
    <mergeCell ref="E99:H99"/>
    <mergeCell ref="E100:H100"/>
    <mergeCell ref="E101:H101"/>
    <mergeCell ref="E102:H102"/>
    <mergeCell ref="E93:H93"/>
    <mergeCell ref="E94:H94"/>
    <mergeCell ref="E95:H95"/>
    <mergeCell ref="E96:H96"/>
    <mergeCell ref="E88:H88"/>
    <mergeCell ref="E89:H89"/>
    <mergeCell ref="E90:H90"/>
    <mergeCell ref="E91:H91"/>
    <mergeCell ref="E92:H92"/>
    <mergeCell ref="E83:H83"/>
  </mergeCells>
  <phoneticPr fontId="11" type="noConversion"/>
  <printOptions horizontalCentered="1" verticalCentered="1"/>
  <pageMargins left="0" right="0" top="0" bottom="0" header="0" footer="0"/>
  <pageSetup paperSize="9" scale="40" orientation="landscape" r:id="rId1"/>
  <headerFooter scaleWithDoc="0" alignWithMargins="0">
    <firstFooter>&amp;RPage :1 of 2</firstFooter>
  </headerFooter>
  <rowBreaks count="3" manualBreakCount="3">
    <brk id="36" min="2" max="14" man="1"/>
    <brk id="66" min="2" max="14" man="1"/>
    <brk id="96" min="2" max="1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E14" sqref="E14"/>
    </sheetView>
  </sheetViews>
  <sheetFormatPr defaultRowHeight="15" x14ac:dyDescent="0.25"/>
  <cols>
    <col min="1" max="1" width="9.710937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132" t="s">
        <v>252</v>
      </c>
      <c r="B1" s="133"/>
      <c r="C1" s="133"/>
      <c r="D1" s="133"/>
      <c r="E1" s="133"/>
      <c r="F1" s="133"/>
      <c r="G1" s="133"/>
      <c r="H1" s="133"/>
      <c r="I1" s="134"/>
    </row>
    <row r="2" spans="1:9" ht="21" customHeight="1" x14ac:dyDescent="0.25">
      <c r="A2" s="46" t="s">
        <v>275</v>
      </c>
      <c r="B2" s="47" t="s">
        <v>247</v>
      </c>
      <c r="C2" s="47" t="s">
        <v>254</v>
      </c>
      <c r="D2" s="47" t="s">
        <v>248</v>
      </c>
      <c r="E2" s="47" t="s">
        <v>249</v>
      </c>
      <c r="F2" s="47" t="s">
        <v>256</v>
      </c>
      <c r="G2" s="47" t="s">
        <v>257</v>
      </c>
      <c r="H2" s="47" t="s">
        <v>250</v>
      </c>
      <c r="I2" s="48" t="s">
        <v>251</v>
      </c>
    </row>
    <row r="3" spans="1:9" ht="18" customHeight="1" x14ac:dyDescent="0.25">
      <c r="A3" s="39">
        <v>1</v>
      </c>
      <c r="B3" s="40" t="s">
        <v>264</v>
      </c>
      <c r="C3" s="40" t="s">
        <v>255</v>
      </c>
      <c r="D3" s="40">
        <v>1</v>
      </c>
      <c r="E3" s="40" t="s">
        <v>262</v>
      </c>
      <c r="F3" s="49">
        <v>10</v>
      </c>
      <c r="G3" s="49">
        <v>8.5</v>
      </c>
      <c r="H3" s="51">
        <v>45852</v>
      </c>
      <c r="I3" s="41" t="s">
        <v>258</v>
      </c>
    </row>
    <row r="4" spans="1:9" ht="60" x14ac:dyDescent="0.25">
      <c r="A4" s="39">
        <v>2</v>
      </c>
      <c r="B4" s="52" t="s">
        <v>259</v>
      </c>
      <c r="C4" s="40" t="s">
        <v>260</v>
      </c>
      <c r="D4" s="40">
        <v>1</v>
      </c>
      <c r="E4" s="40" t="s">
        <v>262</v>
      </c>
      <c r="F4" s="49">
        <v>7</v>
      </c>
      <c r="G4" s="49">
        <v>6</v>
      </c>
      <c r="H4" s="51">
        <v>45852</v>
      </c>
      <c r="I4" s="41" t="s">
        <v>258</v>
      </c>
    </row>
    <row r="5" spans="1:9" ht="18" customHeight="1" x14ac:dyDescent="0.25">
      <c r="A5" s="135">
        <v>3</v>
      </c>
      <c r="B5" s="40" t="s">
        <v>263</v>
      </c>
      <c r="C5" s="40" t="s">
        <v>261</v>
      </c>
      <c r="D5" s="40">
        <v>1</v>
      </c>
      <c r="E5" s="40" t="s">
        <v>262</v>
      </c>
      <c r="F5" s="49">
        <v>12</v>
      </c>
      <c r="G5" s="49">
        <v>10</v>
      </c>
      <c r="H5" s="51">
        <v>45852</v>
      </c>
      <c r="I5" s="41" t="s">
        <v>258</v>
      </c>
    </row>
    <row r="6" spans="1:9" ht="18" customHeight="1" x14ac:dyDescent="0.25">
      <c r="A6" s="136"/>
      <c r="B6" s="40" t="s">
        <v>267</v>
      </c>
      <c r="C6" s="40" t="s">
        <v>47</v>
      </c>
      <c r="D6" s="40">
        <v>2</v>
      </c>
      <c r="E6" s="40" t="s">
        <v>262</v>
      </c>
      <c r="F6" s="49">
        <v>3.2</v>
      </c>
      <c r="G6" s="49">
        <v>2.8</v>
      </c>
      <c r="H6" s="51">
        <v>45859</v>
      </c>
      <c r="I6" s="41" t="s">
        <v>258</v>
      </c>
    </row>
    <row r="7" spans="1:9" ht="18" customHeight="1" x14ac:dyDescent="0.25">
      <c r="A7" s="39">
        <v>4</v>
      </c>
      <c r="B7" s="40" t="s">
        <v>268</v>
      </c>
      <c r="C7" s="40"/>
      <c r="D7" s="40"/>
      <c r="E7" s="40" t="s">
        <v>269</v>
      </c>
      <c r="F7" s="49"/>
      <c r="G7" s="49"/>
      <c r="H7" s="51">
        <v>45897</v>
      </c>
      <c r="I7" s="41" t="s">
        <v>258</v>
      </c>
    </row>
    <row r="8" spans="1:9" ht="18" customHeight="1" x14ac:dyDescent="0.25">
      <c r="A8" s="39">
        <v>5</v>
      </c>
      <c r="B8" s="40" t="s">
        <v>270</v>
      </c>
      <c r="C8" s="40"/>
      <c r="D8" s="40"/>
      <c r="E8" s="40" t="s">
        <v>271</v>
      </c>
      <c r="F8" s="74" t="s">
        <v>273</v>
      </c>
      <c r="G8" s="74" t="s">
        <v>274</v>
      </c>
      <c r="H8" s="51">
        <v>45926</v>
      </c>
      <c r="I8" s="41" t="s">
        <v>272</v>
      </c>
    </row>
    <row r="9" spans="1:9" ht="18" customHeight="1" x14ac:dyDescent="0.25">
      <c r="A9" s="39"/>
      <c r="B9" s="40"/>
      <c r="C9" s="40"/>
      <c r="D9" s="40"/>
      <c r="E9" s="40"/>
      <c r="F9" s="49"/>
      <c r="G9" s="49"/>
      <c r="H9" s="40"/>
      <c r="I9" s="41"/>
    </row>
    <row r="10" spans="1:9" ht="18" customHeight="1" x14ac:dyDescent="0.25">
      <c r="A10" s="39"/>
      <c r="B10" s="40"/>
      <c r="C10" s="40"/>
      <c r="D10" s="40"/>
      <c r="E10" s="40"/>
      <c r="F10" s="49"/>
      <c r="G10" s="49"/>
      <c r="H10" s="40"/>
      <c r="I10" s="41"/>
    </row>
    <row r="11" spans="1:9" ht="18" customHeight="1" x14ac:dyDescent="0.25">
      <c r="A11" s="39"/>
      <c r="B11" s="40"/>
      <c r="C11" s="40"/>
      <c r="D11" s="40"/>
      <c r="E11" s="40"/>
      <c r="F11" s="49"/>
      <c r="G11" s="49"/>
      <c r="H11" s="40"/>
      <c r="I11" s="41"/>
    </row>
    <row r="12" spans="1:9" ht="18" customHeight="1" x14ac:dyDescent="0.25">
      <c r="A12" s="39"/>
      <c r="B12" s="40"/>
      <c r="C12" s="40"/>
      <c r="D12" s="40"/>
      <c r="E12" s="40"/>
      <c r="F12" s="49"/>
      <c r="G12" s="49"/>
      <c r="H12" s="40"/>
      <c r="I12" s="41"/>
    </row>
    <row r="13" spans="1:9" ht="18" customHeight="1" x14ac:dyDescent="0.25">
      <c r="A13" s="39"/>
      <c r="B13" s="40"/>
      <c r="C13" s="40"/>
      <c r="D13" s="40"/>
      <c r="E13" s="40"/>
      <c r="F13" s="49"/>
      <c r="G13" s="49"/>
      <c r="H13" s="40"/>
      <c r="I13" s="41"/>
    </row>
    <row r="14" spans="1:9" ht="18" customHeight="1" x14ac:dyDescent="0.25">
      <c r="A14" s="39"/>
      <c r="B14" s="40"/>
      <c r="C14" s="40"/>
      <c r="D14" s="40"/>
      <c r="E14" s="40"/>
      <c r="F14" s="49"/>
      <c r="G14" s="49"/>
      <c r="H14" s="40"/>
      <c r="I14" s="41"/>
    </row>
    <row r="15" spans="1:9" ht="18" customHeight="1" x14ac:dyDescent="0.25">
      <c r="A15" s="39"/>
      <c r="B15" s="40"/>
      <c r="C15" s="40"/>
      <c r="D15" s="40"/>
      <c r="E15" s="40"/>
      <c r="F15" s="49"/>
      <c r="G15" s="49"/>
      <c r="H15" s="40"/>
      <c r="I15" s="41"/>
    </row>
    <row r="16" spans="1:9" ht="18" customHeight="1" x14ac:dyDescent="0.25">
      <c r="A16" s="39"/>
      <c r="B16" s="40"/>
      <c r="C16" s="40"/>
      <c r="D16" s="40"/>
      <c r="E16" s="40"/>
      <c r="F16" s="49"/>
      <c r="G16" s="49"/>
      <c r="H16" s="40"/>
      <c r="I16" s="41"/>
    </row>
    <row r="17" spans="1:9" ht="18" customHeight="1" x14ac:dyDescent="0.25">
      <c r="A17" s="39"/>
      <c r="B17" s="40"/>
      <c r="C17" s="40"/>
      <c r="D17" s="40"/>
      <c r="E17" s="40"/>
      <c r="F17" s="49"/>
      <c r="G17" s="49"/>
      <c r="H17" s="40"/>
      <c r="I17" s="41"/>
    </row>
    <row r="18" spans="1:9" ht="18" customHeight="1" x14ac:dyDescent="0.25">
      <c r="A18" s="39"/>
      <c r="B18" s="40"/>
      <c r="C18" s="40"/>
      <c r="D18" s="40"/>
      <c r="E18" s="40"/>
      <c r="F18" s="49"/>
      <c r="G18" s="49"/>
      <c r="H18" s="40"/>
      <c r="I18" s="41"/>
    </row>
    <row r="19" spans="1:9" ht="18" customHeight="1" x14ac:dyDescent="0.25">
      <c r="A19" s="39"/>
      <c r="B19" s="40"/>
      <c r="C19" s="40"/>
      <c r="D19" s="40"/>
      <c r="E19" s="40"/>
      <c r="F19" s="49"/>
      <c r="G19" s="49"/>
      <c r="H19" s="40"/>
      <c r="I19" s="41"/>
    </row>
    <row r="20" spans="1:9" ht="18" customHeight="1" thickBot="1" x14ac:dyDescent="0.3">
      <c r="A20" s="42"/>
      <c r="B20" s="43"/>
      <c r="C20" s="43"/>
      <c r="D20" s="43"/>
      <c r="E20" s="43"/>
      <c r="F20" s="50"/>
      <c r="G20" s="50"/>
      <c r="H20" s="43"/>
      <c r="I20" s="44"/>
    </row>
    <row r="21" spans="1:9" x14ac:dyDescent="0.25">
      <c r="A21" s="45"/>
      <c r="B21" s="45"/>
      <c r="C21" s="45"/>
      <c r="D21" s="45"/>
      <c r="E21" s="45"/>
      <c r="F21" s="45"/>
      <c r="G21" s="45"/>
      <c r="H21" s="45"/>
      <c r="I21" s="45"/>
    </row>
  </sheetData>
  <mergeCells count="2">
    <mergeCell ref="A1:I1"/>
    <mergeCell ref="A5:A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W11539481(3)</vt:lpstr>
      <vt:lpstr>Sheet1</vt:lpstr>
      <vt:lpstr>W11539481 (Splice)</vt:lpstr>
      <vt:lpstr>W11539481(2)</vt:lpstr>
      <vt:lpstr>W11539481(1)</vt:lpstr>
      <vt:lpstr>W11539481(0)</vt:lpstr>
      <vt:lpstr>REVISION HISTORY</vt:lpstr>
      <vt:lpstr>'W11539481 (Splice)'!Print_Area</vt:lpstr>
      <vt:lpstr>'W11539481(0)'!Print_Area</vt:lpstr>
      <vt:lpstr>'W11539481(1)'!Print_Area</vt:lpstr>
      <vt:lpstr>'W11539481(2)'!Print_Area</vt:lpstr>
      <vt:lpstr>'W11539481(3)'!Print_Area</vt:lpstr>
      <vt:lpstr>'W11539481 (Splice)'!Print_Titles</vt:lpstr>
      <vt:lpstr>'W11539481(0)'!Print_Titles</vt:lpstr>
      <vt:lpstr>'W11539481(1)'!Print_Titles</vt:lpstr>
      <vt:lpstr>'W11539481(2)'!Print_Titles</vt:lpstr>
      <vt:lpstr>'W11539481(3)'!Print_Titles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2025-11-27T09:15:13Z</cp:lastPrinted>
  <dcterms:created xsi:type="dcterms:W3CDTF">2022-06-15T04:51:40Z</dcterms:created>
  <dcterms:modified xsi:type="dcterms:W3CDTF">2025-12-15T06:26:38Z</dcterms:modified>
</cp:coreProperties>
</file>