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hander Mohan\Desktop\BM16 CUTTING\"/>
    </mc:Choice>
  </mc:AlternateContent>
  <bookViews>
    <workbookView xWindow="0" yWindow="0" windowWidth="20490" windowHeight="7350" activeTab="1"/>
  </bookViews>
  <sheets>
    <sheet name="REV-5 UPDATED  (2)" sheetId="10" r:id="rId1"/>
    <sheet name="Sheet1" sheetId="11" r:id="rId2"/>
    <sheet name="REVISION HISTORY" sheetId="6" r:id="rId3"/>
    <sheet name="REV-5 UPDATED " sheetId="9" r:id="rId4"/>
  </sheets>
  <definedNames>
    <definedName name="_xlnm._FilterDatabase" localSheetId="3" hidden="1">'REV-5 UPDATED '!$L$6:$N$93</definedName>
    <definedName name="_xlnm._FilterDatabase" localSheetId="0" hidden="1">'REV-5 UPDATED  (2)'!$L$6:$N$93</definedName>
    <definedName name="_xlnm._FilterDatabase" localSheetId="1" hidden="1">Sheet1!$A$6:$P$6</definedName>
    <definedName name="_xlnm.Print_Area" localSheetId="3">'REV-5 UPDATED '!$A$1:$O$107</definedName>
    <definedName name="_xlnm.Print_Area" localSheetId="0">'REV-5 UPDATED  (2)'!$A$1:$O$97</definedName>
    <definedName name="_xlnm.Print_Titles" localSheetId="3">'REV-5 UPDATED '!$C:$N,'REV-5 UPDATED '!$1:$6</definedName>
    <definedName name="_xlnm.Print_Titles" localSheetId="0">'REV-5 UPDATED  (2)'!$C:$N,'REV-5 UPDATED  (2)'!$1:$6</definedName>
  </definedNames>
  <calcPr calcId="162913"/>
</workbook>
</file>

<file path=xl/calcChain.xml><?xml version="1.0" encoding="utf-8"?>
<calcChain xmlns="http://schemas.openxmlformats.org/spreadsheetml/2006/main">
  <c r="I87" i="11" l="1"/>
  <c r="I86" i="11"/>
  <c r="I85" i="11"/>
  <c r="I84" i="11"/>
  <c r="I83" i="11"/>
  <c r="I82" i="11"/>
  <c r="I80" i="11"/>
  <c r="I79" i="11"/>
  <c r="I78" i="11"/>
  <c r="I77" i="11"/>
  <c r="I74" i="11"/>
  <c r="I72" i="11"/>
  <c r="I71" i="11"/>
  <c r="I70" i="11"/>
  <c r="I69" i="11"/>
  <c r="I68" i="11"/>
  <c r="I67" i="11"/>
  <c r="I66" i="11"/>
  <c r="I61" i="11"/>
  <c r="I58" i="11"/>
  <c r="I57" i="11"/>
  <c r="I55" i="11"/>
  <c r="I54" i="11"/>
  <c r="I53" i="11"/>
  <c r="I49" i="11"/>
  <c r="I48" i="11"/>
  <c r="I33" i="11"/>
  <c r="I32" i="11"/>
  <c r="I31" i="11"/>
  <c r="I26" i="11"/>
  <c r="I23" i="11"/>
  <c r="I20" i="11"/>
  <c r="I19" i="11"/>
  <c r="I18" i="11"/>
  <c r="I17" i="11"/>
  <c r="I15" i="11"/>
  <c r="I12" i="11"/>
  <c r="I11" i="11"/>
  <c r="G20" i="6" l="1"/>
  <c r="G19" i="6"/>
  <c r="G18" i="6"/>
  <c r="G17" i="6"/>
  <c r="G16" i="6"/>
  <c r="G15" i="6"/>
  <c r="G14" i="6"/>
  <c r="G13" i="6"/>
  <c r="G12" i="6"/>
  <c r="G11" i="6"/>
  <c r="G9" i="6"/>
  <c r="G10" i="6"/>
  <c r="G8" i="6"/>
  <c r="G7" i="6"/>
  <c r="G6" i="6"/>
  <c r="G5" i="6"/>
  <c r="G4" i="6"/>
  <c r="G3" i="6"/>
  <c r="J87" i="10" l="1"/>
  <c r="J86" i="10"/>
  <c r="J85" i="10"/>
  <c r="J84" i="10"/>
  <c r="J70" i="10"/>
  <c r="J69" i="10"/>
  <c r="J68" i="10"/>
  <c r="J67" i="10"/>
  <c r="J66" i="10"/>
  <c r="J61" i="10"/>
  <c r="J58" i="10"/>
  <c r="J57" i="10"/>
  <c r="J54" i="10"/>
  <c r="J53" i="10"/>
  <c r="J20" i="10"/>
  <c r="J18" i="10"/>
  <c r="J17" i="10"/>
  <c r="J11" i="10"/>
  <c r="J83" i="10" l="1"/>
  <c r="J82" i="10"/>
  <c r="J80" i="10"/>
  <c r="J79" i="10"/>
  <c r="J78" i="10"/>
  <c r="J77" i="10"/>
  <c r="J74" i="10"/>
  <c r="J72" i="10"/>
  <c r="J71" i="10"/>
  <c r="J55" i="10"/>
  <c r="J49" i="10"/>
  <c r="J48" i="10"/>
  <c r="J33" i="10"/>
  <c r="J32" i="10"/>
  <c r="J31" i="10"/>
  <c r="J26" i="10"/>
  <c r="J23" i="10"/>
  <c r="J19" i="10"/>
  <c r="J15" i="10"/>
  <c r="J12" i="10"/>
  <c r="J55" i="9" l="1"/>
  <c r="J15" i="9"/>
  <c r="J74" i="9" l="1"/>
  <c r="J26" i="9"/>
  <c r="J49" i="9" l="1"/>
  <c r="J48" i="9"/>
  <c r="J72" i="9" l="1"/>
  <c r="J71" i="9"/>
  <c r="J17" i="9"/>
  <c r="J83" i="9"/>
  <c r="J82" i="9"/>
  <c r="J80" i="9"/>
  <c r="J79" i="9"/>
  <c r="J78" i="9"/>
  <c r="J77" i="9"/>
  <c r="J33" i="9"/>
  <c r="J32" i="9"/>
  <c r="J31" i="9"/>
  <c r="J23" i="9"/>
  <c r="J19" i="9"/>
  <c r="J12" i="9"/>
</calcChain>
</file>

<file path=xl/sharedStrings.xml><?xml version="1.0" encoding="utf-8"?>
<sst xmlns="http://schemas.openxmlformats.org/spreadsheetml/2006/main" count="1968" uniqueCount="284">
  <si>
    <t>Guru Amardass International (P) Ltd.</t>
  </si>
  <si>
    <t>CUTTING &amp; CRIMPING CHART</t>
  </si>
  <si>
    <t>Part No.</t>
  </si>
  <si>
    <t xml:space="preserve">Customer </t>
  </si>
  <si>
    <t>Whirlpool</t>
  </si>
  <si>
    <t xml:space="preserve">Model </t>
  </si>
  <si>
    <t>A - SIDE</t>
  </si>
  <si>
    <t>B - SIDE</t>
  </si>
  <si>
    <t>Wire No.</t>
  </si>
  <si>
    <t>WIRE SIZE</t>
  </si>
  <si>
    <r>
      <t>DESCRIPTION
STRANDS(</t>
    </r>
    <r>
      <rPr>
        <b/>
        <sz val="12"/>
        <color theme="1"/>
        <rFont val="Calibri"/>
        <family val="2"/>
      </rPr>
      <t>±0.008)mm
OD(±0.05)mm</t>
    </r>
  </si>
  <si>
    <t>WIRE COLOR</t>
  </si>
  <si>
    <t>CUTTING LENGTH
± 5 MM</t>
  </si>
  <si>
    <t>STRIPPING
± 0.5 MM</t>
  </si>
  <si>
    <t>TERMINAL</t>
  </si>
  <si>
    <t>Ref</t>
  </si>
  <si>
    <t>BLACK</t>
  </si>
  <si>
    <t>W-857</t>
  </si>
  <si>
    <t>W-915</t>
  </si>
  <si>
    <t>W-916</t>
  </si>
  <si>
    <t>W-918</t>
  </si>
  <si>
    <t>W-921</t>
  </si>
  <si>
    <t>W-32</t>
  </si>
  <si>
    <t>W-33</t>
  </si>
  <si>
    <t>W-37</t>
  </si>
  <si>
    <t>W-40</t>
  </si>
  <si>
    <t>W-43</t>
  </si>
  <si>
    <t>W-50</t>
  </si>
  <si>
    <t>W-121</t>
  </si>
  <si>
    <t>W-132</t>
  </si>
  <si>
    <t>W-280</t>
  </si>
  <si>
    <t>W-289</t>
  </si>
  <si>
    <t>W-290</t>
  </si>
  <si>
    <t>W-393</t>
  </si>
  <si>
    <t>W-410</t>
  </si>
  <si>
    <t>W-417</t>
  </si>
  <si>
    <t>W-443</t>
  </si>
  <si>
    <t>W-445</t>
  </si>
  <si>
    <t>W-457</t>
  </si>
  <si>
    <t>W-458</t>
  </si>
  <si>
    <t>W-648</t>
  </si>
  <si>
    <t>W-649</t>
  </si>
  <si>
    <t>W-731</t>
  </si>
  <si>
    <t>W-732</t>
  </si>
  <si>
    <t>W-749</t>
  </si>
  <si>
    <t>W-750</t>
  </si>
  <si>
    <t>W-751</t>
  </si>
  <si>
    <t>W-752</t>
  </si>
  <si>
    <t>W-753</t>
  </si>
  <si>
    <t>W-754</t>
  </si>
  <si>
    <t>W-765</t>
  </si>
  <si>
    <t>W-766</t>
  </si>
  <si>
    <t>W-770</t>
  </si>
  <si>
    <t>W-771</t>
  </si>
  <si>
    <t>W-778</t>
  </si>
  <si>
    <t>W-779</t>
  </si>
  <si>
    <t>W-801</t>
  </si>
  <si>
    <t>W-802</t>
  </si>
  <si>
    <t>W-803</t>
  </si>
  <si>
    <t>W-804</t>
  </si>
  <si>
    <t>W-824</t>
  </si>
  <si>
    <t>W-842</t>
  </si>
  <si>
    <t>W-844</t>
  </si>
  <si>
    <t>W-846</t>
  </si>
  <si>
    <t>W-851</t>
  </si>
  <si>
    <t>W-775</t>
  </si>
  <si>
    <t>UL 1015 # 18 AWG</t>
  </si>
  <si>
    <t>1862006-5</t>
  </si>
  <si>
    <t>WHITE</t>
  </si>
  <si>
    <t>W-35</t>
  </si>
  <si>
    <t>RED-BLACK</t>
  </si>
  <si>
    <t>UL 1015 # 20 AWG</t>
  </si>
  <si>
    <t>BLACK-ORANGE</t>
  </si>
  <si>
    <t>BLUE</t>
  </si>
  <si>
    <t>ORANGE</t>
  </si>
  <si>
    <t>RED</t>
  </si>
  <si>
    <t>BLACK-GREEN</t>
  </si>
  <si>
    <t>GREEN</t>
  </si>
  <si>
    <t>RED-BLUE</t>
  </si>
  <si>
    <t>GREEN-YELLOW</t>
  </si>
  <si>
    <t>WHITE-BLACK</t>
  </si>
  <si>
    <t>W-735</t>
  </si>
  <si>
    <t>YELLOW</t>
  </si>
  <si>
    <t>BLUE-WHITE</t>
  </si>
  <si>
    <t>UL 1569 # 22 AWG</t>
  </si>
  <si>
    <t>VOILET-WHITE</t>
  </si>
  <si>
    <t>GREY</t>
  </si>
  <si>
    <t>WHITE-BLUE</t>
  </si>
  <si>
    <t>YELLOW-BLACK</t>
  </si>
  <si>
    <t>BROWN</t>
  </si>
  <si>
    <t>W-827</t>
  </si>
  <si>
    <t>W-852</t>
  </si>
  <si>
    <t>W-864</t>
  </si>
  <si>
    <t>W-881</t>
  </si>
  <si>
    <t>W-883</t>
  </si>
  <si>
    <t>W-889</t>
  </si>
  <si>
    <t>W-890</t>
  </si>
  <si>
    <t>W-891</t>
  </si>
  <si>
    <t>W-892</t>
  </si>
  <si>
    <t>W-893</t>
  </si>
  <si>
    <t>W-895</t>
  </si>
  <si>
    <t>W-896</t>
  </si>
  <si>
    <t>W-897</t>
  </si>
  <si>
    <t>BROWN-WHITE</t>
  </si>
  <si>
    <t>W-899</t>
  </si>
  <si>
    <t>VOILET</t>
  </si>
  <si>
    <t>W-900</t>
  </si>
  <si>
    <t>W-901</t>
  </si>
  <si>
    <t>W-902</t>
  </si>
  <si>
    <t>W-903</t>
  </si>
  <si>
    <t>W-904</t>
  </si>
  <si>
    <t>W-905</t>
  </si>
  <si>
    <t>ORANGE-BLUE</t>
  </si>
  <si>
    <t>W-907</t>
  </si>
  <si>
    <t>W-908</t>
  </si>
  <si>
    <t>W-909</t>
  </si>
  <si>
    <t>W-910</t>
  </si>
  <si>
    <t>W-911</t>
  </si>
  <si>
    <t>W-912</t>
  </si>
  <si>
    <t>W-913</t>
  </si>
  <si>
    <t>W-914</t>
  </si>
  <si>
    <t>W-922</t>
  </si>
  <si>
    <t>W-940</t>
  </si>
  <si>
    <t>W-941</t>
  </si>
  <si>
    <t>W-952</t>
  </si>
  <si>
    <t>W-1550</t>
  </si>
  <si>
    <t>W-1551</t>
  </si>
  <si>
    <t>W-1552</t>
  </si>
  <si>
    <t>W-1553</t>
  </si>
  <si>
    <t>172765-5121</t>
  </si>
  <si>
    <t>39-00-0040</t>
  </si>
  <si>
    <t>39-00-0048</t>
  </si>
  <si>
    <t>1744144-1</t>
  </si>
  <si>
    <t>1744423-1</t>
  </si>
  <si>
    <t>1744201-1</t>
  </si>
  <si>
    <t>35745-0110</t>
  </si>
  <si>
    <t>917764-1</t>
  </si>
  <si>
    <t>227028-8400</t>
  </si>
  <si>
    <t>177916-1</t>
  </si>
  <si>
    <t>227029-8400</t>
  </si>
  <si>
    <t>2329911-1</t>
  </si>
  <si>
    <t>2350223-1</t>
  </si>
  <si>
    <t>43030-0001</t>
  </si>
  <si>
    <t>43031-5003</t>
  </si>
  <si>
    <t>172765-4121</t>
  </si>
  <si>
    <t>40-06-2013</t>
  </si>
  <si>
    <t>26*0.160*2.50</t>
  </si>
  <si>
    <t>Sr.No.</t>
  </si>
  <si>
    <t>41*0.160*2.80</t>
  </si>
  <si>
    <t>17*0.160*1.60</t>
  </si>
  <si>
    <t>SPL-LINE
485043-1… A</t>
  </si>
  <si>
    <t>SPL-NU
63625-1 … B</t>
  </si>
  <si>
    <t>SPL-LINE
485043-1… B</t>
  </si>
  <si>
    <t>SPL-WIN
63130-2 ….A</t>
  </si>
  <si>
    <t>SPL-DGND
63130-2 … B</t>
  </si>
  <si>
    <t>SPL-NU
63625-1 … A</t>
  </si>
  <si>
    <t>SPL-CH
63130-2..B</t>
  </si>
  <si>
    <t>SPL-GND1
485043-1 ..A</t>
  </si>
  <si>
    <t>TAN
Light Brown</t>
  </si>
  <si>
    <t>SPL-IM
63130-2…A</t>
  </si>
  <si>
    <t>SPL-CH
63130-2..A</t>
  </si>
  <si>
    <t>SPL-WIN
63130-2 ….B</t>
  </si>
  <si>
    <t>SPL-DGND
63130-2 … A</t>
  </si>
  <si>
    <t>SPL-IM
63130-2 .. B</t>
  </si>
  <si>
    <t>SPL-IM
63130-2 .. A</t>
  </si>
  <si>
    <t>SPL-7
63130-2 …A</t>
  </si>
  <si>
    <t>SPL-7
63130-2 …B</t>
  </si>
  <si>
    <t>SPL-LINE
485043-1 … B</t>
  </si>
  <si>
    <t>SPL-GND1
485043-1 ..B</t>
  </si>
  <si>
    <t>SPL-7
63130-2------B</t>
  </si>
  <si>
    <t>SKY BLUE</t>
  </si>
  <si>
    <t>SKY  BLUE</t>
  </si>
  <si>
    <t>Ref. Drawing Rev. No.</t>
  </si>
  <si>
    <t>Formate No.</t>
  </si>
  <si>
    <t>GAD/CC/001</t>
  </si>
  <si>
    <t>Cutting Chart Rev.No.</t>
  </si>
  <si>
    <t>Cutting Chart No.</t>
  </si>
  <si>
    <t>Cutting Chart Issue Date</t>
  </si>
  <si>
    <t>WCC/WHP/116</t>
  </si>
  <si>
    <t>SPL-PDL
63130-2 …A</t>
  </si>
  <si>
    <t>SPL-PDL
63130-2 …B</t>
  </si>
  <si>
    <t>REVISION HISTORY</t>
  </si>
  <si>
    <t>Rev-No</t>
  </si>
  <si>
    <t>Date</t>
  </si>
  <si>
    <t>26*0.160*1.80</t>
  </si>
  <si>
    <t>175019-1</t>
  </si>
  <si>
    <t>W-895, W-897 wire Size  Change From UL 1569#22 To UL 1569#20 And W-895,W897 Terminal Change 170324-1 To 175019-1</t>
  </si>
  <si>
    <t>B</t>
  </si>
  <si>
    <t>W-801,802,804,803,864,889,910,911,912,913,915 &amp; 916 Length Reduse by  10mm</t>
  </si>
  <si>
    <t>W-941 Length Increase by  50mm, And W-1550 Reduse 170mm,W-1551 Reduse 315mm,W-1552 Reduse 100mm
 And W-1553 Reduse 215mm</t>
  </si>
  <si>
    <t>S No</t>
  </si>
  <si>
    <t>Wire No</t>
  </si>
  <si>
    <t>Terminal Part No</t>
  </si>
  <si>
    <t>Rev No</t>
  </si>
  <si>
    <t xml:space="preserve">Rev details </t>
  </si>
  <si>
    <t>Before</t>
  </si>
  <si>
    <t>After</t>
  </si>
  <si>
    <t>Name</t>
  </si>
  <si>
    <t xml:space="preserve">Approved By: </t>
  </si>
  <si>
    <t>Checked By:-</t>
  </si>
  <si>
    <t xml:space="preserve">Prepared By: </t>
  </si>
  <si>
    <t>Wire Stripping Change Of terminal Part No (485043-1 = 10mm to 8.5mm), (63130-2 =7.00 to 6mm) And (63625 =12mm to 10mm)</t>
  </si>
  <si>
    <t>W-43,W-393,W-445,W-749,W-750,W-751,W-801,W802,W-803,W804,W-864,W-889,W-903,W-904,W-942,W-944,W-1552  Reduse 20mm, W-892,W893 Reduse 25mm, And W-908,W-1551,W-1553 Reduse 30mm</t>
  </si>
  <si>
    <t>New Release.</t>
  </si>
  <si>
    <t>W-48,748,904,903,944,884, Redue 20mm , W-289 Redue 15mm,W-290 Redue 25mm, W-827 Redue 10mm, W-824,882  Redue 15mm, W-908 Redue 30mm and W-942 Redue 50mm</t>
  </si>
  <si>
    <t>Wire Stripping Change Of terminal Part No (485043-1 = 8.5mm to 10.00mm), (63130-2 =6.00 to 7.00mm) And (63625 =10mm to 12.00mm)</t>
  </si>
  <si>
    <t xml:space="preserve">W-895, W-897 wire Size  Change From UL 1569#20To UL 1569#22 </t>
  </si>
  <si>
    <t>W-907,W-648 length increase by 15 mm</t>
  </si>
  <si>
    <t>W-851 W-942 &amp; W-748 Splice Joint Digram change And W-857,W-132 Increase 10 mm</t>
  </si>
  <si>
    <t>W11795375</t>
  </si>
  <si>
    <t>UL 1015 # 16 AWG</t>
  </si>
  <si>
    <t>65*0.160*3.10</t>
  </si>
  <si>
    <t>A</t>
  </si>
  <si>
    <t>GAD/CC/026</t>
  </si>
  <si>
    <t>WCC/WHP/001</t>
  </si>
  <si>
    <t>CODE</t>
  </si>
  <si>
    <t>DESCRIPTION</t>
  </si>
  <si>
    <t>UL1569AWG22RED/BLACK(BARE)</t>
  </si>
  <si>
    <t>UL1015AWG18BLACK/ORANGE(BARE)</t>
  </si>
  <si>
    <t>UL1015AWG16GREEN/YELLOW(BARE)</t>
  </si>
  <si>
    <t>UL1015AWG18GREEN/YELLOW(BARE)</t>
  </si>
  <si>
    <t>UL1015AWG18White/Black(BARE)</t>
  </si>
  <si>
    <t>UL1569AWG22BLACK/GREEN(BARE)</t>
  </si>
  <si>
    <t>UL1569AWG22BLUE/WHITE(BARE)</t>
  </si>
  <si>
    <t>UL1569AWG22BROWN/WHITE(BARE)</t>
  </si>
  <si>
    <t>UL1569AWG22ORANGE/BLUE(BARE)</t>
  </si>
  <si>
    <t>UL1569AWG22RED/BLUE(BARE)</t>
  </si>
  <si>
    <t>UL1569AWG22TANBROWN(BARE)</t>
  </si>
  <si>
    <t>UL1569AWG22VOILET/WHITE(BARE)</t>
  </si>
  <si>
    <t>UL1569AWG22WHITE/BLACK(BARE)</t>
  </si>
  <si>
    <t>UL1569AWG22WHITE/BLUE(BARE)</t>
  </si>
  <si>
    <t>UL1569AWG22YELLOW/BLACK(BARE)</t>
  </si>
  <si>
    <t>SFG00424</t>
  </si>
  <si>
    <t>UL1015AWG18BLACK(BARE)</t>
  </si>
  <si>
    <t>SFG00412</t>
  </si>
  <si>
    <t>UL1015AWG18WHITE(BARE)</t>
  </si>
  <si>
    <t>SFG00952</t>
  </si>
  <si>
    <t>SFG00974</t>
  </si>
  <si>
    <t>SFG00495</t>
  </si>
  <si>
    <t>UL1569AWG22WHITE(BARE)</t>
  </si>
  <si>
    <t>SFG00378</t>
  </si>
  <si>
    <t>UL1015AWG20BLUE(BARE)</t>
  </si>
  <si>
    <t>SFG00493</t>
  </si>
  <si>
    <t>UL1569AWG22ORANGE(BARE)</t>
  </si>
  <si>
    <t>SFG00499</t>
  </si>
  <si>
    <t>UL1569AWG22RED(BARE)</t>
  </si>
  <si>
    <t>SFG00964</t>
  </si>
  <si>
    <t>SFG00377</t>
  </si>
  <si>
    <t>UL1015AWG20GREEN(BARE)</t>
  </si>
  <si>
    <t>SFG00957</t>
  </si>
  <si>
    <t>SFG00389</t>
  </si>
  <si>
    <t>UL1015AWG20BLACK(BARE)</t>
  </si>
  <si>
    <t>SFG00433</t>
  </si>
  <si>
    <t>SFG00953</t>
  </si>
  <si>
    <t>SFG00960</t>
  </si>
  <si>
    <t>SFG00502</t>
  </si>
  <si>
    <t>SFG00496</t>
  </si>
  <si>
    <t>UL1569AWG22GREEN(BARE)</t>
  </si>
  <si>
    <t>SFG00503</t>
  </si>
  <si>
    <t>UL1569AWG22BLUE(BARE)</t>
  </si>
  <si>
    <t>SFG00490</t>
  </si>
  <si>
    <t>UL1569AWG22BLACK(BARE)</t>
  </si>
  <si>
    <t>SFG00834</t>
  </si>
  <si>
    <t>SFG00508</t>
  </si>
  <si>
    <t>SFG00491</t>
  </si>
  <si>
    <t>UL1569AWG22GREY(BARE)</t>
  </si>
  <si>
    <t>SFG00972</t>
  </si>
  <si>
    <t>SFG00970</t>
  </si>
  <si>
    <t>SFG00492</t>
  </si>
  <si>
    <t>UL1569AWG22BROWN(BARE)</t>
  </si>
  <si>
    <t>SFG00384</t>
  </si>
  <si>
    <t>UL1015AWG20YELLOW(BARE)</t>
  </si>
  <si>
    <t>SFG00494</t>
  </si>
  <si>
    <t>UL1569AWG22YELLOW(BARE)</t>
  </si>
  <si>
    <t>SFG00956</t>
  </si>
  <si>
    <t>UL1569AWG22SKYBLUE(BARE)</t>
  </si>
  <si>
    <t>SFG00971</t>
  </si>
  <si>
    <t>SFG00497</t>
  </si>
  <si>
    <t>UL1569AWG22VOILET(BARE)</t>
  </si>
  <si>
    <t>SFG00969</t>
  </si>
  <si>
    <t>SFG00441</t>
  </si>
  <si>
    <t>SAP DESCRIPTION</t>
  </si>
  <si>
    <t>UL1569AWG22VIOLET/WHITE(BARE)</t>
  </si>
  <si>
    <t>UL1569AWG22VIOLET(BARE)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</si>
</sst>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0"/>
      <name val="Verdana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8" fillId="0" borderId="0"/>
    <xf numFmtId="0" fontId="1" fillId="0" borderId="0"/>
    <xf numFmtId="0" fontId="7" fillId="0" borderId="0"/>
    <xf numFmtId="9" fontId="9" fillId="0" borderId="0" applyFont="0" applyFill="0" applyBorder="0" applyAlignment="0" applyProtection="0"/>
  </cellStyleXfs>
  <cellXfs count="146">
    <xf numFmtId="0" fontId="0" fillId="0" borderId="0" xfId="0"/>
    <xf numFmtId="0" fontId="7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0" fontId="5" fillId="2" borderId="1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11" fillId="5" borderId="5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4" fontId="4" fillId="6" borderId="1" xfId="0" applyNumberFormat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4" borderId="6" xfId="0" applyFont="1" applyFill="1" applyBorder="1" applyAlignment="1">
      <alignment horizontal="center" vertical="center" wrapText="1"/>
    </xf>
    <xf numFmtId="2" fontId="12" fillId="4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10" fillId="4" borderId="1" xfId="0" applyNumberFormat="1" applyFont="1" applyFill="1" applyBorder="1" applyAlignment="1">
      <alignment horizontal="center" vertical="center"/>
    </xf>
    <xf numFmtId="164" fontId="12" fillId="4" borderId="1" xfId="0" applyNumberFormat="1" applyFont="1" applyFill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14" fontId="7" fillId="0" borderId="27" xfId="0" applyNumberFormat="1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4" fillId="7" borderId="26" xfId="0" applyFont="1" applyFill="1" applyBorder="1" applyAlignment="1">
      <alignment horizontal="center" vertical="center"/>
    </xf>
    <xf numFmtId="0" fontId="4" fillId="7" borderId="27" xfId="0" applyFont="1" applyFill="1" applyBorder="1" applyAlignment="1">
      <alignment horizontal="center" vertical="center"/>
    </xf>
    <xf numFmtId="0" fontId="4" fillId="7" borderId="28" xfId="0" applyFont="1" applyFill="1" applyBorder="1" applyAlignment="1">
      <alignment horizontal="center" vertical="center"/>
    </xf>
    <xf numFmtId="0" fontId="7" fillId="4" borderId="26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4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7" xfId="0" applyFill="1" applyBorder="1" applyAlignment="1">
      <alignment horizontal="center" vertical="center"/>
    </xf>
    <xf numFmtId="1" fontId="0" fillId="4" borderId="17" xfId="0" applyNumberFormat="1" applyFill="1" applyBorder="1" applyAlignment="1">
      <alignment horizontal="center" vertical="center"/>
    </xf>
    <xf numFmtId="14" fontId="0" fillId="4" borderId="17" xfId="0" applyNumberForma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14" fontId="7" fillId="4" borderId="1" xfId="0" applyNumberFormat="1" applyFont="1" applyFill="1" applyBorder="1" applyAlignment="1">
      <alignment horizontal="center" vertical="center"/>
    </xf>
    <xf numFmtId="0" fontId="0" fillId="4" borderId="1" xfId="0" applyFill="1" applyBorder="1"/>
    <xf numFmtId="164" fontId="10" fillId="0" borderId="1" xfId="0" applyNumberFormat="1" applyFont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4" fontId="0" fillId="4" borderId="1" xfId="0" applyNumberFormat="1" applyFill="1" applyBorder="1"/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4" fillId="6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2" fontId="12" fillId="3" borderId="1" xfId="0" applyNumberFormat="1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164" fontId="7" fillId="3" borderId="1" xfId="0" applyNumberFormat="1" applyFont="1" applyFill="1" applyBorder="1" applyAlignment="1">
      <alignment horizontal="center" vertical="center"/>
    </xf>
    <xf numFmtId="2" fontId="10" fillId="3" borderId="1" xfId="0" applyNumberFormat="1" applyFont="1" applyFill="1" applyBorder="1" applyAlignment="1">
      <alignment horizontal="center" vertical="center"/>
    </xf>
    <xf numFmtId="164" fontId="10" fillId="3" borderId="1" xfId="0" applyNumberFormat="1" applyFont="1" applyFill="1" applyBorder="1" applyAlignment="1">
      <alignment horizontal="center" vertical="center"/>
    </xf>
    <xf numFmtId="164" fontId="12" fillId="3" borderId="1" xfId="0" applyNumberFormat="1" applyFont="1" applyFill="1" applyBorder="1" applyAlignment="1">
      <alignment horizontal="center" vertical="center"/>
    </xf>
    <xf numFmtId="0" fontId="12" fillId="4" borderId="6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0" borderId="5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2" fontId="12" fillId="0" borderId="1" xfId="0" applyNumberFormat="1" applyFont="1" applyFill="1" applyBorder="1" applyAlignment="1">
      <alignment horizontal="center" vertical="center"/>
    </xf>
    <xf numFmtId="164" fontId="10" fillId="0" borderId="1" xfId="0" applyNumberFormat="1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/>
    </xf>
    <xf numFmtId="164" fontId="12" fillId="0" borderId="1" xfId="0" applyNumberFormat="1" applyFont="1" applyFill="1" applyBorder="1" applyAlignment="1">
      <alignment horizontal="center" vertical="center"/>
    </xf>
    <xf numFmtId="2" fontId="10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11" fillId="0" borderId="11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2" fillId="0" borderId="1" xfId="0" applyFont="1" applyFill="1" applyBorder="1" applyAlignment="1">
      <alignment horizontal="center" vertical="center"/>
    </xf>
    <xf numFmtId="0" fontId="0" fillId="0" borderId="22" xfId="0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0" fillId="0" borderId="20" xfId="0" applyFill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14" fontId="12" fillId="0" borderId="1" xfId="0" applyNumberFormat="1" applyFont="1" applyBorder="1" applyAlignment="1">
      <alignment horizontal="center"/>
    </xf>
    <xf numFmtId="0" fontId="4" fillId="6" borderId="5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 wrapText="1"/>
    </xf>
    <xf numFmtId="0" fontId="4" fillId="6" borderId="16" xfId="0" applyFont="1" applyFill="1" applyBorder="1" applyAlignment="1">
      <alignment horizontal="center" vertical="center" wrapText="1"/>
    </xf>
    <xf numFmtId="0" fontId="4" fillId="6" borderId="17" xfId="0" applyFont="1" applyFill="1" applyBorder="1" applyAlignment="1">
      <alignment horizontal="center" vertical="center" wrapText="1"/>
    </xf>
    <xf numFmtId="0" fontId="4" fillId="6" borderId="18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13" fillId="7" borderId="23" xfId="0" applyFont="1" applyFill="1" applyBorder="1" applyAlignment="1">
      <alignment horizontal="center" vertical="center"/>
    </xf>
    <xf numFmtId="0" fontId="13" fillId="7" borderId="24" xfId="0" applyFont="1" applyFill="1" applyBorder="1" applyAlignment="1">
      <alignment horizontal="center" vertical="center"/>
    </xf>
    <xf numFmtId="0" fontId="13" fillId="7" borderId="25" xfId="0" applyFont="1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27" xfId="0" applyFill="1" applyBorder="1" applyAlignment="1">
      <alignment horizontal="center" vertical="center"/>
    </xf>
    <xf numFmtId="14" fontId="12" fillId="0" borderId="14" xfId="0" applyNumberFormat="1" applyFont="1" applyBorder="1" applyAlignment="1">
      <alignment horizontal="center" vertical="center"/>
    </xf>
    <xf numFmtId="14" fontId="12" fillId="0" borderId="20" xfId="0" applyNumberFormat="1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4" fontId="12" fillId="0" borderId="1" xfId="0" applyNumberFormat="1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12" fillId="3" borderId="1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0" fontId="12" fillId="0" borderId="14" xfId="0" applyFont="1" applyFill="1" applyBorder="1" applyAlignment="1">
      <alignment horizontal="center" vertical="center" wrapText="1"/>
    </xf>
    <xf numFmtId="0" fontId="12" fillId="0" borderId="14" xfId="0" applyFont="1" applyFill="1" applyBorder="1" applyAlignment="1">
      <alignment horizontal="center" vertical="center"/>
    </xf>
    <xf numFmtId="0" fontId="12" fillId="4" borderId="14" xfId="0" applyFont="1" applyFill="1" applyBorder="1" applyAlignment="1">
      <alignment horizontal="center" vertical="center" wrapText="1"/>
    </xf>
    <xf numFmtId="0" fontId="0" fillId="0" borderId="1" xfId="0" applyBorder="1"/>
  </cellXfs>
  <cellStyles count="5">
    <cellStyle name="Normal" xfId="0" builtinId="0"/>
    <cellStyle name="Normal 2" xfId="1"/>
    <cellStyle name="Normal 2 2" xfId="2"/>
    <cellStyle name="Normal 3" xfId="3"/>
    <cellStyle name="Percent 2" xfId="4"/>
  </cellStyles>
  <dxfs count="0"/>
  <tableStyles count="0" defaultTableStyle="TableStyleMedium9" defaultPivotStyle="PivotStyleLight16"/>
  <colors>
    <mruColors>
      <color rgb="FF9898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00B050"/>
  </sheetPr>
  <dimension ref="A1:O98"/>
  <sheetViews>
    <sheetView view="pageBreakPreview" topLeftCell="A80" zoomScale="70" zoomScaleNormal="70" zoomScaleSheetLayoutView="70" workbookViewId="0">
      <selection activeCell="B1" sqref="B1:N93"/>
    </sheetView>
  </sheetViews>
  <sheetFormatPr defaultRowHeight="15" x14ac:dyDescent="0.25"/>
  <cols>
    <col min="1" max="1" width="1" customWidth="1"/>
    <col min="2" max="2" width="6.42578125" customWidth="1"/>
    <col min="3" max="3" width="9" customWidth="1"/>
    <col min="4" max="6" width="4.140625" customWidth="1"/>
    <col min="7" max="7" width="12.28515625" customWidth="1"/>
    <col min="8" max="8" width="26" customWidth="1"/>
    <col min="9" max="9" width="30" customWidth="1"/>
    <col min="10" max="10" width="20.5703125" customWidth="1"/>
    <col min="11" max="11" width="15.85546875" customWidth="1"/>
    <col min="12" max="12" width="27.140625" customWidth="1"/>
    <col min="13" max="13" width="15.140625" customWidth="1"/>
    <col min="14" max="14" width="27.42578125" customWidth="1"/>
    <col min="15" max="15" width="23" hidden="1" customWidth="1"/>
  </cols>
  <sheetData>
    <row r="1" spans="1:14" ht="55.5" customHeight="1" x14ac:dyDescent="0.25">
      <c r="B1" s="108" t="s">
        <v>0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10"/>
    </row>
    <row r="2" spans="1:14" ht="28.35" customHeight="1" x14ac:dyDescent="0.25">
      <c r="B2" s="111" t="s">
        <v>1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3"/>
    </row>
    <row r="3" spans="1:14" ht="15.95" customHeight="1" x14ac:dyDescent="0.25">
      <c r="B3" s="101" t="s">
        <v>2</v>
      </c>
      <c r="C3" s="102"/>
      <c r="D3" s="102"/>
      <c r="E3" s="102"/>
      <c r="F3" s="102"/>
      <c r="G3" s="102"/>
      <c r="H3" s="10" t="s">
        <v>209</v>
      </c>
      <c r="I3" s="8" t="s">
        <v>172</v>
      </c>
      <c r="J3" s="56" t="s">
        <v>212</v>
      </c>
      <c r="K3" s="114" t="s">
        <v>173</v>
      </c>
      <c r="L3" s="115"/>
      <c r="M3" s="114" t="s">
        <v>213</v>
      </c>
      <c r="N3" s="116"/>
    </row>
    <row r="4" spans="1:14" ht="21" customHeight="1" x14ac:dyDescent="0.25">
      <c r="B4" s="101" t="s">
        <v>3</v>
      </c>
      <c r="C4" s="102"/>
      <c r="D4" s="102"/>
      <c r="E4" s="102"/>
      <c r="F4" s="102"/>
      <c r="G4" s="102"/>
      <c r="H4" s="56" t="s">
        <v>4</v>
      </c>
      <c r="I4" s="9" t="s">
        <v>175</v>
      </c>
      <c r="J4" s="10">
        <v>1</v>
      </c>
      <c r="K4" s="117" t="s">
        <v>176</v>
      </c>
      <c r="L4" s="118"/>
      <c r="M4" s="102" t="s">
        <v>214</v>
      </c>
      <c r="N4" s="119"/>
    </row>
    <row r="5" spans="1:14" ht="21" customHeight="1" x14ac:dyDescent="0.25">
      <c r="B5" s="101" t="s">
        <v>5</v>
      </c>
      <c r="C5" s="102"/>
      <c r="D5" s="102"/>
      <c r="E5" s="102"/>
      <c r="F5" s="102"/>
      <c r="G5" s="102"/>
      <c r="H5" s="56" t="s">
        <v>15</v>
      </c>
      <c r="I5" s="9" t="s">
        <v>177</v>
      </c>
      <c r="J5" s="19">
        <v>45965</v>
      </c>
      <c r="K5" s="103" t="s">
        <v>6</v>
      </c>
      <c r="L5" s="104"/>
      <c r="M5" s="105" t="s">
        <v>7</v>
      </c>
      <c r="N5" s="106"/>
    </row>
    <row r="6" spans="1:14" ht="56.25" customHeight="1" x14ac:dyDescent="0.25">
      <c r="B6" s="7" t="s">
        <v>147</v>
      </c>
      <c r="C6" s="5" t="s">
        <v>8</v>
      </c>
      <c r="D6" s="107" t="s">
        <v>9</v>
      </c>
      <c r="E6" s="107"/>
      <c r="F6" s="107"/>
      <c r="G6" s="107"/>
      <c r="H6" s="2" t="s">
        <v>10</v>
      </c>
      <c r="I6" s="57" t="s">
        <v>11</v>
      </c>
      <c r="J6" s="2" t="s">
        <v>12</v>
      </c>
      <c r="K6" s="2" t="s">
        <v>13</v>
      </c>
      <c r="L6" s="2" t="s">
        <v>14</v>
      </c>
      <c r="M6" s="2" t="s">
        <v>13</v>
      </c>
      <c r="N6" s="6" t="s">
        <v>14</v>
      </c>
    </row>
    <row r="7" spans="1:14" ht="35.1" customHeight="1" x14ac:dyDescent="0.25">
      <c r="B7" s="72">
        <v>1</v>
      </c>
      <c r="C7" s="73" t="s">
        <v>22</v>
      </c>
      <c r="D7" s="93" t="s">
        <v>66</v>
      </c>
      <c r="E7" s="93"/>
      <c r="F7" s="93"/>
      <c r="G7" s="93"/>
      <c r="H7" s="73" t="s">
        <v>148</v>
      </c>
      <c r="I7" s="73" t="s">
        <v>16</v>
      </c>
      <c r="J7" s="73">
        <v>1220</v>
      </c>
      <c r="K7" s="75">
        <v>5</v>
      </c>
      <c r="L7" s="73" t="s">
        <v>67</v>
      </c>
      <c r="M7" s="76">
        <v>11</v>
      </c>
      <c r="N7" s="77" t="s">
        <v>150</v>
      </c>
    </row>
    <row r="8" spans="1:14" ht="35.1" customHeight="1" x14ac:dyDescent="0.25">
      <c r="B8" s="72">
        <v>2</v>
      </c>
      <c r="C8" s="73" t="s">
        <v>23</v>
      </c>
      <c r="D8" s="93" t="s">
        <v>66</v>
      </c>
      <c r="E8" s="93"/>
      <c r="F8" s="93"/>
      <c r="G8" s="93"/>
      <c r="H8" s="73" t="s">
        <v>148</v>
      </c>
      <c r="I8" s="73" t="s">
        <v>68</v>
      </c>
      <c r="J8" s="73">
        <v>830</v>
      </c>
      <c r="K8" s="76">
        <v>12</v>
      </c>
      <c r="L8" s="78" t="s">
        <v>151</v>
      </c>
      <c r="M8" s="75">
        <v>5</v>
      </c>
      <c r="N8" s="79" t="s">
        <v>67</v>
      </c>
    </row>
    <row r="9" spans="1:14" ht="35.1" customHeight="1" x14ac:dyDescent="0.25">
      <c r="B9" s="72">
        <v>3</v>
      </c>
      <c r="C9" s="73" t="s">
        <v>69</v>
      </c>
      <c r="D9" s="93" t="s">
        <v>84</v>
      </c>
      <c r="E9" s="93"/>
      <c r="F9" s="93"/>
      <c r="G9" s="93"/>
      <c r="H9" s="73" t="s">
        <v>149</v>
      </c>
      <c r="I9" s="73" t="s">
        <v>70</v>
      </c>
      <c r="J9" s="73">
        <v>1725</v>
      </c>
      <c r="K9" s="76">
        <v>12</v>
      </c>
      <c r="L9" s="78" t="s">
        <v>151</v>
      </c>
      <c r="M9" s="75">
        <v>3.5</v>
      </c>
      <c r="N9" s="79" t="s">
        <v>129</v>
      </c>
    </row>
    <row r="10" spans="1:14" ht="35.1" customHeight="1" x14ac:dyDescent="0.25">
      <c r="B10" s="72">
        <v>5</v>
      </c>
      <c r="C10" s="73" t="s">
        <v>24</v>
      </c>
      <c r="D10" s="93" t="s">
        <v>66</v>
      </c>
      <c r="E10" s="93"/>
      <c r="F10" s="93"/>
      <c r="G10" s="93"/>
      <c r="H10" s="73" t="s">
        <v>148</v>
      </c>
      <c r="I10" s="73" t="s">
        <v>72</v>
      </c>
      <c r="J10" s="73">
        <v>490</v>
      </c>
      <c r="K10" s="75">
        <v>3</v>
      </c>
      <c r="L10" s="73" t="s">
        <v>130</v>
      </c>
      <c r="M10" s="80">
        <v>11</v>
      </c>
      <c r="N10" s="77" t="s">
        <v>167</v>
      </c>
    </row>
    <row r="11" spans="1:14" ht="35.1" customHeight="1" x14ac:dyDescent="0.25">
      <c r="B11" s="72">
        <v>6</v>
      </c>
      <c r="C11" s="73" t="s">
        <v>25</v>
      </c>
      <c r="D11" s="93" t="s">
        <v>84</v>
      </c>
      <c r="E11" s="93"/>
      <c r="F11" s="93"/>
      <c r="G11" s="93"/>
      <c r="H11" s="73" t="s">
        <v>149</v>
      </c>
      <c r="I11" s="73" t="s">
        <v>68</v>
      </c>
      <c r="J11" s="70">
        <f>945+30</f>
        <v>975</v>
      </c>
      <c r="K11" s="75">
        <v>3</v>
      </c>
      <c r="L11" s="73" t="s">
        <v>131</v>
      </c>
      <c r="M11" s="75">
        <v>3</v>
      </c>
      <c r="N11" s="77" t="s">
        <v>131</v>
      </c>
    </row>
    <row r="12" spans="1:14" ht="35.1" customHeight="1" x14ac:dyDescent="0.25">
      <c r="B12" s="72">
        <v>7</v>
      </c>
      <c r="C12" s="73" t="s">
        <v>26</v>
      </c>
      <c r="D12" s="93" t="s">
        <v>71</v>
      </c>
      <c r="E12" s="93"/>
      <c r="F12" s="93"/>
      <c r="G12" s="93"/>
      <c r="H12" s="73" t="s">
        <v>146</v>
      </c>
      <c r="I12" s="73" t="s">
        <v>73</v>
      </c>
      <c r="J12" s="73">
        <f>1390-20</f>
        <v>1370</v>
      </c>
      <c r="K12" s="75">
        <v>3.5</v>
      </c>
      <c r="L12" s="73" t="s">
        <v>132</v>
      </c>
      <c r="M12" s="75">
        <v>7</v>
      </c>
      <c r="N12" s="77" t="s">
        <v>153</v>
      </c>
    </row>
    <row r="13" spans="1:14" ht="35.1" customHeight="1" x14ac:dyDescent="0.25">
      <c r="B13" s="72">
        <v>9</v>
      </c>
      <c r="C13" s="73" t="s">
        <v>27</v>
      </c>
      <c r="D13" s="93" t="s">
        <v>84</v>
      </c>
      <c r="E13" s="93"/>
      <c r="F13" s="93"/>
      <c r="G13" s="93"/>
      <c r="H13" s="73" t="s">
        <v>149</v>
      </c>
      <c r="I13" s="73" t="s">
        <v>74</v>
      </c>
      <c r="J13" s="73">
        <v>1400</v>
      </c>
      <c r="K13" s="75">
        <v>3</v>
      </c>
      <c r="L13" s="73" t="s">
        <v>131</v>
      </c>
      <c r="M13" s="75">
        <v>2</v>
      </c>
      <c r="N13" s="77" t="s">
        <v>133</v>
      </c>
    </row>
    <row r="14" spans="1:14" ht="35.1" customHeight="1" x14ac:dyDescent="0.25">
      <c r="A14" s="4"/>
      <c r="B14" s="72">
        <v>10</v>
      </c>
      <c r="C14" s="73" t="s">
        <v>28</v>
      </c>
      <c r="D14" s="93" t="s">
        <v>84</v>
      </c>
      <c r="E14" s="93"/>
      <c r="F14" s="93"/>
      <c r="G14" s="93"/>
      <c r="H14" s="73" t="s">
        <v>149</v>
      </c>
      <c r="I14" s="73" t="s">
        <v>75</v>
      </c>
      <c r="J14" s="73">
        <v>1155</v>
      </c>
      <c r="K14" s="75">
        <v>3</v>
      </c>
      <c r="L14" s="73" t="s">
        <v>133</v>
      </c>
      <c r="M14" s="75">
        <v>3</v>
      </c>
      <c r="N14" s="79" t="s">
        <v>131</v>
      </c>
    </row>
    <row r="15" spans="1:14" ht="35.1" customHeight="1" x14ac:dyDescent="0.25">
      <c r="B15" s="72">
        <v>11</v>
      </c>
      <c r="C15" s="73" t="s">
        <v>29</v>
      </c>
      <c r="D15" s="93" t="s">
        <v>66</v>
      </c>
      <c r="E15" s="93"/>
      <c r="F15" s="93"/>
      <c r="G15" s="93"/>
      <c r="H15" s="73" t="s">
        <v>148</v>
      </c>
      <c r="I15" s="73" t="s">
        <v>72</v>
      </c>
      <c r="J15" s="73">
        <f>1205+10</f>
        <v>1215</v>
      </c>
      <c r="K15" s="75">
        <v>3.5</v>
      </c>
      <c r="L15" s="73" t="s">
        <v>134</v>
      </c>
      <c r="M15" s="75">
        <v>5</v>
      </c>
      <c r="N15" s="79" t="s">
        <v>135</v>
      </c>
    </row>
    <row r="16" spans="1:14" ht="35.1" customHeight="1" x14ac:dyDescent="0.25">
      <c r="B16" s="72">
        <v>12</v>
      </c>
      <c r="C16" s="73" t="s">
        <v>30</v>
      </c>
      <c r="D16" s="93" t="s">
        <v>84</v>
      </c>
      <c r="E16" s="93"/>
      <c r="F16" s="93"/>
      <c r="G16" s="93"/>
      <c r="H16" s="73" t="s">
        <v>149</v>
      </c>
      <c r="I16" s="73" t="s">
        <v>70</v>
      </c>
      <c r="J16" s="73">
        <v>1400</v>
      </c>
      <c r="K16" s="75">
        <v>3</v>
      </c>
      <c r="L16" s="73" t="s">
        <v>133</v>
      </c>
      <c r="M16" s="75">
        <v>3</v>
      </c>
      <c r="N16" s="77" t="s">
        <v>131</v>
      </c>
    </row>
    <row r="17" spans="1:15" ht="35.1" customHeight="1" x14ac:dyDescent="0.25">
      <c r="B17" s="72">
        <v>13</v>
      </c>
      <c r="C17" s="73" t="s">
        <v>31</v>
      </c>
      <c r="D17" s="93" t="s">
        <v>84</v>
      </c>
      <c r="E17" s="93"/>
      <c r="F17" s="93"/>
      <c r="G17" s="93"/>
      <c r="H17" s="73" t="s">
        <v>149</v>
      </c>
      <c r="I17" s="73" t="s">
        <v>76</v>
      </c>
      <c r="J17" s="70">
        <f>1465+10</f>
        <v>1475</v>
      </c>
      <c r="K17" s="75">
        <v>3</v>
      </c>
      <c r="L17" s="73" t="s">
        <v>136</v>
      </c>
      <c r="M17" s="75">
        <v>2</v>
      </c>
      <c r="N17" s="79" t="s">
        <v>133</v>
      </c>
    </row>
    <row r="18" spans="1:15" ht="49.5" customHeight="1" x14ac:dyDescent="0.25">
      <c r="B18" s="72">
        <v>14</v>
      </c>
      <c r="C18" s="73" t="s">
        <v>32</v>
      </c>
      <c r="D18" s="93" t="s">
        <v>84</v>
      </c>
      <c r="E18" s="93"/>
      <c r="F18" s="93"/>
      <c r="G18" s="93"/>
      <c r="H18" s="73" t="s">
        <v>149</v>
      </c>
      <c r="I18" s="73" t="s">
        <v>70</v>
      </c>
      <c r="J18" s="70">
        <f>3075+10</f>
        <v>3085</v>
      </c>
      <c r="K18" s="75">
        <v>3</v>
      </c>
      <c r="L18" s="73" t="s">
        <v>136</v>
      </c>
      <c r="M18" s="75">
        <v>3</v>
      </c>
      <c r="N18" s="79" t="s">
        <v>136</v>
      </c>
      <c r="O18" s="4"/>
    </row>
    <row r="19" spans="1:15" ht="35.1" customHeight="1" x14ac:dyDescent="0.25">
      <c r="B19" s="72">
        <v>15</v>
      </c>
      <c r="C19" s="73" t="s">
        <v>33</v>
      </c>
      <c r="D19" s="93" t="s">
        <v>71</v>
      </c>
      <c r="E19" s="93"/>
      <c r="F19" s="93"/>
      <c r="G19" s="93"/>
      <c r="H19" s="73" t="s">
        <v>146</v>
      </c>
      <c r="I19" s="73" t="s">
        <v>77</v>
      </c>
      <c r="J19" s="73">
        <f>1340-20</f>
        <v>1320</v>
      </c>
      <c r="K19" s="75">
        <v>3.5</v>
      </c>
      <c r="L19" s="73" t="s">
        <v>132</v>
      </c>
      <c r="M19" s="75">
        <v>7</v>
      </c>
      <c r="N19" s="77" t="s">
        <v>154</v>
      </c>
    </row>
    <row r="20" spans="1:15" s="3" customFormat="1" ht="35.1" customHeight="1" x14ac:dyDescent="0.25">
      <c r="B20" s="72">
        <v>16</v>
      </c>
      <c r="C20" s="73" t="s">
        <v>34</v>
      </c>
      <c r="D20" s="93" t="s">
        <v>66</v>
      </c>
      <c r="E20" s="93"/>
      <c r="F20" s="93"/>
      <c r="G20" s="93"/>
      <c r="H20" s="73" t="s">
        <v>148</v>
      </c>
      <c r="I20" s="73" t="s">
        <v>68</v>
      </c>
      <c r="J20" s="70">
        <f>1145+10</f>
        <v>1155</v>
      </c>
      <c r="K20" s="75">
        <v>3</v>
      </c>
      <c r="L20" s="73" t="s">
        <v>130</v>
      </c>
      <c r="M20" s="75">
        <v>12</v>
      </c>
      <c r="N20" s="77" t="s">
        <v>155</v>
      </c>
    </row>
    <row r="21" spans="1:15" ht="35.1" customHeight="1" x14ac:dyDescent="0.25">
      <c r="A21" s="4"/>
      <c r="B21" s="72">
        <v>17</v>
      </c>
      <c r="C21" s="73" t="s">
        <v>35</v>
      </c>
      <c r="D21" s="93" t="s">
        <v>84</v>
      </c>
      <c r="E21" s="93"/>
      <c r="F21" s="93"/>
      <c r="G21" s="93"/>
      <c r="H21" s="73" t="s">
        <v>149</v>
      </c>
      <c r="I21" s="73" t="s">
        <v>78</v>
      </c>
      <c r="J21" s="73">
        <v>815</v>
      </c>
      <c r="K21" s="75">
        <v>5</v>
      </c>
      <c r="L21" s="73" t="s">
        <v>137</v>
      </c>
      <c r="M21" s="75">
        <v>2</v>
      </c>
      <c r="N21" s="77" t="s">
        <v>133</v>
      </c>
    </row>
    <row r="22" spans="1:15" ht="35.1" customHeight="1" x14ac:dyDescent="0.25">
      <c r="B22" s="72">
        <v>18</v>
      </c>
      <c r="C22" s="73" t="s">
        <v>36</v>
      </c>
      <c r="D22" s="93" t="s">
        <v>66</v>
      </c>
      <c r="E22" s="93"/>
      <c r="F22" s="93"/>
      <c r="G22" s="93"/>
      <c r="H22" s="73" t="s">
        <v>148</v>
      </c>
      <c r="I22" s="73" t="s">
        <v>16</v>
      </c>
      <c r="J22" s="73">
        <v>490</v>
      </c>
      <c r="K22" s="75">
        <v>3</v>
      </c>
      <c r="L22" s="78" t="s">
        <v>130</v>
      </c>
      <c r="M22" s="80">
        <v>11</v>
      </c>
      <c r="N22" s="77" t="s">
        <v>152</v>
      </c>
    </row>
    <row r="23" spans="1:15" ht="35.1" customHeight="1" x14ac:dyDescent="0.25">
      <c r="B23" s="72">
        <v>19</v>
      </c>
      <c r="C23" s="73" t="s">
        <v>37</v>
      </c>
      <c r="D23" s="93" t="s">
        <v>71</v>
      </c>
      <c r="E23" s="93"/>
      <c r="F23" s="93"/>
      <c r="G23" s="93"/>
      <c r="H23" s="73" t="s">
        <v>146</v>
      </c>
      <c r="I23" s="73" t="s">
        <v>16</v>
      </c>
      <c r="J23" s="73">
        <f>775-20</f>
        <v>755</v>
      </c>
      <c r="K23" s="75">
        <v>3.5</v>
      </c>
      <c r="L23" s="73" t="s">
        <v>132</v>
      </c>
      <c r="M23" s="81">
        <v>7</v>
      </c>
      <c r="N23" s="77" t="s">
        <v>156</v>
      </c>
    </row>
    <row r="24" spans="1:15" ht="35.1" customHeight="1" x14ac:dyDescent="0.25">
      <c r="B24" s="72">
        <v>20</v>
      </c>
      <c r="C24" s="73" t="s">
        <v>38</v>
      </c>
      <c r="D24" s="93" t="s">
        <v>66</v>
      </c>
      <c r="E24" s="93"/>
      <c r="F24" s="93"/>
      <c r="G24" s="93"/>
      <c r="H24" s="73" t="s">
        <v>148</v>
      </c>
      <c r="I24" s="73" t="s">
        <v>79</v>
      </c>
      <c r="J24" s="73">
        <v>2205</v>
      </c>
      <c r="K24" s="76">
        <v>11</v>
      </c>
      <c r="L24" s="78" t="s">
        <v>168</v>
      </c>
      <c r="M24" s="75">
        <v>3</v>
      </c>
      <c r="N24" s="79" t="s">
        <v>130</v>
      </c>
    </row>
    <row r="25" spans="1:15" ht="35.1" customHeight="1" x14ac:dyDescent="0.25">
      <c r="A25" s="4"/>
      <c r="B25" s="72">
        <v>21</v>
      </c>
      <c r="C25" s="73" t="s">
        <v>39</v>
      </c>
      <c r="D25" s="93" t="s">
        <v>66</v>
      </c>
      <c r="E25" s="93"/>
      <c r="F25" s="93"/>
      <c r="G25" s="93"/>
      <c r="H25" s="73" t="s">
        <v>148</v>
      </c>
      <c r="I25" s="73" t="s">
        <v>79</v>
      </c>
      <c r="J25" s="73">
        <v>875</v>
      </c>
      <c r="K25" s="75">
        <v>3</v>
      </c>
      <c r="L25" s="73" t="s">
        <v>130</v>
      </c>
      <c r="M25" s="80">
        <v>11</v>
      </c>
      <c r="N25" s="77" t="s">
        <v>157</v>
      </c>
    </row>
    <row r="26" spans="1:15" ht="35.1" customHeight="1" x14ac:dyDescent="0.25">
      <c r="B26" s="72">
        <v>22</v>
      </c>
      <c r="C26" s="73" t="s">
        <v>40</v>
      </c>
      <c r="D26" s="93" t="s">
        <v>84</v>
      </c>
      <c r="E26" s="93"/>
      <c r="F26" s="93"/>
      <c r="G26" s="93"/>
      <c r="H26" s="73" t="s">
        <v>149</v>
      </c>
      <c r="I26" s="78" t="s">
        <v>158</v>
      </c>
      <c r="J26" s="73">
        <f>125+15</f>
        <v>140</v>
      </c>
      <c r="K26" s="75">
        <v>3</v>
      </c>
      <c r="L26" s="73" t="s">
        <v>131</v>
      </c>
      <c r="M26" s="75">
        <v>7</v>
      </c>
      <c r="N26" s="77" t="s">
        <v>159</v>
      </c>
    </row>
    <row r="27" spans="1:15" ht="35.1" customHeight="1" x14ac:dyDescent="0.25">
      <c r="B27" s="72">
        <v>23</v>
      </c>
      <c r="C27" s="73" t="s">
        <v>41</v>
      </c>
      <c r="D27" s="93" t="s">
        <v>84</v>
      </c>
      <c r="E27" s="93"/>
      <c r="F27" s="93"/>
      <c r="G27" s="93"/>
      <c r="H27" s="73" t="s">
        <v>149</v>
      </c>
      <c r="I27" s="73" t="s">
        <v>68</v>
      </c>
      <c r="J27" s="73">
        <v>1150</v>
      </c>
      <c r="K27" s="75">
        <v>2</v>
      </c>
      <c r="L27" s="73" t="s">
        <v>133</v>
      </c>
      <c r="M27" s="75">
        <v>3</v>
      </c>
      <c r="N27" s="77" t="s">
        <v>131</v>
      </c>
    </row>
    <row r="28" spans="1:15" ht="35.1" customHeight="1" x14ac:dyDescent="0.25">
      <c r="B28" s="72">
        <v>24</v>
      </c>
      <c r="C28" s="73" t="s">
        <v>42</v>
      </c>
      <c r="D28" s="93" t="s">
        <v>66</v>
      </c>
      <c r="E28" s="93"/>
      <c r="F28" s="93"/>
      <c r="G28" s="93"/>
      <c r="H28" s="73" t="s">
        <v>148</v>
      </c>
      <c r="I28" s="73" t="s">
        <v>80</v>
      </c>
      <c r="J28" s="73">
        <v>895</v>
      </c>
      <c r="K28" s="75">
        <v>3</v>
      </c>
      <c r="L28" s="73" t="s">
        <v>130</v>
      </c>
      <c r="M28" s="75">
        <v>12</v>
      </c>
      <c r="N28" s="77" t="s">
        <v>155</v>
      </c>
    </row>
    <row r="29" spans="1:15" ht="35.1" customHeight="1" x14ac:dyDescent="0.25">
      <c r="B29" s="72">
        <v>25</v>
      </c>
      <c r="C29" s="73" t="s">
        <v>43</v>
      </c>
      <c r="D29" s="93" t="s">
        <v>66</v>
      </c>
      <c r="E29" s="93"/>
      <c r="F29" s="93"/>
      <c r="G29" s="93"/>
      <c r="H29" s="73" t="s">
        <v>148</v>
      </c>
      <c r="I29" s="73" t="s">
        <v>68</v>
      </c>
      <c r="J29" s="73">
        <v>895</v>
      </c>
      <c r="K29" s="80">
        <v>12</v>
      </c>
      <c r="L29" s="78" t="s">
        <v>155</v>
      </c>
      <c r="M29" s="75">
        <v>3</v>
      </c>
      <c r="N29" s="77" t="s">
        <v>130</v>
      </c>
    </row>
    <row r="30" spans="1:15" ht="35.1" customHeight="1" x14ac:dyDescent="0.25">
      <c r="B30" s="72">
        <v>26</v>
      </c>
      <c r="C30" s="73" t="s">
        <v>81</v>
      </c>
      <c r="D30" s="93" t="s">
        <v>84</v>
      </c>
      <c r="E30" s="93"/>
      <c r="F30" s="93"/>
      <c r="G30" s="93"/>
      <c r="H30" s="73" t="s">
        <v>149</v>
      </c>
      <c r="I30" s="73" t="s">
        <v>80</v>
      </c>
      <c r="J30" s="73">
        <v>1735</v>
      </c>
      <c r="K30" s="80">
        <v>12</v>
      </c>
      <c r="L30" s="78" t="s">
        <v>151</v>
      </c>
      <c r="M30" s="75">
        <v>3</v>
      </c>
      <c r="N30" s="77" t="s">
        <v>129</v>
      </c>
    </row>
    <row r="31" spans="1:15" ht="35.1" customHeight="1" x14ac:dyDescent="0.25">
      <c r="B31" s="72">
        <v>29</v>
      </c>
      <c r="C31" s="73" t="s">
        <v>44</v>
      </c>
      <c r="D31" s="93" t="s">
        <v>84</v>
      </c>
      <c r="E31" s="93"/>
      <c r="F31" s="93"/>
      <c r="G31" s="93"/>
      <c r="H31" s="73" t="s">
        <v>149</v>
      </c>
      <c r="I31" s="73" t="s">
        <v>77</v>
      </c>
      <c r="J31" s="73">
        <f>1580-20</f>
        <v>1560</v>
      </c>
      <c r="K31" s="75">
        <v>3.5</v>
      </c>
      <c r="L31" s="73" t="s">
        <v>138</v>
      </c>
      <c r="M31" s="75">
        <v>7</v>
      </c>
      <c r="N31" s="77" t="s">
        <v>154</v>
      </c>
    </row>
    <row r="32" spans="1:15" ht="35.1" customHeight="1" x14ac:dyDescent="0.25">
      <c r="B32" s="72">
        <v>30</v>
      </c>
      <c r="C32" s="73" t="s">
        <v>45</v>
      </c>
      <c r="D32" s="93" t="s">
        <v>84</v>
      </c>
      <c r="E32" s="93"/>
      <c r="F32" s="93"/>
      <c r="G32" s="93"/>
      <c r="H32" s="73" t="s">
        <v>149</v>
      </c>
      <c r="I32" s="73" t="s">
        <v>73</v>
      </c>
      <c r="J32" s="73">
        <f>1640-20</f>
        <v>1620</v>
      </c>
      <c r="K32" s="75">
        <v>3.5</v>
      </c>
      <c r="L32" s="73" t="s">
        <v>138</v>
      </c>
      <c r="M32" s="75">
        <v>7</v>
      </c>
      <c r="N32" s="77" t="s">
        <v>153</v>
      </c>
    </row>
    <row r="33" spans="2:14" ht="35.1" customHeight="1" x14ac:dyDescent="0.25">
      <c r="B33" s="72">
        <v>31</v>
      </c>
      <c r="C33" s="73" t="s">
        <v>46</v>
      </c>
      <c r="D33" s="93" t="s">
        <v>84</v>
      </c>
      <c r="E33" s="93"/>
      <c r="F33" s="93"/>
      <c r="G33" s="93"/>
      <c r="H33" s="73" t="s">
        <v>149</v>
      </c>
      <c r="I33" s="73" t="s">
        <v>16</v>
      </c>
      <c r="J33" s="73">
        <f>1020-20</f>
        <v>1000</v>
      </c>
      <c r="K33" s="75">
        <v>3.5</v>
      </c>
      <c r="L33" s="73" t="s">
        <v>138</v>
      </c>
      <c r="M33" s="75">
        <v>7</v>
      </c>
      <c r="N33" s="77" t="s">
        <v>156</v>
      </c>
    </row>
    <row r="34" spans="2:14" ht="35.1" customHeight="1" x14ac:dyDescent="0.25">
      <c r="B34" s="72">
        <v>32</v>
      </c>
      <c r="C34" s="73" t="s">
        <v>47</v>
      </c>
      <c r="D34" s="93" t="s">
        <v>84</v>
      </c>
      <c r="E34" s="93"/>
      <c r="F34" s="93"/>
      <c r="G34" s="93"/>
      <c r="H34" s="73" t="s">
        <v>149</v>
      </c>
      <c r="I34" s="73" t="s">
        <v>16</v>
      </c>
      <c r="J34" s="73">
        <v>1520</v>
      </c>
      <c r="K34" s="80">
        <v>7</v>
      </c>
      <c r="L34" s="77" t="s">
        <v>160</v>
      </c>
      <c r="M34" s="75">
        <v>3</v>
      </c>
      <c r="N34" s="77" t="s">
        <v>131</v>
      </c>
    </row>
    <row r="35" spans="2:14" ht="35.1" customHeight="1" x14ac:dyDescent="0.25">
      <c r="B35" s="72">
        <v>33</v>
      </c>
      <c r="C35" s="73" t="s">
        <v>48</v>
      </c>
      <c r="D35" s="93" t="s">
        <v>84</v>
      </c>
      <c r="E35" s="93"/>
      <c r="F35" s="93"/>
      <c r="G35" s="93"/>
      <c r="H35" s="73" t="s">
        <v>149</v>
      </c>
      <c r="I35" s="73" t="s">
        <v>73</v>
      </c>
      <c r="J35" s="73">
        <v>910</v>
      </c>
      <c r="K35" s="80">
        <v>7</v>
      </c>
      <c r="L35" s="77" t="s">
        <v>161</v>
      </c>
      <c r="M35" s="75">
        <v>3</v>
      </c>
      <c r="N35" s="79" t="s">
        <v>131</v>
      </c>
    </row>
    <row r="36" spans="2:14" ht="35.1" customHeight="1" x14ac:dyDescent="0.25">
      <c r="B36" s="72">
        <v>34</v>
      </c>
      <c r="C36" s="73" t="s">
        <v>49</v>
      </c>
      <c r="D36" s="93" t="s">
        <v>84</v>
      </c>
      <c r="E36" s="93"/>
      <c r="F36" s="93"/>
      <c r="G36" s="93"/>
      <c r="H36" s="73" t="s">
        <v>149</v>
      </c>
      <c r="I36" s="73" t="s">
        <v>77</v>
      </c>
      <c r="J36" s="73">
        <v>980</v>
      </c>
      <c r="K36" s="80">
        <v>7</v>
      </c>
      <c r="L36" s="77" t="s">
        <v>162</v>
      </c>
      <c r="M36" s="75">
        <v>3</v>
      </c>
      <c r="N36" s="77" t="s">
        <v>131</v>
      </c>
    </row>
    <row r="37" spans="2:14" ht="35.1" customHeight="1" x14ac:dyDescent="0.25">
      <c r="B37" s="72">
        <v>35</v>
      </c>
      <c r="C37" s="73" t="s">
        <v>50</v>
      </c>
      <c r="D37" s="93" t="s">
        <v>84</v>
      </c>
      <c r="E37" s="93"/>
      <c r="F37" s="93"/>
      <c r="G37" s="93"/>
      <c r="H37" s="73" t="s">
        <v>149</v>
      </c>
      <c r="I37" s="73" t="s">
        <v>75</v>
      </c>
      <c r="J37" s="73">
        <v>1000</v>
      </c>
      <c r="K37" s="75">
        <v>5</v>
      </c>
      <c r="L37" s="73" t="s">
        <v>137</v>
      </c>
      <c r="M37" s="75">
        <v>2</v>
      </c>
      <c r="N37" s="77" t="s">
        <v>133</v>
      </c>
    </row>
    <row r="38" spans="2:14" ht="35.1" customHeight="1" x14ac:dyDescent="0.25">
      <c r="B38" s="72">
        <v>36</v>
      </c>
      <c r="C38" s="73" t="s">
        <v>51</v>
      </c>
      <c r="D38" s="93" t="s">
        <v>84</v>
      </c>
      <c r="E38" s="93"/>
      <c r="F38" s="93"/>
      <c r="G38" s="93"/>
      <c r="H38" s="73" t="s">
        <v>149</v>
      </c>
      <c r="I38" s="78" t="s">
        <v>158</v>
      </c>
      <c r="J38" s="73">
        <v>1000</v>
      </c>
      <c r="K38" s="75">
        <v>2</v>
      </c>
      <c r="L38" s="73" t="s">
        <v>133</v>
      </c>
      <c r="M38" s="75">
        <v>5</v>
      </c>
      <c r="N38" s="77" t="s">
        <v>137</v>
      </c>
    </row>
    <row r="39" spans="2:14" ht="35.1" customHeight="1" x14ac:dyDescent="0.25">
      <c r="B39" s="72">
        <v>37</v>
      </c>
      <c r="C39" s="73" t="s">
        <v>52</v>
      </c>
      <c r="D39" s="93" t="s">
        <v>84</v>
      </c>
      <c r="E39" s="93"/>
      <c r="F39" s="93"/>
      <c r="G39" s="93"/>
      <c r="H39" s="73" t="s">
        <v>149</v>
      </c>
      <c r="I39" s="73" t="s">
        <v>77</v>
      </c>
      <c r="J39" s="73">
        <v>1270</v>
      </c>
      <c r="K39" s="75">
        <v>3</v>
      </c>
      <c r="L39" s="73" t="s">
        <v>131</v>
      </c>
      <c r="M39" s="75">
        <v>2</v>
      </c>
      <c r="N39" s="77" t="s">
        <v>133</v>
      </c>
    </row>
    <row r="40" spans="2:14" ht="35.1" customHeight="1" x14ac:dyDescent="0.25">
      <c r="B40" s="72">
        <v>38</v>
      </c>
      <c r="C40" s="73" t="s">
        <v>53</v>
      </c>
      <c r="D40" s="93" t="s">
        <v>84</v>
      </c>
      <c r="E40" s="93"/>
      <c r="F40" s="93"/>
      <c r="G40" s="93"/>
      <c r="H40" s="73" t="s">
        <v>149</v>
      </c>
      <c r="I40" s="73" t="s">
        <v>83</v>
      </c>
      <c r="J40" s="73">
        <v>1270</v>
      </c>
      <c r="K40" s="75">
        <v>2</v>
      </c>
      <c r="L40" s="73" t="s">
        <v>133</v>
      </c>
      <c r="M40" s="75">
        <v>3</v>
      </c>
      <c r="N40" s="77" t="s">
        <v>131</v>
      </c>
    </row>
    <row r="41" spans="2:14" ht="35.1" customHeight="1" x14ac:dyDescent="0.25">
      <c r="B41" s="72">
        <v>39</v>
      </c>
      <c r="C41" s="73" t="s">
        <v>65</v>
      </c>
      <c r="D41" s="93" t="s">
        <v>84</v>
      </c>
      <c r="E41" s="93"/>
      <c r="F41" s="93"/>
      <c r="G41" s="93"/>
      <c r="H41" s="73" t="s">
        <v>149</v>
      </c>
      <c r="I41" s="73" t="s">
        <v>76</v>
      </c>
      <c r="J41" s="73">
        <v>1400</v>
      </c>
      <c r="K41" s="75">
        <v>3</v>
      </c>
      <c r="L41" s="73" t="s">
        <v>131</v>
      </c>
      <c r="M41" s="75">
        <v>2</v>
      </c>
      <c r="N41" s="77" t="s">
        <v>133</v>
      </c>
    </row>
    <row r="42" spans="2:14" ht="35.1" customHeight="1" x14ac:dyDescent="0.25">
      <c r="B42" s="72">
        <v>40</v>
      </c>
      <c r="C42" s="73" t="s">
        <v>54</v>
      </c>
      <c r="D42" s="93" t="s">
        <v>84</v>
      </c>
      <c r="E42" s="93"/>
      <c r="F42" s="93"/>
      <c r="G42" s="93"/>
      <c r="H42" s="73" t="s">
        <v>149</v>
      </c>
      <c r="I42" s="73" t="s">
        <v>85</v>
      </c>
      <c r="J42" s="73">
        <v>820</v>
      </c>
      <c r="K42" s="75">
        <v>5</v>
      </c>
      <c r="L42" s="73" t="s">
        <v>139</v>
      </c>
      <c r="M42" s="75">
        <v>2</v>
      </c>
      <c r="N42" s="77" t="s">
        <v>133</v>
      </c>
    </row>
    <row r="43" spans="2:14" ht="35.1" customHeight="1" x14ac:dyDescent="0.25">
      <c r="B43" s="72">
        <v>41</v>
      </c>
      <c r="C43" s="73" t="s">
        <v>55</v>
      </c>
      <c r="D43" s="93" t="s">
        <v>84</v>
      </c>
      <c r="E43" s="93"/>
      <c r="F43" s="93"/>
      <c r="G43" s="93"/>
      <c r="H43" s="73" t="s">
        <v>149</v>
      </c>
      <c r="I43" s="73" t="s">
        <v>86</v>
      </c>
      <c r="J43" s="73">
        <v>820</v>
      </c>
      <c r="K43" s="75">
        <v>2</v>
      </c>
      <c r="L43" s="73" t="s">
        <v>133</v>
      </c>
      <c r="M43" s="75">
        <v>5</v>
      </c>
      <c r="N43" s="77" t="s">
        <v>137</v>
      </c>
    </row>
    <row r="44" spans="2:14" ht="35.1" customHeight="1" x14ac:dyDescent="0.25">
      <c r="B44" s="72">
        <v>42</v>
      </c>
      <c r="C44" s="73" t="s">
        <v>56</v>
      </c>
      <c r="D44" s="93" t="s">
        <v>84</v>
      </c>
      <c r="E44" s="93"/>
      <c r="F44" s="93"/>
      <c r="G44" s="93"/>
      <c r="H44" s="73" t="s">
        <v>149</v>
      </c>
      <c r="I44" s="73" t="s">
        <v>83</v>
      </c>
      <c r="J44" s="73">
        <v>1625</v>
      </c>
      <c r="K44" s="75">
        <v>3</v>
      </c>
      <c r="L44" s="73" t="s">
        <v>140</v>
      </c>
      <c r="M44" s="75">
        <v>2</v>
      </c>
      <c r="N44" s="77" t="s">
        <v>141</v>
      </c>
    </row>
    <row r="45" spans="2:14" ht="35.1" customHeight="1" x14ac:dyDescent="0.25">
      <c r="B45" s="72">
        <v>43</v>
      </c>
      <c r="C45" s="73" t="s">
        <v>57</v>
      </c>
      <c r="D45" s="93" t="s">
        <v>84</v>
      </c>
      <c r="E45" s="93"/>
      <c r="F45" s="93"/>
      <c r="G45" s="93"/>
      <c r="H45" s="73" t="s">
        <v>149</v>
      </c>
      <c r="I45" s="73" t="s">
        <v>87</v>
      </c>
      <c r="J45" s="73">
        <v>1625</v>
      </c>
      <c r="K45" s="75">
        <v>2</v>
      </c>
      <c r="L45" s="73" t="s">
        <v>141</v>
      </c>
      <c r="M45" s="75">
        <v>3</v>
      </c>
      <c r="N45" s="77" t="s">
        <v>140</v>
      </c>
    </row>
    <row r="46" spans="2:14" ht="35.1" customHeight="1" x14ac:dyDescent="0.25">
      <c r="B46" s="72">
        <v>44</v>
      </c>
      <c r="C46" s="73" t="s">
        <v>58</v>
      </c>
      <c r="D46" s="93" t="s">
        <v>84</v>
      </c>
      <c r="E46" s="93"/>
      <c r="F46" s="93"/>
      <c r="G46" s="93"/>
      <c r="H46" s="73" t="s">
        <v>149</v>
      </c>
      <c r="I46" s="73" t="s">
        <v>88</v>
      </c>
      <c r="J46" s="73">
        <v>1625</v>
      </c>
      <c r="K46" s="75">
        <v>2</v>
      </c>
      <c r="L46" s="73" t="s">
        <v>141</v>
      </c>
      <c r="M46" s="75">
        <v>3</v>
      </c>
      <c r="N46" s="77" t="s">
        <v>140</v>
      </c>
    </row>
    <row r="47" spans="2:14" ht="35.1" customHeight="1" x14ac:dyDescent="0.25">
      <c r="B47" s="72">
        <v>45</v>
      </c>
      <c r="C47" s="73" t="s">
        <v>59</v>
      </c>
      <c r="D47" s="93" t="s">
        <v>84</v>
      </c>
      <c r="E47" s="93"/>
      <c r="F47" s="93"/>
      <c r="G47" s="93"/>
      <c r="H47" s="73" t="s">
        <v>149</v>
      </c>
      <c r="I47" s="73" t="s">
        <v>78</v>
      </c>
      <c r="J47" s="73">
        <v>1625</v>
      </c>
      <c r="K47" s="75">
        <v>3</v>
      </c>
      <c r="L47" s="73" t="s">
        <v>140</v>
      </c>
      <c r="M47" s="75">
        <v>2</v>
      </c>
      <c r="N47" s="77" t="s">
        <v>141</v>
      </c>
    </row>
    <row r="48" spans="2:14" ht="35.1" customHeight="1" x14ac:dyDescent="0.25">
      <c r="B48" s="72">
        <v>46</v>
      </c>
      <c r="C48" s="73" t="s">
        <v>60</v>
      </c>
      <c r="D48" s="93" t="s">
        <v>84</v>
      </c>
      <c r="E48" s="93"/>
      <c r="F48" s="93"/>
      <c r="G48" s="93"/>
      <c r="H48" s="73" t="s">
        <v>149</v>
      </c>
      <c r="I48" s="73" t="s">
        <v>89</v>
      </c>
      <c r="J48" s="73">
        <f>385-15</f>
        <v>370</v>
      </c>
      <c r="K48" s="80">
        <v>7</v>
      </c>
      <c r="L48" s="78" t="s">
        <v>169</v>
      </c>
      <c r="M48" s="75">
        <v>3</v>
      </c>
      <c r="N48" s="77" t="s">
        <v>142</v>
      </c>
    </row>
    <row r="49" spans="2:15" ht="35.1" customHeight="1" x14ac:dyDescent="0.25">
      <c r="B49" s="72">
        <v>47</v>
      </c>
      <c r="C49" s="73" t="s">
        <v>90</v>
      </c>
      <c r="D49" s="93" t="s">
        <v>84</v>
      </c>
      <c r="E49" s="93"/>
      <c r="F49" s="93"/>
      <c r="G49" s="93"/>
      <c r="H49" s="73" t="s">
        <v>149</v>
      </c>
      <c r="I49" s="73" t="s">
        <v>73</v>
      </c>
      <c r="J49" s="73">
        <f>920-10</f>
        <v>910</v>
      </c>
      <c r="K49" s="75">
        <v>3</v>
      </c>
      <c r="L49" s="73" t="s">
        <v>142</v>
      </c>
      <c r="M49" s="75">
        <v>2</v>
      </c>
      <c r="N49" s="79" t="s">
        <v>133</v>
      </c>
    </row>
    <row r="50" spans="2:15" ht="35.1" customHeight="1" x14ac:dyDescent="0.25">
      <c r="B50" s="72">
        <v>49</v>
      </c>
      <c r="C50" s="73" t="s">
        <v>61</v>
      </c>
      <c r="D50" s="93" t="s">
        <v>84</v>
      </c>
      <c r="E50" s="93"/>
      <c r="F50" s="93"/>
      <c r="G50" s="93"/>
      <c r="H50" s="73" t="s">
        <v>149</v>
      </c>
      <c r="I50" s="73" t="s">
        <v>16</v>
      </c>
      <c r="J50" s="73">
        <v>820</v>
      </c>
      <c r="K50" s="80">
        <v>7</v>
      </c>
      <c r="L50" s="77" t="s">
        <v>160</v>
      </c>
      <c r="M50" s="75">
        <v>3</v>
      </c>
      <c r="N50" s="79" t="s">
        <v>131</v>
      </c>
    </row>
    <row r="51" spans="2:15" ht="35.1" customHeight="1" x14ac:dyDescent="0.25">
      <c r="B51" s="72">
        <v>50</v>
      </c>
      <c r="C51" s="73" t="s">
        <v>62</v>
      </c>
      <c r="D51" s="93" t="s">
        <v>84</v>
      </c>
      <c r="E51" s="93"/>
      <c r="F51" s="93"/>
      <c r="G51" s="93"/>
      <c r="H51" s="73" t="s">
        <v>149</v>
      </c>
      <c r="I51" s="73" t="s">
        <v>73</v>
      </c>
      <c r="J51" s="73">
        <v>205</v>
      </c>
      <c r="K51" s="80">
        <v>7</v>
      </c>
      <c r="L51" s="77" t="s">
        <v>161</v>
      </c>
      <c r="M51" s="75">
        <v>3</v>
      </c>
      <c r="N51" s="79" t="s">
        <v>131</v>
      </c>
    </row>
    <row r="52" spans="2:15" ht="35.1" customHeight="1" x14ac:dyDescent="0.25">
      <c r="B52" s="72">
        <v>51</v>
      </c>
      <c r="C52" s="73" t="s">
        <v>63</v>
      </c>
      <c r="D52" s="93" t="s">
        <v>84</v>
      </c>
      <c r="E52" s="93"/>
      <c r="F52" s="93"/>
      <c r="G52" s="93"/>
      <c r="H52" s="73" t="s">
        <v>149</v>
      </c>
      <c r="I52" s="73" t="s">
        <v>77</v>
      </c>
      <c r="J52" s="73">
        <v>260</v>
      </c>
      <c r="K52" s="75">
        <v>3</v>
      </c>
      <c r="L52" s="73" t="s">
        <v>131</v>
      </c>
      <c r="M52" s="75">
        <v>7</v>
      </c>
      <c r="N52" s="77" t="s">
        <v>162</v>
      </c>
    </row>
    <row r="53" spans="2:15" ht="35.1" customHeight="1" x14ac:dyDescent="0.25">
      <c r="B53" s="72">
        <v>52</v>
      </c>
      <c r="C53" s="73" t="s">
        <v>64</v>
      </c>
      <c r="D53" s="93" t="s">
        <v>84</v>
      </c>
      <c r="E53" s="93"/>
      <c r="F53" s="93"/>
      <c r="G53" s="93"/>
      <c r="H53" s="73" t="s">
        <v>149</v>
      </c>
      <c r="I53" s="73" t="s">
        <v>77</v>
      </c>
      <c r="J53" s="70">
        <f>2460+40</f>
        <v>2500</v>
      </c>
      <c r="K53" s="75">
        <v>3</v>
      </c>
      <c r="L53" s="73" t="s">
        <v>143</v>
      </c>
      <c r="M53" s="75">
        <v>3</v>
      </c>
      <c r="N53" s="77" t="s">
        <v>133</v>
      </c>
    </row>
    <row r="54" spans="2:15" ht="35.1" customHeight="1" x14ac:dyDescent="0.25">
      <c r="B54" s="72">
        <v>53</v>
      </c>
      <c r="C54" s="73" t="s">
        <v>91</v>
      </c>
      <c r="D54" s="93" t="s">
        <v>84</v>
      </c>
      <c r="E54" s="93"/>
      <c r="F54" s="93"/>
      <c r="G54" s="93"/>
      <c r="H54" s="73" t="s">
        <v>149</v>
      </c>
      <c r="I54" s="73" t="s">
        <v>74</v>
      </c>
      <c r="J54" s="70">
        <f>2460+40</f>
        <v>2500</v>
      </c>
      <c r="K54" s="75">
        <v>3</v>
      </c>
      <c r="L54" s="73" t="s">
        <v>143</v>
      </c>
      <c r="M54" s="75">
        <v>3</v>
      </c>
      <c r="N54" s="77" t="s">
        <v>133</v>
      </c>
      <c r="O54" s="4"/>
    </row>
    <row r="55" spans="2:15" ht="35.1" customHeight="1" x14ac:dyDescent="0.25">
      <c r="B55" s="72">
        <v>54</v>
      </c>
      <c r="C55" s="73" t="s">
        <v>17</v>
      </c>
      <c r="D55" s="93" t="s">
        <v>66</v>
      </c>
      <c r="E55" s="93"/>
      <c r="F55" s="93"/>
      <c r="G55" s="93"/>
      <c r="H55" s="73" t="s">
        <v>148</v>
      </c>
      <c r="I55" s="73" t="s">
        <v>79</v>
      </c>
      <c r="J55" s="73">
        <f>420+10</f>
        <v>430</v>
      </c>
      <c r="K55" s="81">
        <v>4.8</v>
      </c>
      <c r="L55" s="73" t="s">
        <v>135</v>
      </c>
      <c r="M55" s="76">
        <v>11</v>
      </c>
      <c r="N55" s="77" t="s">
        <v>157</v>
      </c>
    </row>
    <row r="56" spans="2:15" ht="35.1" customHeight="1" x14ac:dyDescent="0.25">
      <c r="B56" s="72">
        <v>55</v>
      </c>
      <c r="C56" s="73" t="s">
        <v>92</v>
      </c>
      <c r="D56" s="93" t="s">
        <v>84</v>
      </c>
      <c r="E56" s="93"/>
      <c r="F56" s="93"/>
      <c r="G56" s="93"/>
      <c r="H56" s="73" t="s">
        <v>149</v>
      </c>
      <c r="I56" s="73" t="s">
        <v>89</v>
      </c>
      <c r="J56" s="73">
        <v>1625</v>
      </c>
      <c r="K56" s="75">
        <v>3</v>
      </c>
      <c r="L56" s="73" t="s">
        <v>140</v>
      </c>
      <c r="M56" s="75">
        <v>2</v>
      </c>
      <c r="N56" s="77" t="s">
        <v>141</v>
      </c>
    </row>
    <row r="57" spans="2:15" ht="35.1" customHeight="1" x14ac:dyDescent="0.25">
      <c r="B57" s="72">
        <v>56</v>
      </c>
      <c r="C57" s="73" t="s">
        <v>93</v>
      </c>
      <c r="D57" s="93" t="s">
        <v>71</v>
      </c>
      <c r="E57" s="93"/>
      <c r="F57" s="93"/>
      <c r="G57" s="93"/>
      <c r="H57" s="73" t="s">
        <v>146</v>
      </c>
      <c r="I57" s="73" t="s">
        <v>16</v>
      </c>
      <c r="J57" s="70">
        <f>2160+20</f>
        <v>2180</v>
      </c>
      <c r="K57" s="75">
        <v>3.5</v>
      </c>
      <c r="L57" s="73" t="s">
        <v>144</v>
      </c>
      <c r="M57" s="75">
        <v>3.5</v>
      </c>
      <c r="N57" s="21" t="s">
        <v>132</v>
      </c>
    </row>
    <row r="58" spans="2:15" ht="35.1" customHeight="1" x14ac:dyDescent="0.25">
      <c r="B58" s="72">
        <v>58</v>
      </c>
      <c r="C58" s="73" t="s">
        <v>94</v>
      </c>
      <c r="D58" s="93" t="s">
        <v>71</v>
      </c>
      <c r="E58" s="93"/>
      <c r="F58" s="93"/>
      <c r="G58" s="93"/>
      <c r="H58" s="73" t="s">
        <v>146</v>
      </c>
      <c r="I58" s="73" t="s">
        <v>82</v>
      </c>
      <c r="J58" s="70">
        <f>2160+20</f>
        <v>2180</v>
      </c>
      <c r="K58" s="75">
        <v>3.5</v>
      </c>
      <c r="L58" s="73" t="s">
        <v>144</v>
      </c>
      <c r="M58" s="75">
        <v>3.5</v>
      </c>
      <c r="N58" s="21" t="s">
        <v>132</v>
      </c>
    </row>
    <row r="59" spans="2:15" ht="35.1" customHeight="1" x14ac:dyDescent="0.25">
      <c r="B59" s="72">
        <v>60</v>
      </c>
      <c r="C59" s="73" t="s">
        <v>95</v>
      </c>
      <c r="D59" s="93" t="s">
        <v>84</v>
      </c>
      <c r="E59" s="93"/>
      <c r="F59" s="93"/>
      <c r="G59" s="93"/>
      <c r="H59" s="73" t="s">
        <v>149</v>
      </c>
      <c r="I59" s="73" t="s">
        <v>16</v>
      </c>
      <c r="J59" s="73">
        <v>1625</v>
      </c>
      <c r="K59" s="75">
        <v>3</v>
      </c>
      <c r="L59" s="73" t="s">
        <v>140</v>
      </c>
      <c r="M59" s="75">
        <v>2</v>
      </c>
      <c r="N59" s="77" t="s">
        <v>141</v>
      </c>
    </row>
    <row r="60" spans="2:15" ht="35.1" customHeight="1" x14ac:dyDescent="0.25">
      <c r="B60" s="72">
        <v>61</v>
      </c>
      <c r="C60" s="73" t="s">
        <v>96</v>
      </c>
      <c r="D60" s="93" t="s">
        <v>84</v>
      </c>
      <c r="E60" s="93"/>
      <c r="F60" s="93"/>
      <c r="G60" s="93"/>
      <c r="H60" s="73" t="s">
        <v>149</v>
      </c>
      <c r="I60" s="73" t="s">
        <v>89</v>
      </c>
      <c r="J60" s="73">
        <v>1985</v>
      </c>
      <c r="K60" s="75">
        <v>2</v>
      </c>
      <c r="L60" s="73" t="s">
        <v>133</v>
      </c>
      <c r="M60" s="75">
        <v>7</v>
      </c>
      <c r="N60" s="77" t="s">
        <v>179</v>
      </c>
    </row>
    <row r="61" spans="2:15" ht="35.1" customHeight="1" x14ac:dyDescent="0.25">
      <c r="B61" s="72">
        <v>62</v>
      </c>
      <c r="C61" s="73" t="s">
        <v>97</v>
      </c>
      <c r="D61" s="93" t="s">
        <v>84</v>
      </c>
      <c r="E61" s="93"/>
      <c r="F61" s="93"/>
      <c r="G61" s="93"/>
      <c r="H61" s="73" t="s">
        <v>149</v>
      </c>
      <c r="I61" s="73" t="s">
        <v>82</v>
      </c>
      <c r="J61" s="70">
        <f>945+30</f>
        <v>975</v>
      </c>
      <c r="K61" s="75">
        <v>3</v>
      </c>
      <c r="L61" s="73" t="s">
        <v>131</v>
      </c>
      <c r="M61" s="75">
        <v>3</v>
      </c>
      <c r="N61" s="79" t="s">
        <v>131</v>
      </c>
    </row>
    <row r="62" spans="2:15" ht="35.1" customHeight="1" x14ac:dyDescent="0.25">
      <c r="B62" s="72">
        <v>63</v>
      </c>
      <c r="C62" s="73" t="s">
        <v>98</v>
      </c>
      <c r="D62" s="93" t="s">
        <v>84</v>
      </c>
      <c r="E62" s="93"/>
      <c r="F62" s="93"/>
      <c r="G62" s="93"/>
      <c r="H62" s="73" t="s">
        <v>149</v>
      </c>
      <c r="I62" s="73" t="s">
        <v>89</v>
      </c>
      <c r="J62" s="73">
        <v>2925</v>
      </c>
      <c r="K62" s="75">
        <v>3</v>
      </c>
      <c r="L62" s="73" t="s">
        <v>131</v>
      </c>
      <c r="M62" s="75">
        <v>3</v>
      </c>
      <c r="N62" s="79" t="s">
        <v>142</v>
      </c>
    </row>
    <row r="63" spans="2:15" ht="35.1" customHeight="1" x14ac:dyDescent="0.25">
      <c r="B63" s="72">
        <v>64</v>
      </c>
      <c r="C63" s="73" t="s">
        <v>99</v>
      </c>
      <c r="D63" s="93" t="s">
        <v>84</v>
      </c>
      <c r="E63" s="93"/>
      <c r="F63" s="93"/>
      <c r="G63" s="93"/>
      <c r="H63" s="73" t="s">
        <v>149</v>
      </c>
      <c r="I63" s="73" t="s">
        <v>76</v>
      </c>
      <c r="J63" s="73">
        <v>1780</v>
      </c>
      <c r="K63" s="75">
        <v>3</v>
      </c>
      <c r="L63" s="73" t="s">
        <v>142</v>
      </c>
      <c r="M63" s="75">
        <v>2</v>
      </c>
      <c r="N63" s="79" t="s">
        <v>133</v>
      </c>
    </row>
    <row r="64" spans="2:15" ht="35.1" customHeight="1" x14ac:dyDescent="0.25">
      <c r="B64" s="72">
        <v>65</v>
      </c>
      <c r="C64" s="73" t="s">
        <v>100</v>
      </c>
      <c r="D64" s="93" t="s">
        <v>84</v>
      </c>
      <c r="E64" s="93"/>
      <c r="F64" s="93"/>
      <c r="G64" s="93"/>
      <c r="H64" s="73" t="s">
        <v>184</v>
      </c>
      <c r="I64" s="73" t="s">
        <v>170</v>
      </c>
      <c r="J64" s="82">
        <v>2490</v>
      </c>
      <c r="K64" s="75">
        <v>3.8</v>
      </c>
      <c r="L64" s="73" t="s">
        <v>185</v>
      </c>
      <c r="M64" s="75">
        <v>2</v>
      </c>
      <c r="N64" s="77" t="s">
        <v>133</v>
      </c>
    </row>
    <row r="65" spans="2:14" ht="35.1" customHeight="1" x14ac:dyDescent="0.25">
      <c r="B65" s="72">
        <v>66</v>
      </c>
      <c r="C65" s="73" t="s">
        <v>101</v>
      </c>
      <c r="D65" s="93" t="s">
        <v>84</v>
      </c>
      <c r="E65" s="93"/>
      <c r="F65" s="93"/>
      <c r="G65" s="93"/>
      <c r="H65" s="73" t="s">
        <v>149</v>
      </c>
      <c r="I65" s="73" t="s">
        <v>103</v>
      </c>
      <c r="J65" s="73">
        <v>330</v>
      </c>
      <c r="K65" s="75">
        <v>3</v>
      </c>
      <c r="L65" s="73" t="s">
        <v>131</v>
      </c>
      <c r="M65" s="75">
        <v>7</v>
      </c>
      <c r="N65" s="77" t="s">
        <v>180</v>
      </c>
    </row>
    <row r="66" spans="2:14" ht="35.1" customHeight="1" x14ac:dyDescent="0.25">
      <c r="B66" s="72">
        <v>67</v>
      </c>
      <c r="C66" s="73" t="s">
        <v>102</v>
      </c>
      <c r="D66" s="93" t="s">
        <v>84</v>
      </c>
      <c r="E66" s="93"/>
      <c r="F66" s="93"/>
      <c r="G66" s="93"/>
      <c r="H66" s="73" t="s">
        <v>184</v>
      </c>
      <c r="I66" s="73" t="s">
        <v>89</v>
      </c>
      <c r="J66" s="69">
        <f>3940+20</f>
        <v>3960</v>
      </c>
      <c r="K66" s="80">
        <v>7</v>
      </c>
      <c r="L66" s="77" t="s">
        <v>179</v>
      </c>
      <c r="M66" s="75">
        <v>3.8</v>
      </c>
      <c r="N66" s="77" t="s">
        <v>185</v>
      </c>
    </row>
    <row r="67" spans="2:14" ht="35.1" customHeight="1" x14ac:dyDescent="0.25">
      <c r="B67" s="72">
        <v>68</v>
      </c>
      <c r="C67" s="73" t="s">
        <v>104</v>
      </c>
      <c r="D67" s="93" t="s">
        <v>84</v>
      </c>
      <c r="E67" s="93"/>
      <c r="F67" s="93"/>
      <c r="G67" s="93"/>
      <c r="H67" s="73" t="s">
        <v>149</v>
      </c>
      <c r="I67" s="73" t="s">
        <v>105</v>
      </c>
      <c r="J67" s="70">
        <f>875-20</f>
        <v>855</v>
      </c>
      <c r="K67" s="75">
        <v>3</v>
      </c>
      <c r="L67" s="73" t="s">
        <v>131</v>
      </c>
      <c r="M67" s="75">
        <v>2</v>
      </c>
      <c r="N67" s="77" t="s">
        <v>133</v>
      </c>
    </row>
    <row r="68" spans="2:14" ht="35.1" customHeight="1" x14ac:dyDescent="0.25">
      <c r="B68" s="72">
        <v>69</v>
      </c>
      <c r="C68" s="73" t="s">
        <v>106</v>
      </c>
      <c r="D68" s="93" t="s">
        <v>84</v>
      </c>
      <c r="E68" s="93"/>
      <c r="F68" s="93"/>
      <c r="G68" s="93"/>
      <c r="H68" s="73" t="s">
        <v>149</v>
      </c>
      <c r="I68" s="73" t="s">
        <v>80</v>
      </c>
      <c r="J68" s="70">
        <f>875-20</f>
        <v>855</v>
      </c>
      <c r="K68" s="75">
        <v>2</v>
      </c>
      <c r="L68" s="73" t="s">
        <v>133</v>
      </c>
      <c r="M68" s="75">
        <v>3</v>
      </c>
      <c r="N68" s="77" t="s">
        <v>131</v>
      </c>
    </row>
    <row r="69" spans="2:14" ht="35.1" customHeight="1" x14ac:dyDescent="0.25">
      <c r="B69" s="72">
        <v>70</v>
      </c>
      <c r="C69" s="73" t="s">
        <v>107</v>
      </c>
      <c r="D69" s="93" t="s">
        <v>84</v>
      </c>
      <c r="E69" s="93"/>
      <c r="F69" s="93"/>
      <c r="G69" s="93"/>
      <c r="H69" s="73" t="s">
        <v>149</v>
      </c>
      <c r="I69" s="73" t="s">
        <v>112</v>
      </c>
      <c r="J69" s="70">
        <f>1535+10</f>
        <v>1545</v>
      </c>
      <c r="K69" s="75">
        <v>3</v>
      </c>
      <c r="L69" s="73" t="s">
        <v>131</v>
      </c>
      <c r="M69" s="75">
        <v>2</v>
      </c>
      <c r="N69" s="77" t="s">
        <v>133</v>
      </c>
    </row>
    <row r="70" spans="2:14" ht="35.1" customHeight="1" x14ac:dyDescent="0.25">
      <c r="B70" s="72">
        <v>71</v>
      </c>
      <c r="C70" s="73" t="s">
        <v>108</v>
      </c>
      <c r="D70" s="93" t="s">
        <v>84</v>
      </c>
      <c r="E70" s="93"/>
      <c r="F70" s="93"/>
      <c r="G70" s="93"/>
      <c r="H70" s="73" t="s">
        <v>149</v>
      </c>
      <c r="I70" s="73" t="s">
        <v>70</v>
      </c>
      <c r="J70" s="70">
        <f>1535+10</f>
        <v>1545</v>
      </c>
      <c r="K70" s="75">
        <v>2</v>
      </c>
      <c r="L70" s="73" t="s">
        <v>133</v>
      </c>
      <c r="M70" s="75">
        <v>3</v>
      </c>
      <c r="N70" s="77" t="s">
        <v>131</v>
      </c>
    </row>
    <row r="71" spans="2:14" ht="35.1" customHeight="1" x14ac:dyDescent="0.25">
      <c r="B71" s="72">
        <v>72</v>
      </c>
      <c r="C71" s="73" t="s">
        <v>109</v>
      </c>
      <c r="D71" s="93" t="s">
        <v>84</v>
      </c>
      <c r="E71" s="93"/>
      <c r="F71" s="93"/>
      <c r="G71" s="93"/>
      <c r="H71" s="73" t="s">
        <v>149</v>
      </c>
      <c r="I71" s="73" t="s">
        <v>82</v>
      </c>
      <c r="J71" s="73">
        <f>1835-20</f>
        <v>1815</v>
      </c>
      <c r="K71" s="75">
        <v>3</v>
      </c>
      <c r="L71" s="73" t="s">
        <v>131</v>
      </c>
      <c r="M71" s="75">
        <v>2</v>
      </c>
      <c r="N71" s="77" t="s">
        <v>133</v>
      </c>
    </row>
    <row r="72" spans="2:14" ht="35.1" customHeight="1" x14ac:dyDescent="0.25">
      <c r="B72" s="72">
        <v>73</v>
      </c>
      <c r="C72" s="73" t="s">
        <v>110</v>
      </c>
      <c r="D72" s="93" t="s">
        <v>84</v>
      </c>
      <c r="E72" s="93"/>
      <c r="F72" s="93"/>
      <c r="G72" s="93"/>
      <c r="H72" s="73" t="s">
        <v>149</v>
      </c>
      <c r="I72" s="73" t="s">
        <v>89</v>
      </c>
      <c r="J72" s="73">
        <f>1835-20</f>
        <v>1815</v>
      </c>
      <c r="K72" s="75">
        <v>2</v>
      </c>
      <c r="L72" s="73" t="s">
        <v>133</v>
      </c>
      <c r="M72" s="75">
        <v>3</v>
      </c>
      <c r="N72" s="77" t="s">
        <v>131</v>
      </c>
    </row>
    <row r="73" spans="2:14" ht="35.1" customHeight="1" x14ac:dyDescent="0.25">
      <c r="B73" s="72">
        <v>74</v>
      </c>
      <c r="C73" s="73" t="s">
        <v>111</v>
      </c>
      <c r="D73" s="93" t="s">
        <v>84</v>
      </c>
      <c r="E73" s="93"/>
      <c r="F73" s="93"/>
      <c r="G73" s="93"/>
      <c r="H73" s="73" t="s">
        <v>149</v>
      </c>
      <c r="I73" s="73" t="s">
        <v>73</v>
      </c>
      <c r="J73" s="73">
        <v>1175</v>
      </c>
      <c r="K73" s="75">
        <v>2</v>
      </c>
      <c r="L73" s="78" t="s">
        <v>133</v>
      </c>
      <c r="M73" s="75">
        <v>3</v>
      </c>
      <c r="N73" s="77" t="s">
        <v>131</v>
      </c>
    </row>
    <row r="74" spans="2:14" ht="35.1" customHeight="1" x14ac:dyDescent="0.25">
      <c r="B74" s="72">
        <v>75</v>
      </c>
      <c r="C74" s="73" t="s">
        <v>113</v>
      </c>
      <c r="D74" s="93" t="s">
        <v>84</v>
      </c>
      <c r="E74" s="93"/>
      <c r="F74" s="93"/>
      <c r="G74" s="93"/>
      <c r="H74" s="73" t="s">
        <v>149</v>
      </c>
      <c r="I74" s="78" t="s">
        <v>158</v>
      </c>
      <c r="J74" s="73">
        <f>125+15</f>
        <v>140</v>
      </c>
      <c r="K74" s="80">
        <v>7</v>
      </c>
      <c r="L74" s="78" t="s">
        <v>164</v>
      </c>
      <c r="M74" s="75">
        <v>3</v>
      </c>
      <c r="N74" s="77" t="s">
        <v>131</v>
      </c>
    </row>
    <row r="75" spans="2:14" ht="35.1" customHeight="1" x14ac:dyDescent="0.25">
      <c r="B75" s="72">
        <v>76</v>
      </c>
      <c r="C75" s="73" t="s">
        <v>114</v>
      </c>
      <c r="D75" s="93" t="s">
        <v>84</v>
      </c>
      <c r="E75" s="93"/>
      <c r="F75" s="93"/>
      <c r="G75" s="93"/>
      <c r="H75" s="73" t="s">
        <v>149</v>
      </c>
      <c r="I75" s="78" t="s">
        <v>158</v>
      </c>
      <c r="J75" s="73">
        <v>1030</v>
      </c>
      <c r="K75" s="75">
        <v>2</v>
      </c>
      <c r="L75" s="78" t="s">
        <v>133</v>
      </c>
      <c r="M75" s="75">
        <v>7</v>
      </c>
      <c r="N75" s="77" t="s">
        <v>163</v>
      </c>
    </row>
    <row r="76" spans="2:14" ht="35.1" customHeight="1" x14ac:dyDescent="0.25">
      <c r="B76" s="72">
        <v>77</v>
      </c>
      <c r="C76" s="73" t="s">
        <v>115</v>
      </c>
      <c r="D76" s="93" t="s">
        <v>84</v>
      </c>
      <c r="E76" s="93"/>
      <c r="F76" s="93"/>
      <c r="G76" s="93"/>
      <c r="H76" s="73" t="s">
        <v>149</v>
      </c>
      <c r="I76" s="73" t="s">
        <v>76</v>
      </c>
      <c r="J76" s="73">
        <v>1175</v>
      </c>
      <c r="K76" s="75">
        <v>2</v>
      </c>
      <c r="L76" s="78" t="s">
        <v>133</v>
      </c>
      <c r="M76" s="75">
        <v>3.5</v>
      </c>
      <c r="N76" s="77" t="s">
        <v>131</v>
      </c>
    </row>
    <row r="77" spans="2:14" ht="35.1" customHeight="1" x14ac:dyDescent="0.25">
      <c r="B77" s="72">
        <v>78</v>
      </c>
      <c r="C77" s="73" t="s">
        <v>116</v>
      </c>
      <c r="D77" s="93" t="s">
        <v>84</v>
      </c>
      <c r="E77" s="93"/>
      <c r="F77" s="93"/>
      <c r="G77" s="93"/>
      <c r="H77" s="73" t="s">
        <v>149</v>
      </c>
      <c r="I77" s="73" t="s">
        <v>83</v>
      </c>
      <c r="J77" s="73">
        <f>1030-10</f>
        <v>1020</v>
      </c>
      <c r="K77" s="75">
        <v>3</v>
      </c>
      <c r="L77" s="78" t="s">
        <v>140</v>
      </c>
      <c r="M77" s="75">
        <v>2</v>
      </c>
      <c r="N77" s="77" t="s">
        <v>133</v>
      </c>
    </row>
    <row r="78" spans="2:14" ht="35.1" customHeight="1" x14ac:dyDescent="0.25">
      <c r="B78" s="72">
        <v>79</v>
      </c>
      <c r="C78" s="73" t="s">
        <v>117</v>
      </c>
      <c r="D78" s="93" t="s">
        <v>84</v>
      </c>
      <c r="E78" s="93"/>
      <c r="F78" s="93"/>
      <c r="G78" s="93"/>
      <c r="H78" s="73" t="s">
        <v>149</v>
      </c>
      <c r="I78" s="73" t="s">
        <v>78</v>
      </c>
      <c r="J78" s="73">
        <f>1020-10</f>
        <v>1010</v>
      </c>
      <c r="K78" s="75">
        <v>3</v>
      </c>
      <c r="L78" s="73" t="s">
        <v>140</v>
      </c>
      <c r="M78" s="75">
        <v>2</v>
      </c>
      <c r="N78" s="77" t="s">
        <v>133</v>
      </c>
    </row>
    <row r="79" spans="2:14" ht="35.1" customHeight="1" x14ac:dyDescent="0.25">
      <c r="B79" s="72">
        <v>80</v>
      </c>
      <c r="C79" s="73" t="s">
        <v>118</v>
      </c>
      <c r="D79" s="93" t="s">
        <v>84</v>
      </c>
      <c r="E79" s="93"/>
      <c r="F79" s="93"/>
      <c r="G79" s="93"/>
      <c r="H79" s="73" t="s">
        <v>149</v>
      </c>
      <c r="I79" s="73" t="s">
        <v>87</v>
      </c>
      <c r="J79" s="73">
        <f>1030-10</f>
        <v>1020</v>
      </c>
      <c r="K79" s="75">
        <v>2</v>
      </c>
      <c r="L79" s="78" t="s">
        <v>133</v>
      </c>
      <c r="M79" s="75">
        <v>3</v>
      </c>
      <c r="N79" s="77" t="s">
        <v>140</v>
      </c>
    </row>
    <row r="80" spans="2:14" ht="35.1" customHeight="1" x14ac:dyDescent="0.25">
      <c r="B80" s="72">
        <v>81</v>
      </c>
      <c r="C80" s="73" t="s">
        <v>119</v>
      </c>
      <c r="D80" s="93" t="s">
        <v>84</v>
      </c>
      <c r="E80" s="93"/>
      <c r="F80" s="93"/>
      <c r="G80" s="93"/>
      <c r="H80" s="73" t="s">
        <v>149</v>
      </c>
      <c r="I80" s="73" t="s">
        <v>88</v>
      </c>
      <c r="J80" s="73">
        <f>1030-10</f>
        <v>1020</v>
      </c>
      <c r="K80" s="75">
        <v>3</v>
      </c>
      <c r="L80" s="78" t="s">
        <v>140</v>
      </c>
      <c r="M80" s="75">
        <v>2</v>
      </c>
      <c r="N80" s="77" t="s">
        <v>133</v>
      </c>
    </row>
    <row r="81" spans="1:15" ht="35.1" customHeight="1" x14ac:dyDescent="0.25">
      <c r="B81" s="72">
        <v>82</v>
      </c>
      <c r="C81" s="73" t="s">
        <v>120</v>
      </c>
      <c r="D81" s="93" t="s">
        <v>84</v>
      </c>
      <c r="E81" s="93"/>
      <c r="F81" s="93"/>
      <c r="G81" s="93"/>
      <c r="H81" s="73" t="s">
        <v>149</v>
      </c>
      <c r="I81" s="73" t="s">
        <v>89</v>
      </c>
      <c r="J81" s="73">
        <v>550</v>
      </c>
      <c r="K81" s="75">
        <v>2</v>
      </c>
      <c r="L81" s="73" t="s">
        <v>133</v>
      </c>
      <c r="M81" s="75">
        <v>7</v>
      </c>
      <c r="N81" s="77" t="s">
        <v>165</v>
      </c>
    </row>
    <row r="82" spans="1:15" ht="35.1" customHeight="1" x14ac:dyDescent="0.25">
      <c r="B82" s="72">
        <v>83</v>
      </c>
      <c r="C82" s="73" t="s">
        <v>18</v>
      </c>
      <c r="D82" s="93" t="s">
        <v>84</v>
      </c>
      <c r="E82" s="93"/>
      <c r="F82" s="93"/>
      <c r="G82" s="93"/>
      <c r="H82" s="73" t="s">
        <v>149</v>
      </c>
      <c r="I82" s="73" t="s">
        <v>16</v>
      </c>
      <c r="J82" s="73">
        <f>1000-10</f>
        <v>990</v>
      </c>
      <c r="K82" s="75">
        <v>3</v>
      </c>
      <c r="L82" s="73" t="s">
        <v>140</v>
      </c>
      <c r="M82" s="75">
        <v>2</v>
      </c>
      <c r="N82" s="77" t="s">
        <v>133</v>
      </c>
    </row>
    <row r="83" spans="1:15" ht="35.1" customHeight="1" x14ac:dyDescent="0.25">
      <c r="B83" s="72">
        <v>84</v>
      </c>
      <c r="C83" s="73" t="s">
        <v>19</v>
      </c>
      <c r="D83" s="93" t="s">
        <v>84</v>
      </c>
      <c r="E83" s="93"/>
      <c r="F83" s="93"/>
      <c r="G83" s="93"/>
      <c r="H83" s="73" t="s">
        <v>149</v>
      </c>
      <c r="I83" s="73" t="s">
        <v>89</v>
      </c>
      <c r="J83" s="73">
        <f>450-10</f>
        <v>440</v>
      </c>
      <c r="K83" s="75">
        <v>3</v>
      </c>
      <c r="L83" s="78" t="s">
        <v>140</v>
      </c>
      <c r="M83" s="75">
        <v>7</v>
      </c>
      <c r="N83" s="77" t="s">
        <v>166</v>
      </c>
    </row>
    <row r="84" spans="1:15" ht="35.1" customHeight="1" x14ac:dyDescent="0.25">
      <c r="B84" s="72">
        <v>85</v>
      </c>
      <c r="C84" s="73" t="s">
        <v>20</v>
      </c>
      <c r="D84" s="93" t="s">
        <v>84</v>
      </c>
      <c r="E84" s="93"/>
      <c r="F84" s="93"/>
      <c r="G84" s="93"/>
      <c r="H84" s="73" t="s">
        <v>149</v>
      </c>
      <c r="I84" s="73" t="s">
        <v>75</v>
      </c>
      <c r="J84" s="70">
        <f>945+30</f>
        <v>975</v>
      </c>
      <c r="K84" s="75">
        <v>3</v>
      </c>
      <c r="L84" s="78" t="s">
        <v>131</v>
      </c>
      <c r="M84" s="75">
        <v>3</v>
      </c>
      <c r="N84" s="77" t="s">
        <v>131</v>
      </c>
    </row>
    <row r="85" spans="1:15" ht="35.1" customHeight="1" x14ac:dyDescent="0.25">
      <c r="B85" s="72">
        <v>86</v>
      </c>
      <c r="C85" s="73" t="s">
        <v>21</v>
      </c>
      <c r="D85" s="93" t="s">
        <v>84</v>
      </c>
      <c r="E85" s="93"/>
      <c r="F85" s="93"/>
      <c r="G85" s="93"/>
      <c r="H85" s="73" t="s">
        <v>149</v>
      </c>
      <c r="I85" s="73" t="s">
        <v>88</v>
      </c>
      <c r="J85" s="70">
        <f>945+30</f>
        <v>975</v>
      </c>
      <c r="K85" s="75">
        <v>3</v>
      </c>
      <c r="L85" s="73" t="s">
        <v>131</v>
      </c>
      <c r="M85" s="75">
        <v>3</v>
      </c>
      <c r="N85" s="79" t="s">
        <v>131</v>
      </c>
    </row>
    <row r="86" spans="1:15" ht="35.1" customHeight="1" x14ac:dyDescent="0.25">
      <c r="B86" s="72">
        <v>87</v>
      </c>
      <c r="C86" s="73" t="s">
        <v>121</v>
      </c>
      <c r="D86" s="93" t="s">
        <v>84</v>
      </c>
      <c r="E86" s="93"/>
      <c r="F86" s="93"/>
      <c r="G86" s="93"/>
      <c r="H86" s="73" t="s">
        <v>149</v>
      </c>
      <c r="I86" s="73" t="s">
        <v>77</v>
      </c>
      <c r="J86" s="70">
        <f>945+30</f>
        <v>975</v>
      </c>
      <c r="K86" s="75">
        <v>3</v>
      </c>
      <c r="L86" s="73" t="s">
        <v>131</v>
      </c>
      <c r="M86" s="75">
        <v>3</v>
      </c>
      <c r="N86" s="77" t="s">
        <v>131</v>
      </c>
    </row>
    <row r="87" spans="1:15" ht="35.1" customHeight="1" x14ac:dyDescent="0.25">
      <c r="B87" s="72">
        <v>88</v>
      </c>
      <c r="C87" s="73" t="s">
        <v>122</v>
      </c>
      <c r="D87" s="93" t="s">
        <v>84</v>
      </c>
      <c r="E87" s="93"/>
      <c r="F87" s="93"/>
      <c r="G87" s="93"/>
      <c r="H87" s="73" t="s">
        <v>149</v>
      </c>
      <c r="I87" s="73" t="s">
        <v>68</v>
      </c>
      <c r="J87" s="70">
        <f>1045+10</f>
        <v>1055</v>
      </c>
      <c r="K87" s="75">
        <v>3</v>
      </c>
      <c r="L87" s="73" t="s">
        <v>136</v>
      </c>
      <c r="M87" s="75">
        <v>3</v>
      </c>
      <c r="N87" s="77" t="s">
        <v>136</v>
      </c>
      <c r="O87" s="4"/>
    </row>
    <row r="88" spans="1:15" ht="35.1" customHeight="1" x14ac:dyDescent="0.25">
      <c r="A88" s="4"/>
      <c r="B88" s="72">
        <v>89</v>
      </c>
      <c r="C88" s="73" t="s">
        <v>123</v>
      </c>
      <c r="D88" s="93" t="s">
        <v>84</v>
      </c>
      <c r="E88" s="93"/>
      <c r="F88" s="93"/>
      <c r="G88" s="93"/>
      <c r="H88" s="73" t="s">
        <v>149</v>
      </c>
      <c r="I88" s="73" t="s">
        <v>171</v>
      </c>
      <c r="J88" s="73">
        <v>1715</v>
      </c>
      <c r="K88" s="75">
        <v>3</v>
      </c>
      <c r="L88" s="73" t="s">
        <v>136</v>
      </c>
      <c r="M88" s="75">
        <v>3</v>
      </c>
      <c r="N88" s="77" t="s">
        <v>136</v>
      </c>
      <c r="O88" s="4"/>
    </row>
    <row r="89" spans="1:15" ht="35.1" customHeight="1" x14ac:dyDescent="0.25">
      <c r="B89" s="72">
        <v>92</v>
      </c>
      <c r="C89" s="73" t="s">
        <v>124</v>
      </c>
      <c r="D89" s="93" t="s">
        <v>210</v>
      </c>
      <c r="E89" s="93"/>
      <c r="F89" s="93"/>
      <c r="G89" s="93"/>
      <c r="H89" s="73" t="s">
        <v>211</v>
      </c>
      <c r="I89" s="73" t="s">
        <v>79</v>
      </c>
      <c r="J89" s="73">
        <v>1725</v>
      </c>
      <c r="K89" s="76">
        <v>11</v>
      </c>
      <c r="L89" s="78" t="s">
        <v>168</v>
      </c>
      <c r="M89" s="75">
        <v>4</v>
      </c>
      <c r="N89" s="77" t="s">
        <v>145</v>
      </c>
    </row>
    <row r="90" spans="1:15" ht="35.1" customHeight="1" x14ac:dyDescent="0.25">
      <c r="B90" s="72">
        <v>93</v>
      </c>
      <c r="C90" s="73" t="s">
        <v>125</v>
      </c>
      <c r="D90" s="93" t="s">
        <v>84</v>
      </c>
      <c r="E90" s="93"/>
      <c r="F90" s="93"/>
      <c r="G90" s="93"/>
      <c r="H90" s="73" t="s">
        <v>149</v>
      </c>
      <c r="I90" s="73" t="s">
        <v>68</v>
      </c>
      <c r="J90" s="73">
        <v>545</v>
      </c>
      <c r="K90" s="75">
        <v>3</v>
      </c>
      <c r="L90" s="73" t="s">
        <v>136</v>
      </c>
      <c r="M90" s="75">
        <v>3</v>
      </c>
      <c r="N90" s="77" t="s">
        <v>136</v>
      </c>
      <c r="O90" s="4"/>
    </row>
    <row r="91" spans="1:15" ht="35.1" customHeight="1" x14ac:dyDescent="0.25">
      <c r="B91" s="72">
        <v>94</v>
      </c>
      <c r="C91" s="73" t="s">
        <v>126</v>
      </c>
      <c r="D91" s="93" t="s">
        <v>84</v>
      </c>
      <c r="E91" s="93"/>
      <c r="F91" s="93"/>
      <c r="G91" s="93"/>
      <c r="H91" s="73" t="s">
        <v>149</v>
      </c>
      <c r="I91" s="73" t="s">
        <v>170</v>
      </c>
      <c r="J91" s="73">
        <v>3500</v>
      </c>
      <c r="K91" s="75">
        <v>3</v>
      </c>
      <c r="L91" s="73" t="s">
        <v>136</v>
      </c>
      <c r="M91" s="75">
        <v>3</v>
      </c>
      <c r="N91" s="77" t="s">
        <v>136</v>
      </c>
      <c r="O91" s="4"/>
    </row>
    <row r="92" spans="1:15" ht="35.1" customHeight="1" x14ac:dyDescent="0.25">
      <c r="A92" s="4"/>
      <c r="B92" s="72">
        <v>95</v>
      </c>
      <c r="C92" s="73" t="s">
        <v>127</v>
      </c>
      <c r="D92" s="93" t="s">
        <v>84</v>
      </c>
      <c r="E92" s="93"/>
      <c r="F92" s="93"/>
      <c r="G92" s="93"/>
      <c r="H92" s="73" t="s">
        <v>149</v>
      </c>
      <c r="I92" s="73" t="s">
        <v>68</v>
      </c>
      <c r="J92" s="73">
        <v>685</v>
      </c>
      <c r="K92" s="75">
        <v>3</v>
      </c>
      <c r="L92" s="73" t="s">
        <v>136</v>
      </c>
      <c r="M92" s="75">
        <v>3</v>
      </c>
      <c r="N92" s="77" t="s">
        <v>136</v>
      </c>
      <c r="O92" s="4"/>
    </row>
    <row r="93" spans="1:15" ht="35.1" customHeight="1" x14ac:dyDescent="0.25">
      <c r="B93" s="72">
        <v>96</v>
      </c>
      <c r="C93" s="73" t="s">
        <v>128</v>
      </c>
      <c r="D93" s="93" t="s">
        <v>84</v>
      </c>
      <c r="E93" s="93"/>
      <c r="F93" s="93"/>
      <c r="G93" s="93"/>
      <c r="H93" s="73" t="s">
        <v>149</v>
      </c>
      <c r="I93" s="73" t="s">
        <v>171</v>
      </c>
      <c r="J93" s="73">
        <v>2885</v>
      </c>
      <c r="K93" s="75">
        <v>3</v>
      </c>
      <c r="L93" s="73" t="s">
        <v>136</v>
      </c>
      <c r="M93" s="75">
        <v>3</v>
      </c>
      <c r="N93" s="77" t="s">
        <v>133</v>
      </c>
      <c r="O93" s="4"/>
    </row>
    <row r="94" spans="1:15" ht="15.75" customHeight="1" x14ac:dyDescent="0.25">
      <c r="B94" s="94"/>
      <c r="C94" s="95"/>
      <c r="D94" s="95"/>
      <c r="E94" s="95"/>
      <c r="F94" s="95"/>
      <c r="G94" s="95"/>
      <c r="H94" s="95"/>
      <c r="I94" s="95"/>
      <c r="J94" s="95"/>
      <c r="K94" s="95"/>
      <c r="L94" s="95"/>
      <c r="M94" s="95"/>
      <c r="N94" s="96"/>
    </row>
    <row r="95" spans="1:15" ht="22.5" customHeight="1" x14ac:dyDescent="0.3">
      <c r="B95" s="97" t="s">
        <v>182</v>
      </c>
      <c r="C95" s="98"/>
      <c r="D95" s="98" t="s">
        <v>181</v>
      </c>
      <c r="E95" s="98"/>
      <c r="F95" s="98"/>
      <c r="G95" s="98"/>
      <c r="H95" s="98"/>
      <c r="I95" s="98"/>
      <c r="J95" s="98"/>
      <c r="K95" s="98"/>
      <c r="L95" s="98"/>
      <c r="M95" s="98" t="s">
        <v>183</v>
      </c>
      <c r="N95" s="99"/>
    </row>
    <row r="96" spans="1:15" ht="22.5" customHeight="1" x14ac:dyDescent="0.3">
      <c r="B96" s="97">
        <v>0</v>
      </c>
      <c r="C96" s="98"/>
      <c r="D96" s="98" t="s">
        <v>203</v>
      </c>
      <c r="E96" s="98"/>
      <c r="F96" s="98"/>
      <c r="G96" s="98"/>
      <c r="H96" s="98"/>
      <c r="I96" s="98"/>
      <c r="J96" s="98"/>
      <c r="K96" s="98"/>
      <c r="L96" s="98"/>
      <c r="M96" s="100">
        <v>45965</v>
      </c>
      <c r="N96" s="99"/>
    </row>
    <row r="97" spans="2:14" ht="32.25" customHeight="1" thickBot="1" x14ac:dyDescent="0.3">
      <c r="B97" s="88" t="s">
        <v>200</v>
      </c>
      <c r="C97" s="89"/>
      <c r="D97" s="89"/>
      <c r="E97" s="89"/>
      <c r="F97" s="89"/>
      <c r="G97" s="89"/>
      <c r="H97" s="90"/>
      <c r="I97" s="91" t="s">
        <v>199</v>
      </c>
      <c r="J97" s="89"/>
      <c r="K97" s="90"/>
      <c r="L97" s="91" t="s">
        <v>198</v>
      </c>
      <c r="M97" s="89"/>
      <c r="N97" s="92"/>
    </row>
    <row r="98" spans="2:14" ht="15.75" x14ac:dyDescent="0.25"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</sheetData>
  <sheetProtection password="DE0D" sheet="1" objects="1" scenarios="1"/>
  <mergeCells count="109">
    <mergeCell ref="B5:G5"/>
    <mergeCell ref="K5:L5"/>
    <mergeCell ref="M5:N5"/>
    <mergeCell ref="D6:G6"/>
    <mergeCell ref="D7:G7"/>
    <mergeCell ref="D8:G8"/>
    <mergeCell ref="B1:N1"/>
    <mergeCell ref="B2:N2"/>
    <mergeCell ref="B3:G3"/>
    <mergeCell ref="K3:L3"/>
    <mergeCell ref="M3:N3"/>
    <mergeCell ref="B4:G4"/>
    <mergeCell ref="K4:L4"/>
    <mergeCell ref="M4:N4"/>
    <mergeCell ref="D15:G15"/>
    <mergeCell ref="D16:G16"/>
    <mergeCell ref="D17:G17"/>
    <mergeCell ref="D18:G18"/>
    <mergeCell ref="D19:G19"/>
    <mergeCell ref="D20:G20"/>
    <mergeCell ref="D9:G9"/>
    <mergeCell ref="D10:G10"/>
    <mergeCell ref="D11:G11"/>
    <mergeCell ref="D12:G12"/>
    <mergeCell ref="D13:G13"/>
    <mergeCell ref="D14:G14"/>
    <mergeCell ref="D27:G27"/>
    <mergeCell ref="D28:G28"/>
    <mergeCell ref="D29:G29"/>
    <mergeCell ref="D30:G30"/>
    <mergeCell ref="D31:G31"/>
    <mergeCell ref="D32:G32"/>
    <mergeCell ref="D21:G21"/>
    <mergeCell ref="D22:G22"/>
    <mergeCell ref="D23:G23"/>
    <mergeCell ref="D24:G24"/>
    <mergeCell ref="D25:G25"/>
    <mergeCell ref="D26:G26"/>
    <mergeCell ref="D39:G39"/>
    <mergeCell ref="D40:G40"/>
    <mergeCell ref="D41:G41"/>
    <mergeCell ref="D42:G42"/>
    <mergeCell ref="D43:G43"/>
    <mergeCell ref="D44:G44"/>
    <mergeCell ref="D33:G33"/>
    <mergeCell ref="D34:G34"/>
    <mergeCell ref="D35:G35"/>
    <mergeCell ref="D36:G36"/>
    <mergeCell ref="D37:G37"/>
    <mergeCell ref="D38:G38"/>
    <mergeCell ref="D51:G51"/>
    <mergeCell ref="D52:G52"/>
    <mergeCell ref="D53:G53"/>
    <mergeCell ref="D54:G54"/>
    <mergeCell ref="D55:G55"/>
    <mergeCell ref="D56:G56"/>
    <mergeCell ref="D45:G45"/>
    <mergeCell ref="D46:G46"/>
    <mergeCell ref="D47:G47"/>
    <mergeCell ref="D48:G48"/>
    <mergeCell ref="D49:G49"/>
    <mergeCell ref="D50:G50"/>
    <mergeCell ref="D63:G63"/>
    <mergeCell ref="D64:G64"/>
    <mergeCell ref="D65:G65"/>
    <mergeCell ref="D66:G66"/>
    <mergeCell ref="D67:G67"/>
    <mergeCell ref="D68:G68"/>
    <mergeCell ref="D57:G57"/>
    <mergeCell ref="D58:G58"/>
    <mergeCell ref="D59:G59"/>
    <mergeCell ref="D60:G60"/>
    <mergeCell ref="D61:G61"/>
    <mergeCell ref="D62:G62"/>
    <mergeCell ref="D75:G75"/>
    <mergeCell ref="D76:G76"/>
    <mergeCell ref="D77:G77"/>
    <mergeCell ref="D78:G78"/>
    <mergeCell ref="D79:G79"/>
    <mergeCell ref="D80:G80"/>
    <mergeCell ref="D69:G69"/>
    <mergeCell ref="D70:G70"/>
    <mergeCell ref="D71:G71"/>
    <mergeCell ref="D72:G72"/>
    <mergeCell ref="D73:G73"/>
    <mergeCell ref="D74:G74"/>
    <mergeCell ref="D87:G87"/>
    <mergeCell ref="D88:G88"/>
    <mergeCell ref="D89:G89"/>
    <mergeCell ref="D90:G90"/>
    <mergeCell ref="D91:G91"/>
    <mergeCell ref="D92:G92"/>
    <mergeCell ref="D81:G81"/>
    <mergeCell ref="D82:G82"/>
    <mergeCell ref="D83:G83"/>
    <mergeCell ref="D84:G84"/>
    <mergeCell ref="D85:G85"/>
    <mergeCell ref="D86:G86"/>
    <mergeCell ref="B97:H97"/>
    <mergeCell ref="I97:K97"/>
    <mergeCell ref="L97:N97"/>
    <mergeCell ref="D93:G93"/>
    <mergeCell ref="B94:N94"/>
    <mergeCell ref="B95:C95"/>
    <mergeCell ref="D95:L95"/>
    <mergeCell ref="M95:N95"/>
    <mergeCell ref="B96:C96"/>
    <mergeCell ref="D96:L96"/>
    <mergeCell ref="M96:N96"/>
  </mergeCells>
  <printOptions horizontalCentered="1" verticalCentered="1"/>
  <pageMargins left="0" right="0" top="0" bottom="0" header="0" footer="0"/>
  <pageSetup paperSize="9" scale="68" orientation="landscape" r:id="rId1"/>
  <headerFooter scaleWithDoc="0" alignWithMargins="0">
    <firstFooter>&amp;RPage :1 of 2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P93"/>
  <sheetViews>
    <sheetView tabSelected="1" topLeftCell="A76" workbookViewId="0">
      <selection activeCell="O76" sqref="O76"/>
    </sheetView>
  </sheetViews>
  <sheetFormatPr defaultRowHeight="15" x14ac:dyDescent="0.25"/>
  <cols>
    <col min="14" max="14" width="10.85546875" bestFit="1" customWidth="1"/>
    <col min="15" max="15" width="34.42578125" bestFit="1" customWidth="1"/>
    <col min="16" max="16" width="34.42578125" hidden="1" customWidth="1"/>
  </cols>
  <sheetData>
    <row r="1" spans="1:16" ht="46.5" x14ac:dyDescent="0.25">
      <c r="A1" s="108" t="s">
        <v>0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10"/>
    </row>
    <row r="2" spans="1:16" ht="33.75" x14ac:dyDescent="0.25">
      <c r="A2" s="111" t="s">
        <v>1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</row>
    <row r="3" spans="1:16" ht="31.5" x14ac:dyDescent="0.25">
      <c r="A3" s="101" t="s">
        <v>2</v>
      </c>
      <c r="B3" s="102"/>
      <c r="C3" s="102"/>
      <c r="D3" s="102"/>
      <c r="E3" s="102"/>
      <c r="F3" s="102"/>
      <c r="G3" s="10" t="s">
        <v>209</v>
      </c>
      <c r="H3" s="8" t="s">
        <v>172</v>
      </c>
      <c r="I3" s="83" t="s">
        <v>212</v>
      </c>
      <c r="J3" s="114" t="s">
        <v>173</v>
      </c>
      <c r="K3" s="115"/>
      <c r="L3" s="114" t="s">
        <v>213</v>
      </c>
      <c r="M3" s="116"/>
    </row>
    <row r="4" spans="1:16" ht="15.75" x14ac:dyDescent="0.25">
      <c r="A4" s="101" t="s">
        <v>3</v>
      </c>
      <c r="B4" s="102"/>
      <c r="C4" s="102"/>
      <c r="D4" s="102"/>
      <c r="E4" s="102"/>
      <c r="F4" s="102"/>
      <c r="G4" s="83" t="s">
        <v>4</v>
      </c>
      <c r="H4" s="9" t="s">
        <v>175</v>
      </c>
      <c r="I4" s="10">
        <v>1</v>
      </c>
      <c r="J4" s="117" t="s">
        <v>176</v>
      </c>
      <c r="K4" s="118"/>
      <c r="L4" s="102" t="s">
        <v>214</v>
      </c>
      <c r="M4" s="119"/>
    </row>
    <row r="5" spans="1:16" ht="15.75" x14ac:dyDescent="0.25">
      <c r="A5" s="101" t="s">
        <v>5</v>
      </c>
      <c r="B5" s="102"/>
      <c r="C5" s="102"/>
      <c r="D5" s="102"/>
      <c r="E5" s="102"/>
      <c r="F5" s="102"/>
      <c r="G5" s="83" t="s">
        <v>15</v>
      </c>
      <c r="H5" s="9" t="s">
        <v>177</v>
      </c>
      <c r="I5" s="19">
        <v>45965</v>
      </c>
      <c r="J5" s="103" t="s">
        <v>6</v>
      </c>
      <c r="K5" s="104"/>
      <c r="L5" s="105" t="s">
        <v>7</v>
      </c>
      <c r="M5" s="106"/>
    </row>
    <row r="6" spans="1:16" ht="30" customHeight="1" x14ac:dyDescent="0.25">
      <c r="A6" s="7" t="s">
        <v>147</v>
      </c>
      <c r="B6" s="5" t="s">
        <v>8</v>
      </c>
      <c r="C6" s="107" t="s">
        <v>9</v>
      </c>
      <c r="D6" s="107"/>
      <c r="E6" s="107"/>
      <c r="F6" s="107"/>
      <c r="G6" s="2" t="s">
        <v>10</v>
      </c>
      <c r="H6" s="84" t="s">
        <v>11</v>
      </c>
      <c r="I6" s="2" t="s">
        <v>12</v>
      </c>
      <c r="J6" s="2" t="s">
        <v>13</v>
      </c>
      <c r="K6" s="2" t="s">
        <v>14</v>
      </c>
      <c r="L6" s="2" t="s">
        <v>13</v>
      </c>
      <c r="M6" s="141" t="s">
        <v>14</v>
      </c>
      <c r="N6" s="2" t="s">
        <v>215</v>
      </c>
      <c r="O6" s="2" t="s">
        <v>281</v>
      </c>
      <c r="P6" s="87" t="s">
        <v>216</v>
      </c>
    </row>
    <row r="7" spans="1:16" ht="30" customHeight="1" x14ac:dyDescent="0.25">
      <c r="A7" s="72">
        <v>1</v>
      </c>
      <c r="B7" s="85" t="s">
        <v>22</v>
      </c>
      <c r="C7" s="93" t="s">
        <v>66</v>
      </c>
      <c r="D7" s="93"/>
      <c r="E7" s="93"/>
      <c r="F7" s="93"/>
      <c r="G7" s="85" t="s">
        <v>148</v>
      </c>
      <c r="H7" s="85" t="s">
        <v>16</v>
      </c>
      <c r="I7" s="85">
        <v>1220</v>
      </c>
      <c r="J7" s="75">
        <v>5</v>
      </c>
      <c r="K7" s="85" t="s">
        <v>67</v>
      </c>
      <c r="L7" s="76">
        <v>11</v>
      </c>
      <c r="M7" s="142" t="s">
        <v>150</v>
      </c>
      <c r="N7" s="145" t="s">
        <v>232</v>
      </c>
      <c r="O7" s="145" t="s">
        <v>233</v>
      </c>
      <c r="P7" t="s">
        <v>233</v>
      </c>
    </row>
    <row r="8" spans="1:16" ht="30" customHeight="1" x14ac:dyDescent="0.25">
      <c r="A8" s="72">
        <v>2</v>
      </c>
      <c r="B8" s="85" t="s">
        <v>23</v>
      </c>
      <c r="C8" s="93" t="s">
        <v>66</v>
      </c>
      <c r="D8" s="93"/>
      <c r="E8" s="93"/>
      <c r="F8" s="93"/>
      <c r="G8" s="85" t="s">
        <v>148</v>
      </c>
      <c r="H8" s="85" t="s">
        <v>68</v>
      </c>
      <c r="I8" s="85">
        <v>830</v>
      </c>
      <c r="J8" s="76">
        <v>12</v>
      </c>
      <c r="K8" s="78" t="s">
        <v>151</v>
      </c>
      <c r="L8" s="75">
        <v>5</v>
      </c>
      <c r="M8" s="143" t="s">
        <v>67</v>
      </c>
      <c r="N8" s="145" t="s">
        <v>234</v>
      </c>
      <c r="O8" s="145" t="s">
        <v>235</v>
      </c>
      <c r="P8" t="s">
        <v>235</v>
      </c>
    </row>
    <row r="9" spans="1:16" ht="30" customHeight="1" x14ac:dyDescent="0.25">
      <c r="A9" s="72">
        <v>3</v>
      </c>
      <c r="B9" s="85" t="s">
        <v>69</v>
      </c>
      <c r="C9" s="93" t="s">
        <v>84</v>
      </c>
      <c r="D9" s="93"/>
      <c r="E9" s="93"/>
      <c r="F9" s="93"/>
      <c r="G9" s="85" t="s">
        <v>149</v>
      </c>
      <c r="H9" s="85" t="s">
        <v>70</v>
      </c>
      <c r="I9" s="85">
        <v>1725</v>
      </c>
      <c r="J9" s="76">
        <v>12</v>
      </c>
      <c r="K9" s="78" t="s">
        <v>151</v>
      </c>
      <c r="L9" s="75">
        <v>3.5</v>
      </c>
      <c r="M9" s="143" t="s">
        <v>129</v>
      </c>
      <c r="N9" s="145" t="s">
        <v>236</v>
      </c>
      <c r="O9" s="145" t="s">
        <v>217</v>
      </c>
      <c r="P9" t="s">
        <v>217</v>
      </c>
    </row>
    <row r="10" spans="1:16" ht="30" customHeight="1" x14ac:dyDescent="0.25">
      <c r="A10" s="72">
        <v>5</v>
      </c>
      <c r="B10" s="85" t="s">
        <v>24</v>
      </c>
      <c r="C10" s="93" t="s">
        <v>66</v>
      </c>
      <c r="D10" s="93"/>
      <c r="E10" s="93"/>
      <c r="F10" s="93"/>
      <c r="G10" s="85" t="s">
        <v>148</v>
      </c>
      <c r="H10" s="85" t="s">
        <v>72</v>
      </c>
      <c r="I10" s="85">
        <v>490</v>
      </c>
      <c r="J10" s="75">
        <v>3</v>
      </c>
      <c r="K10" s="85" t="s">
        <v>130</v>
      </c>
      <c r="L10" s="80">
        <v>11</v>
      </c>
      <c r="M10" s="142" t="s">
        <v>167</v>
      </c>
      <c r="N10" s="145" t="s">
        <v>237</v>
      </c>
      <c r="O10" s="145" t="s">
        <v>218</v>
      </c>
      <c r="P10" t="s">
        <v>218</v>
      </c>
    </row>
    <row r="11" spans="1:16" ht="30" customHeight="1" x14ac:dyDescent="0.25">
      <c r="A11" s="72">
        <v>6</v>
      </c>
      <c r="B11" s="85" t="s">
        <v>25</v>
      </c>
      <c r="C11" s="93" t="s">
        <v>84</v>
      </c>
      <c r="D11" s="93"/>
      <c r="E11" s="93"/>
      <c r="F11" s="93"/>
      <c r="G11" s="85" t="s">
        <v>149</v>
      </c>
      <c r="H11" s="85" t="s">
        <v>68</v>
      </c>
      <c r="I11" s="86">
        <f>945+30</f>
        <v>975</v>
      </c>
      <c r="J11" s="75">
        <v>3</v>
      </c>
      <c r="K11" s="85" t="s">
        <v>131</v>
      </c>
      <c r="L11" s="75">
        <v>3</v>
      </c>
      <c r="M11" s="142" t="s">
        <v>131</v>
      </c>
      <c r="N11" s="145" t="s">
        <v>238</v>
      </c>
      <c r="O11" s="145" t="s">
        <v>239</v>
      </c>
      <c r="P11" t="s">
        <v>239</v>
      </c>
    </row>
    <row r="12" spans="1:16" ht="30" customHeight="1" x14ac:dyDescent="0.25">
      <c r="A12" s="72">
        <v>7</v>
      </c>
      <c r="B12" s="85" t="s">
        <v>26</v>
      </c>
      <c r="C12" s="93" t="s">
        <v>71</v>
      </c>
      <c r="D12" s="93"/>
      <c r="E12" s="93"/>
      <c r="F12" s="93"/>
      <c r="G12" s="85" t="s">
        <v>146</v>
      </c>
      <c r="H12" s="85" t="s">
        <v>73</v>
      </c>
      <c r="I12" s="85">
        <f>1390-20</f>
        <v>1370</v>
      </c>
      <c r="J12" s="75">
        <v>3.5</v>
      </c>
      <c r="K12" s="85" t="s">
        <v>132</v>
      </c>
      <c r="L12" s="75">
        <v>7</v>
      </c>
      <c r="M12" s="142" t="s">
        <v>153</v>
      </c>
      <c r="N12" s="145" t="s">
        <v>240</v>
      </c>
      <c r="O12" s="145" t="s">
        <v>241</v>
      </c>
      <c r="P12" t="s">
        <v>241</v>
      </c>
    </row>
    <row r="13" spans="1:16" ht="30" customHeight="1" x14ac:dyDescent="0.25">
      <c r="A13" s="72">
        <v>9</v>
      </c>
      <c r="B13" s="85" t="s">
        <v>27</v>
      </c>
      <c r="C13" s="93" t="s">
        <v>84</v>
      </c>
      <c r="D13" s="93"/>
      <c r="E13" s="93"/>
      <c r="F13" s="93"/>
      <c r="G13" s="85" t="s">
        <v>149</v>
      </c>
      <c r="H13" s="85" t="s">
        <v>74</v>
      </c>
      <c r="I13" s="85">
        <v>1400</v>
      </c>
      <c r="J13" s="75">
        <v>3</v>
      </c>
      <c r="K13" s="85" t="s">
        <v>131</v>
      </c>
      <c r="L13" s="75">
        <v>2</v>
      </c>
      <c r="M13" s="142" t="s">
        <v>133</v>
      </c>
      <c r="N13" s="145" t="s">
        <v>242</v>
      </c>
      <c r="O13" s="145" t="s">
        <v>243</v>
      </c>
      <c r="P13" t="s">
        <v>243</v>
      </c>
    </row>
    <row r="14" spans="1:16" ht="30" customHeight="1" x14ac:dyDescent="0.25">
      <c r="A14" s="72">
        <v>10</v>
      </c>
      <c r="B14" s="85" t="s">
        <v>28</v>
      </c>
      <c r="C14" s="93" t="s">
        <v>84</v>
      </c>
      <c r="D14" s="93"/>
      <c r="E14" s="93"/>
      <c r="F14" s="93"/>
      <c r="G14" s="85" t="s">
        <v>149</v>
      </c>
      <c r="H14" s="85" t="s">
        <v>75</v>
      </c>
      <c r="I14" s="85">
        <v>1155</v>
      </c>
      <c r="J14" s="75">
        <v>3</v>
      </c>
      <c r="K14" s="85" t="s">
        <v>133</v>
      </c>
      <c r="L14" s="75">
        <v>3</v>
      </c>
      <c r="M14" s="143" t="s">
        <v>131</v>
      </c>
      <c r="N14" s="145" t="s">
        <v>244</v>
      </c>
      <c r="O14" s="145" t="s">
        <v>245</v>
      </c>
      <c r="P14" t="s">
        <v>245</v>
      </c>
    </row>
    <row r="15" spans="1:16" ht="30" customHeight="1" x14ac:dyDescent="0.25">
      <c r="A15" s="72">
        <v>11</v>
      </c>
      <c r="B15" s="85" t="s">
        <v>29</v>
      </c>
      <c r="C15" s="93" t="s">
        <v>66</v>
      </c>
      <c r="D15" s="93"/>
      <c r="E15" s="93"/>
      <c r="F15" s="93"/>
      <c r="G15" s="85" t="s">
        <v>148</v>
      </c>
      <c r="H15" s="85" t="s">
        <v>72</v>
      </c>
      <c r="I15" s="85">
        <f>1205+10</f>
        <v>1215</v>
      </c>
      <c r="J15" s="75">
        <v>3.5</v>
      </c>
      <c r="K15" s="85" t="s">
        <v>134</v>
      </c>
      <c r="L15" s="75">
        <v>5</v>
      </c>
      <c r="M15" s="143" t="s">
        <v>135</v>
      </c>
      <c r="N15" s="145" t="s">
        <v>237</v>
      </c>
      <c r="O15" s="145" t="s">
        <v>218</v>
      </c>
      <c r="P15" t="s">
        <v>218</v>
      </c>
    </row>
    <row r="16" spans="1:16" ht="30" customHeight="1" x14ac:dyDescent="0.25">
      <c r="A16" s="72">
        <v>12</v>
      </c>
      <c r="B16" s="85" t="s">
        <v>30</v>
      </c>
      <c r="C16" s="93" t="s">
        <v>84</v>
      </c>
      <c r="D16" s="93"/>
      <c r="E16" s="93"/>
      <c r="F16" s="93"/>
      <c r="G16" s="85" t="s">
        <v>149</v>
      </c>
      <c r="H16" s="85" t="s">
        <v>70</v>
      </c>
      <c r="I16" s="85">
        <v>1400</v>
      </c>
      <c r="J16" s="75">
        <v>3</v>
      </c>
      <c r="K16" s="85" t="s">
        <v>133</v>
      </c>
      <c r="L16" s="75">
        <v>3</v>
      </c>
      <c r="M16" s="142" t="s">
        <v>131</v>
      </c>
      <c r="N16" s="145" t="s">
        <v>236</v>
      </c>
      <c r="O16" s="145" t="s">
        <v>217</v>
      </c>
      <c r="P16" t="s">
        <v>217</v>
      </c>
    </row>
    <row r="17" spans="1:16" ht="30" customHeight="1" x14ac:dyDescent="0.25">
      <c r="A17" s="72">
        <v>13</v>
      </c>
      <c r="B17" s="85" t="s">
        <v>31</v>
      </c>
      <c r="C17" s="93" t="s">
        <v>84</v>
      </c>
      <c r="D17" s="93"/>
      <c r="E17" s="93"/>
      <c r="F17" s="93"/>
      <c r="G17" s="85" t="s">
        <v>149</v>
      </c>
      <c r="H17" s="85" t="s">
        <v>76</v>
      </c>
      <c r="I17" s="86">
        <f>1465+10</f>
        <v>1475</v>
      </c>
      <c r="J17" s="75">
        <v>3</v>
      </c>
      <c r="K17" s="85" t="s">
        <v>136</v>
      </c>
      <c r="L17" s="75">
        <v>2</v>
      </c>
      <c r="M17" s="143" t="s">
        <v>133</v>
      </c>
      <c r="N17" s="145" t="s">
        <v>246</v>
      </c>
      <c r="O17" s="145" t="s">
        <v>222</v>
      </c>
      <c r="P17" t="s">
        <v>222</v>
      </c>
    </row>
    <row r="18" spans="1:16" ht="30" customHeight="1" x14ac:dyDescent="0.25">
      <c r="A18" s="72">
        <v>14</v>
      </c>
      <c r="B18" s="85" t="s">
        <v>32</v>
      </c>
      <c r="C18" s="93" t="s">
        <v>84</v>
      </c>
      <c r="D18" s="93"/>
      <c r="E18" s="93"/>
      <c r="F18" s="93"/>
      <c r="G18" s="85" t="s">
        <v>149</v>
      </c>
      <c r="H18" s="85" t="s">
        <v>70</v>
      </c>
      <c r="I18" s="86">
        <f>3075+10</f>
        <v>3085</v>
      </c>
      <c r="J18" s="75">
        <v>3</v>
      </c>
      <c r="K18" s="85" t="s">
        <v>136</v>
      </c>
      <c r="L18" s="75">
        <v>3</v>
      </c>
      <c r="M18" s="143" t="s">
        <v>136</v>
      </c>
      <c r="N18" s="145" t="s">
        <v>236</v>
      </c>
      <c r="O18" s="145" t="s">
        <v>217</v>
      </c>
      <c r="P18" t="s">
        <v>217</v>
      </c>
    </row>
    <row r="19" spans="1:16" ht="30" customHeight="1" x14ac:dyDescent="0.25">
      <c r="A19" s="72">
        <v>15</v>
      </c>
      <c r="B19" s="85" t="s">
        <v>33</v>
      </c>
      <c r="C19" s="93" t="s">
        <v>71</v>
      </c>
      <c r="D19" s="93"/>
      <c r="E19" s="93"/>
      <c r="F19" s="93"/>
      <c r="G19" s="85" t="s">
        <v>146</v>
      </c>
      <c r="H19" s="85" t="s">
        <v>77</v>
      </c>
      <c r="I19" s="85">
        <f>1340-20</f>
        <v>1320</v>
      </c>
      <c r="J19" s="75">
        <v>3.5</v>
      </c>
      <c r="K19" s="85" t="s">
        <v>132</v>
      </c>
      <c r="L19" s="75">
        <v>7</v>
      </c>
      <c r="M19" s="142" t="s">
        <v>154</v>
      </c>
      <c r="N19" s="145" t="s">
        <v>247</v>
      </c>
      <c r="O19" s="145" t="s">
        <v>248</v>
      </c>
      <c r="P19" t="s">
        <v>248</v>
      </c>
    </row>
    <row r="20" spans="1:16" ht="30" customHeight="1" x14ac:dyDescent="0.25">
      <c r="A20" s="72">
        <v>16</v>
      </c>
      <c r="B20" s="85" t="s">
        <v>34</v>
      </c>
      <c r="C20" s="93" t="s">
        <v>66</v>
      </c>
      <c r="D20" s="93"/>
      <c r="E20" s="93"/>
      <c r="F20" s="93"/>
      <c r="G20" s="85" t="s">
        <v>148</v>
      </c>
      <c r="H20" s="85" t="s">
        <v>68</v>
      </c>
      <c r="I20" s="86">
        <f>1145+10</f>
        <v>1155</v>
      </c>
      <c r="J20" s="75">
        <v>3</v>
      </c>
      <c r="K20" s="85" t="s">
        <v>130</v>
      </c>
      <c r="L20" s="75">
        <v>12</v>
      </c>
      <c r="M20" s="142" t="s">
        <v>155</v>
      </c>
      <c r="N20" s="145" t="s">
        <v>234</v>
      </c>
      <c r="O20" s="145" t="s">
        <v>235</v>
      </c>
      <c r="P20" t="s">
        <v>235</v>
      </c>
    </row>
    <row r="21" spans="1:16" ht="30" customHeight="1" x14ac:dyDescent="0.25">
      <c r="A21" s="72">
        <v>17</v>
      </c>
      <c r="B21" s="85" t="s">
        <v>35</v>
      </c>
      <c r="C21" s="93" t="s">
        <v>84</v>
      </c>
      <c r="D21" s="93"/>
      <c r="E21" s="93"/>
      <c r="F21" s="93"/>
      <c r="G21" s="85" t="s">
        <v>149</v>
      </c>
      <c r="H21" s="85" t="s">
        <v>78</v>
      </c>
      <c r="I21" s="85">
        <v>815</v>
      </c>
      <c r="J21" s="75">
        <v>5</v>
      </c>
      <c r="K21" s="85" t="s">
        <v>137</v>
      </c>
      <c r="L21" s="75">
        <v>2</v>
      </c>
      <c r="M21" s="142" t="s">
        <v>133</v>
      </c>
      <c r="N21" s="145" t="s">
        <v>249</v>
      </c>
      <c r="O21" s="145" t="s">
        <v>226</v>
      </c>
      <c r="P21" t="s">
        <v>226</v>
      </c>
    </row>
    <row r="22" spans="1:16" ht="30" customHeight="1" x14ac:dyDescent="0.25">
      <c r="A22" s="72">
        <v>18</v>
      </c>
      <c r="B22" s="85" t="s">
        <v>36</v>
      </c>
      <c r="C22" s="93" t="s">
        <v>66</v>
      </c>
      <c r="D22" s="93"/>
      <c r="E22" s="93"/>
      <c r="F22" s="93"/>
      <c r="G22" s="85" t="s">
        <v>148</v>
      </c>
      <c r="H22" s="85" t="s">
        <v>16</v>
      </c>
      <c r="I22" s="85">
        <v>490</v>
      </c>
      <c r="J22" s="75">
        <v>3</v>
      </c>
      <c r="K22" s="78" t="s">
        <v>130</v>
      </c>
      <c r="L22" s="80">
        <v>11</v>
      </c>
      <c r="M22" s="142" t="s">
        <v>152</v>
      </c>
      <c r="N22" s="145" t="s">
        <v>232</v>
      </c>
      <c r="O22" s="145" t="s">
        <v>233</v>
      </c>
      <c r="P22" t="s">
        <v>233</v>
      </c>
    </row>
    <row r="23" spans="1:16" ht="30" customHeight="1" x14ac:dyDescent="0.25">
      <c r="A23" s="72">
        <v>19</v>
      </c>
      <c r="B23" s="85" t="s">
        <v>37</v>
      </c>
      <c r="C23" s="93" t="s">
        <v>71</v>
      </c>
      <c r="D23" s="93"/>
      <c r="E23" s="93"/>
      <c r="F23" s="93"/>
      <c r="G23" s="85" t="s">
        <v>146</v>
      </c>
      <c r="H23" s="85" t="s">
        <v>16</v>
      </c>
      <c r="I23" s="85">
        <f>775-20</f>
        <v>755</v>
      </c>
      <c r="J23" s="75">
        <v>3.5</v>
      </c>
      <c r="K23" s="85" t="s">
        <v>132</v>
      </c>
      <c r="L23" s="81">
        <v>7</v>
      </c>
      <c r="M23" s="142" t="s">
        <v>156</v>
      </c>
      <c r="N23" s="145" t="s">
        <v>250</v>
      </c>
      <c r="O23" s="145" t="s">
        <v>251</v>
      </c>
      <c r="P23" t="s">
        <v>251</v>
      </c>
    </row>
    <row r="24" spans="1:16" ht="30" customHeight="1" x14ac:dyDescent="0.25">
      <c r="A24" s="72">
        <v>20</v>
      </c>
      <c r="B24" s="85" t="s">
        <v>38</v>
      </c>
      <c r="C24" s="93" t="s">
        <v>66</v>
      </c>
      <c r="D24" s="93"/>
      <c r="E24" s="93"/>
      <c r="F24" s="93"/>
      <c r="G24" s="85" t="s">
        <v>148</v>
      </c>
      <c r="H24" s="85" t="s">
        <v>79</v>
      </c>
      <c r="I24" s="85">
        <v>2205</v>
      </c>
      <c r="J24" s="76">
        <v>11</v>
      </c>
      <c r="K24" s="78" t="s">
        <v>168</v>
      </c>
      <c r="L24" s="75">
        <v>3</v>
      </c>
      <c r="M24" s="143" t="s">
        <v>130</v>
      </c>
      <c r="N24" s="145" t="s">
        <v>236</v>
      </c>
      <c r="O24" s="145" t="s">
        <v>217</v>
      </c>
      <c r="P24" t="s">
        <v>217</v>
      </c>
    </row>
    <row r="25" spans="1:16" ht="30" customHeight="1" x14ac:dyDescent="0.25">
      <c r="A25" s="72">
        <v>21</v>
      </c>
      <c r="B25" s="85" t="s">
        <v>39</v>
      </c>
      <c r="C25" s="93" t="s">
        <v>66</v>
      </c>
      <c r="D25" s="93"/>
      <c r="E25" s="93"/>
      <c r="F25" s="93"/>
      <c r="G25" s="85" t="s">
        <v>148</v>
      </c>
      <c r="H25" s="85" t="s">
        <v>79</v>
      </c>
      <c r="I25" s="85">
        <v>875</v>
      </c>
      <c r="J25" s="75">
        <v>3</v>
      </c>
      <c r="K25" s="85" t="s">
        <v>130</v>
      </c>
      <c r="L25" s="80">
        <v>11</v>
      </c>
      <c r="M25" s="142" t="s">
        <v>157</v>
      </c>
      <c r="N25" s="145" t="s">
        <v>252</v>
      </c>
      <c r="O25" s="145" t="s">
        <v>220</v>
      </c>
      <c r="P25" t="s">
        <v>220</v>
      </c>
    </row>
    <row r="26" spans="1:16" ht="30" customHeight="1" x14ac:dyDescent="0.25">
      <c r="A26" s="72">
        <v>22</v>
      </c>
      <c r="B26" s="85" t="s">
        <v>40</v>
      </c>
      <c r="C26" s="93" t="s">
        <v>84</v>
      </c>
      <c r="D26" s="93"/>
      <c r="E26" s="93"/>
      <c r="F26" s="93"/>
      <c r="G26" s="85" t="s">
        <v>149</v>
      </c>
      <c r="H26" s="78" t="s">
        <v>158</v>
      </c>
      <c r="I26" s="85">
        <f>125+15</f>
        <v>140</v>
      </c>
      <c r="J26" s="75">
        <v>3</v>
      </c>
      <c r="K26" s="85" t="s">
        <v>131</v>
      </c>
      <c r="L26" s="75">
        <v>7</v>
      </c>
      <c r="M26" s="142" t="s">
        <v>159</v>
      </c>
      <c r="N26" s="145" t="s">
        <v>253</v>
      </c>
      <c r="O26" s="145" t="s">
        <v>227</v>
      </c>
      <c r="P26" t="s">
        <v>227</v>
      </c>
    </row>
    <row r="27" spans="1:16" ht="30" customHeight="1" x14ac:dyDescent="0.25">
      <c r="A27" s="72">
        <v>23</v>
      </c>
      <c r="B27" s="85" t="s">
        <v>41</v>
      </c>
      <c r="C27" s="93" t="s">
        <v>84</v>
      </c>
      <c r="D27" s="93"/>
      <c r="E27" s="93"/>
      <c r="F27" s="93"/>
      <c r="G27" s="85" t="s">
        <v>149</v>
      </c>
      <c r="H27" s="85" t="s">
        <v>68</v>
      </c>
      <c r="I27" s="85">
        <v>1150</v>
      </c>
      <c r="J27" s="75">
        <v>2</v>
      </c>
      <c r="K27" s="85" t="s">
        <v>133</v>
      </c>
      <c r="L27" s="75">
        <v>3</v>
      </c>
      <c r="M27" s="142" t="s">
        <v>131</v>
      </c>
      <c r="N27" s="145" t="s">
        <v>238</v>
      </c>
      <c r="O27" s="145" t="s">
        <v>239</v>
      </c>
      <c r="P27" t="s">
        <v>239</v>
      </c>
    </row>
    <row r="28" spans="1:16" ht="30" customHeight="1" x14ac:dyDescent="0.25">
      <c r="A28" s="72">
        <v>24</v>
      </c>
      <c r="B28" s="85" t="s">
        <v>42</v>
      </c>
      <c r="C28" s="93" t="s">
        <v>66</v>
      </c>
      <c r="D28" s="93"/>
      <c r="E28" s="93"/>
      <c r="F28" s="93"/>
      <c r="G28" s="85" t="s">
        <v>148</v>
      </c>
      <c r="H28" s="85" t="s">
        <v>80</v>
      </c>
      <c r="I28" s="85">
        <v>895</v>
      </c>
      <c r="J28" s="75">
        <v>3</v>
      </c>
      <c r="K28" s="85" t="s">
        <v>130</v>
      </c>
      <c r="L28" s="75">
        <v>12</v>
      </c>
      <c r="M28" s="142" t="s">
        <v>155</v>
      </c>
      <c r="N28" s="145" t="s">
        <v>254</v>
      </c>
      <c r="O28" s="145" t="s">
        <v>221</v>
      </c>
      <c r="P28" t="s">
        <v>221</v>
      </c>
    </row>
    <row r="29" spans="1:16" ht="30" customHeight="1" x14ac:dyDescent="0.25">
      <c r="A29" s="72">
        <v>25</v>
      </c>
      <c r="B29" s="85" t="s">
        <v>43</v>
      </c>
      <c r="C29" s="93" t="s">
        <v>66</v>
      </c>
      <c r="D29" s="93"/>
      <c r="E29" s="93"/>
      <c r="F29" s="93"/>
      <c r="G29" s="85" t="s">
        <v>148</v>
      </c>
      <c r="H29" s="85" t="s">
        <v>68</v>
      </c>
      <c r="I29" s="85">
        <v>895</v>
      </c>
      <c r="J29" s="80">
        <v>12</v>
      </c>
      <c r="K29" s="78" t="s">
        <v>155</v>
      </c>
      <c r="L29" s="75">
        <v>3</v>
      </c>
      <c r="M29" s="142" t="s">
        <v>130</v>
      </c>
      <c r="N29" s="145" t="s">
        <v>234</v>
      </c>
      <c r="O29" s="145" t="s">
        <v>235</v>
      </c>
      <c r="P29" t="s">
        <v>235</v>
      </c>
    </row>
    <row r="30" spans="1:16" ht="30" customHeight="1" x14ac:dyDescent="0.25">
      <c r="A30" s="72">
        <v>26</v>
      </c>
      <c r="B30" s="85" t="s">
        <v>81</v>
      </c>
      <c r="C30" s="93" t="s">
        <v>84</v>
      </c>
      <c r="D30" s="93"/>
      <c r="E30" s="93"/>
      <c r="F30" s="93"/>
      <c r="G30" s="85" t="s">
        <v>149</v>
      </c>
      <c r="H30" s="85" t="s">
        <v>80</v>
      </c>
      <c r="I30" s="85">
        <v>1735</v>
      </c>
      <c r="J30" s="80">
        <v>12</v>
      </c>
      <c r="K30" s="78" t="s">
        <v>151</v>
      </c>
      <c r="L30" s="75">
        <v>3</v>
      </c>
      <c r="M30" s="142" t="s">
        <v>129</v>
      </c>
      <c r="N30" s="145" t="s">
        <v>255</v>
      </c>
      <c r="O30" s="145" t="s">
        <v>229</v>
      </c>
      <c r="P30" t="s">
        <v>229</v>
      </c>
    </row>
    <row r="31" spans="1:16" ht="30" customHeight="1" x14ac:dyDescent="0.25">
      <c r="A31" s="72">
        <v>29</v>
      </c>
      <c r="B31" s="85" t="s">
        <v>44</v>
      </c>
      <c r="C31" s="93" t="s">
        <v>84</v>
      </c>
      <c r="D31" s="93"/>
      <c r="E31" s="93"/>
      <c r="F31" s="93"/>
      <c r="G31" s="85" t="s">
        <v>149</v>
      </c>
      <c r="H31" s="85" t="s">
        <v>77</v>
      </c>
      <c r="I31" s="85">
        <f>1580-20</f>
        <v>1560</v>
      </c>
      <c r="J31" s="75">
        <v>3.5</v>
      </c>
      <c r="K31" s="85" t="s">
        <v>138</v>
      </c>
      <c r="L31" s="75">
        <v>7</v>
      </c>
      <c r="M31" s="142" t="s">
        <v>154</v>
      </c>
      <c r="N31" s="145" t="s">
        <v>256</v>
      </c>
      <c r="O31" s="145" t="s">
        <v>257</v>
      </c>
      <c r="P31" t="s">
        <v>257</v>
      </c>
    </row>
    <row r="32" spans="1:16" ht="30" customHeight="1" x14ac:dyDescent="0.25">
      <c r="A32" s="72">
        <v>30</v>
      </c>
      <c r="B32" s="85" t="s">
        <v>45</v>
      </c>
      <c r="C32" s="93" t="s">
        <v>84</v>
      </c>
      <c r="D32" s="93"/>
      <c r="E32" s="93"/>
      <c r="F32" s="93"/>
      <c r="G32" s="85" t="s">
        <v>149</v>
      </c>
      <c r="H32" s="85" t="s">
        <v>73</v>
      </c>
      <c r="I32" s="85">
        <f>1640-20</f>
        <v>1620</v>
      </c>
      <c r="J32" s="75">
        <v>3.5</v>
      </c>
      <c r="K32" s="85" t="s">
        <v>138</v>
      </c>
      <c r="L32" s="75">
        <v>7</v>
      </c>
      <c r="M32" s="142" t="s">
        <v>153</v>
      </c>
      <c r="N32" s="145" t="s">
        <v>258</v>
      </c>
      <c r="O32" s="145" t="s">
        <v>259</v>
      </c>
      <c r="P32" t="s">
        <v>259</v>
      </c>
    </row>
    <row r="33" spans="1:16" ht="30" customHeight="1" x14ac:dyDescent="0.25">
      <c r="A33" s="72">
        <v>31</v>
      </c>
      <c r="B33" s="85" t="s">
        <v>46</v>
      </c>
      <c r="C33" s="93" t="s">
        <v>84</v>
      </c>
      <c r="D33" s="93"/>
      <c r="E33" s="93"/>
      <c r="F33" s="93"/>
      <c r="G33" s="85" t="s">
        <v>149</v>
      </c>
      <c r="H33" s="85" t="s">
        <v>16</v>
      </c>
      <c r="I33" s="85">
        <f>1020-20</f>
        <v>1000</v>
      </c>
      <c r="J33" s="75">
        <v>3.5</v>
      </c>
      <c r="K33" s="85" t="s">
        <v>138</v>
      </c>
      <c r="L33" s="75">
        <v>7</v>
      </c>
      <c r="M33" s="142" t="s">
        <v>156</v>
      </c>
      <c r="N33" s="145" t="s">
        <v>260</v>
      </c>
      <c r="O33" s="145" t="s">
        <v>261</v>
      </c>
      <c r="P33" t="s">
        <v>261</v>
      </c>
    </row>
    <row r="34" spans="1:16" ht="30" customHeight="1" x14ac:dyDescent="0.25">
      <c r="A34" s="72">
        <v>32</v>
      </c>
      <c r="B34" s="85" t="s">
        <v>47</v>
      </c>
      <c r="C34" s="93" t="s">
        <v>84</v>
      </c>
      <c r="D34" s="93"/>
      <c r="E34" s="93"/>
      <c r="F34" s="93"/>
      <c r="G34" s="85" t="s">
        <v>149</v>
      </c>
      <c r="H34" s="85" t="s">
        <v>16</v>
      </c>
      <c r="I34" s="85">
        <v>1520</v>
      </c>
      <c r="J34" s="80">
        <v>7</v>
      </c>
      <c r="K34" s="77" t="s">
        <v>160</v>
      </c>
      <c r="L34" s="75">
        <v>3</v>
      </c>
      <c r="M34" s="142" t="s">
        <v>131</v>
      </c>
      <c r="N34" s="145" t="s">
        <v>260</v>
      </c>
      <c r="O34" s="145" t="s">
        <v>261</v>
      </c>
      <c r="P34" t="s">
        <v>261</v>
      </c>
    </row>
    <row r="35" spans="1:16" ht="30" customHeight="1" x14ac:dyDescent="0.25">
      <c r="A35" s="72">
        <v>33</v>
      </c>
      <c r="B35" s="85" t="s">
        <v>48</v>
      </c>
      <c r="C35" s="93" t="s">
        <v>84</v>
      </c>
      <c r="D35" s="93"/>
      <c r="E35" s="93"/>
      <c r="F35" s="93"/>
      <c r="G35" s="85" t="s">
        <v>149</v>
      </c>
      <c r="H35" s="85" t="s">
        <v>73</v>
      </c>
      <c r="I35" s="85">
        <v>910</v>
      </c>
      <c r="J35" s="80">
        <v>7</v>
      </c>
      <c r="K35" s="77" t="s">
        <v>161</v>
      </c>
      <c r="L35" s="75">
        <v>3</v>
      </c>
      <c r="M35" s="143" t="s">
        <v>131</v>
      </c>
      <c r="N35" s="145" t="s">
        <v>258</v>
      </c>
      <c r="O35" s="145" t="s">
        <v>259</v>
      </c>
      <c r="P35" t="s">
        <v>259</v>
      </c>
    </row>
    <row r="36" spans="1:16" ht="30" customHeight="1" x14ac:dyDescent="0.25">
      <c r="A36" s="72">
        <v>34</v>
      </c>
      <c r="B36" s="85" t="s">
        <v>49</v>
      </c>
      <c r="C36" s="93" t="s">
        <v>84</v>
      </c>
      <c r="D36" s="93"/>
      <c r="E36" s="93"/>
      <c r="F36" s="93"/>
      <c r="G36" s="85" t="s">
        <v>149</v>
      </c>
      <c r="H36" s="85" t="s">
        <v>77</v>
      </c>
      <c r="I36" s="85">
        <v>980</v>
      </c>
      <c r="J36" s="80">
        <v>7</v>
      </c>
      <c r="K36" s="77" t="s">
        <v>162</v>
      </c>
      <c r="L36" s="75">
        <v>3</v>
      </c>
      <c r="M36" s="142" t="s">
        <v>131</v>
      </c>
      <c r="N36" s="145" t="s">
        <v>256</v>
      </c>
      <c r="O36" s="145" t="s">
        <v>257</v>
      </c>
      <c r="P36" t="s">
        <v>257</v>
      </c>
    </row>
    <row r="37" spans="1:16" ht="30" customHeight="1" x14ac:dyDescent="0.25">
      <c r="A37" s="72">
        <v>35</v>
      </c>
      <c r="B37" s="85" t="s">
        <v>50</v>
      </c>
      <c r="C37" s="93" t="s">
        <v>84</v>
      </c>
      <c r="D37" s="93"/>
      <c r="E37" s="93"/>
      <c r="F37" s="93"/>
      <c r="G37" s="85" t="s">
        <v>149</v>
      </c>
      <c r="H37" s="85" t="s">
        <v>75</v>
      </c>
      <c r="I37" s="85">
        <v>1000</v>
      </c>
      <c r="J37" s="75">
        <v>5</v>
      </c>
      <c r="K37" s="85" t="s">
        <v>137</v>
      </c>
      <c r="L37" s="75">
        <v>2</v>
      </c>
      <c r="M37" s="142" t="s">
        <v>133</v>
      </c>
      <c r="N37" s="145" t="s">
        <v>244</v>
      </c>
      <c r="O37" s="145" t="s">
        <v>245</v>
      </c>
      <c r="P37" t="s">
        <v>245</v>
      </c>
    </row>
    <row r="38" spans="1:16" ht="30" customHeight="1" x14ac:dyDescent="0.25">
      <c r="A38" s="72">
        <v>36</v>
      </c>
      <c r="B38" s="85" t="s">
        <v>51</v>
      </c>
      <c r="C38" s="93" t="s">
        <v>84</v>
      </c>
      <c r="D38" s="93"/>
      <c r="E38" s="93"/>
      <c r="F38" s="93"/>
      <c r="G38" s="85" t="s">
        <v>149</v>
      </c>
      <c r="H38" s="78" t="s">
        <v>158</v>
      </c>
      <c r="I38" s="85">
        <v>1000</v>
      </c>
      <c r="J38" s="75">
        <v>2</v>
      </c>
      <c r="K38" s="85" t="s">
        <v>133</v>
      </c>
      <c r="L38" s="75">
        <v>5</v>
      </c>
      <c r="M38" s="142" t="s">
        <v>137</v>
      </c>
      <c r="N38" s="145" t="s">
        <v>253</v>
      </c>
      <c r="O38" s="145" t="s">
        <v>227</v>
      </c>
      <c r="P38" t="s">
        <v>227</v>
      </c>
    </row>
    <row r="39" spans="1:16" ht="30" customHeight="1" x14ac:dyDescent="0.25">
      <c r="A39" s="72">
        <v>37</v>
      </c>
      <c r="B39" s="85" t="s">
        <v>52</v>
      </c>
      <c r="C39" s="93" t="s">
        <v>84</v>
      </c>
      <c r="D39" s="93"/>
      <c r="E39" s="93"/>
      <c r="F39" s="93"/>
      <c r="G39" s="85" t="s">
        <v>149</v>
      </c>
      <c r="H39" s="85" t="s">
        <v>77</v>
      </c>
      <c r="I39" s="85">
        <v>1270</v>
      </c>
      <c r="J39" s="75">
        <v>3</v>
      </c>
      <c r="K39" s="85" t="s">
        <v>131</v>
      </c>
      <c r="L39" s="75">
        <v>2</v>
      </c>
      <c r="M39" s="142" t="s">
        <v>133</v>
      </c>
      <c r="N39" s="145" t="s">
        <v>256</v>
      </c>
      <c r="O39" s="145" t="s">
        <v>257</v>
      </c>
      <c r="P39" t="s">
        <v>257</v>
      </c>
    </row>
    <row r="40" spans="1:16" ht="30" customHeight="1" x14ac:dyDescent="0.25">
      <c r="A40" s="72">
        <v>38</v>
      </c>
      <c r="B40" s="85" t="s">
        <v>53</v>
      </c>
      <c r="C40" s="93" t="s">
        <v>84</v>
      </c>
      <c r="D40" s="93"/>
      <c r="E40" s="93"/>
      <c r="F40" s="93"/>
      <c r="G40" s="85" t="s">
        <v>149</v>
      </c>
      <c r="H40" s="85" t="s">
        <v>83</v>
      </c>
      <c r="I40" s="85">
        <v>1270</v>
      </c>
      <c r="J40" s="75">
        <v>2</v>
      </c>
      <c r="K40" s="85" t="s">
        <v>133</v>
      </c>
      <c r="L40" s="75">
        <v>3</v>
      </c>
      <c r="M40" s="142" t="s">
        <v>131</v>
      </c>
      <c r="N40" s="145" t="s">
        <v>262</v>
      </c>
      <c r="O40" s="145" t="s">
        <v>223</v>
      </c>
      <c r="P40" t="s">
        <v>223</v>
      </c>
    </row>
    <row r="41" spans="1:16" ht="30" customHeight="1" x14ac:dyDescent="0.25">
      <c r="A41" s="72">
        <v>39</v>
      </c>
      <c r="B41" s="85" t="s">
        <v>65</v>
      </c>
      <c r="C41" s="93" t="s">
        <v>84</v>
      </c>
      <c r="D41" s="93"/>
      <c r="E41" s="93"/>
      <c r="F41" s="93"/>
      <c r="G41" s="85" t="s">
        <v>149</v>
      </c>
      <c r="H41" s="85" t="s">
        <v>76</v>
      </c>
      <c r="I41" s="85">
        <v>1400</v>
      </c>
      <c r="J41" s="75">
        <v>3</v>
      </c>
      <c r="K41" s="85" t="s">
        <v>131</v>
      </c>
      <c r="L41" s="75">
        <v>2</v>
      </c>
      <c r="M41" s="142" t="s">
        <v>133</v>
      </c>
      <c r="N41" s="145" t="s">
        <v>246</v>
      </c>
      <c r="O41" s="145" t="s">
        <v>222</v>
      </c>
      <c r="P41" t="s">
        <v>222</v>
      </c>
    </row>
    <row r="42" spans="1:16" ht="30" customHeight="1" x14ac:dyDescent="0.25">
      <c r="A42" s="72">
        <v>40</v>
      </c>
      <c r="B42" s="85" t="s">
        <v>54</v>
      </c>
      <c r="C42" s="93" t="s">
        <v>84</v>
      </c>
      <c r="D42" s="93"/>
      <c r="E42" s="93"/>
      <c r="F42" s="93"/>
      <c r="G42" s="85" t="s">
        <v>149</v>
      </c>
      <c r="H42" s="85" t="s">
        <v>85</v>
      </c>
      <c r="I42" s="85">
        <v>820</v>
      </c>
      <c r="J42" s="75">
        <v>5</v>
      </c>
      <c r="K42" s="85" t="s">
        <v>139</v>
      </c>
      <c r="L42" s="75">
        <v>2</v>
      </c>
      <c r="M42" s="142" t="s">
        <v>133</v>
      </c>
      <c r="N42" s="145" t="s">
        <v>263</v>
      </c>
      <c r="O42" s="145" t="s">
        <v>282</v>
      </c>
      <c r="P42" t="s">
        <v>228</v>
      </c>
    </row>
    <row r="43" spans="1:16" ht="30" customHeight="1" x14ac:dyDescent="0.25">
      <c r="A43" s="72">
        <v>41</v>
      </c>
      <c r="B43" s="85" t="s">
        <v>55</v>
      </c>
      <c r="C43" s="93" t="s">
        <v>84</v>
      </c>
      <c r="D43" s="93"/>
      <c r="E43" s="93"/>
      <c r="F43" s="93"/>
      <c r="G43" s="85" t="s">
        <v>149</v>
      </c>
      <c r="H43" s="85" t="s">
        <v>86</v>
      </c>
      <c r="I43" s="85">
        <v>820</v>
      </c>
      <c r="J43" s="75">
        <v>2</v>
      </c>
      <c r="K43" s="85" t="s">
        <v>133</v>
      </c>
      <c r="L43" s="75">
        <v>5</v>
      </c>
      <c r="M43" s="142" t="s">
        <v>137</v>
      </c>
      <c r="N43" s="145" t="s">
        <v>264</v>
      </c>
      <c r="O43" s="145" t="s">
        <v>265</v>
      </c>
      <c r="P43" t="s">
        <v>265</v>
      </c>
    </row>
    <row r="44" spans="1:16" ht="30" customHeight="1" x14ac:dyDescent="0.25">
      <c r="A44" s="72">
        <v>42</v>
      </c>
      <c r="B44" s="85" t="s">
        <v>56</v>
      </c>
      <c r="C44" s="93" t="s">
        <v>84</v>
      </c>
      <c r="D44" s="93"/>
      <c r="E44" s="93"/>
      <c r="F44" s="93"/>
      <c r="G44" s="85" t="s">
        <v>149</v>
      </c>
      <c r="H44" s="85" t="s">
        <v>83</v>
      </c>
      <c r="I44" s="85">
        <v>1625</v>
      </c>
      <c r="J44" s="75">
        <v>3</v>
      </c>
      <c r="K44" s="85" t="s">
        <v>140</v>
      </c>
      <c r="L44" s="75">
        <v>2</v>
      </c>
      <c r="M44" s="142" t="s">
        <v>141</v>
      </c>
      <c r="N44" s="145" t="s">
        <v>262</v>
      </c>
      <c r="O44" s="145" t="s">
        <v>223</v>
      </c>
      <c r="P44" t="s">
        <v>223</v>
      </c>
    </row>
    <row r="45" spans="1:16" ht="30" customHeight="1" x14ac:dyDescent="0.25">
      <c r="A45" s="72">
        <v>43</v>
      </c>
      <c r="B45" s="85" t="s">
        <v>57</v>
      </c>
      <c r="C45" s="93" t="s">
        <v>84</v>
      </c>
      <c r="D45" s="93"/>
      <c r="E45" s="93"/>
      <c r="F45" s="93"/>
      <c r="G45" s="85" t="s">
        <v>149</v>
      </c>
      <c r="H45" s="85" t="s">
        <v>87</v>
      </c>
      <c r="I45" s="85">
        <v>1625</v>
      </c>
      <c r="J45" s="75">
        <v>2</v>
      </c>
      <c r="K45" s="85" t="s">
        <v>141</v>
      </c>
      <c r="L45" s="75">
        <v>3</v>
      </c>
      <c r="M45" s="142" t="s">
        <v>140</v>
      </c>
      <c r="N45" s="145" t="s">
        <v>266</v>
      </c>
      <c r="O45" s="145" t="s">
        <v>230</v>
      </c>
      <c r="P45" t="s">
        <v>230</v>
      </c>
    </row>
    <row r="46" spans="1:16" ht="30" customHeight="1" x14ac:dyDescent="0.25">
      <c r="A46" s="72">
        <v>44</v>
      </c>
      <c r="B46" s="85" t="s">
        <v>58</v>
      </c>
      <c r="C46" s="93" t="s">
        <v>84</v>
      </c>
      <c r="D46" s="93"/>
      <c r="E46" s="93"/>
      <c r="F46" s="93"/>
      <c r="G46" s="85" t="s">
        <v>149</v>
      </c>
      <c r="H46" s="85" t="s">
        <v>88</v>
      </c>
      <c r="I46" s="85">
        <v>1625</v>
      </c>
      <c r="J46" s="75">
        <v>2</v>
      </c>
      <c r="K46" s="85" t="s">
        <v>141</v>
      </c>
      <c r="L46" s="75">
        <v>3</v>
      </c>
      <c r="M46" s="142" t="s">
        <v>140</v>
      </c>
      <c r="N46" s="145" t="s">
        <v>267</v>
      </c>
      <c r="O46" s="145" t="s">
        <v>231</v>
      </c>
      <c r="P46" t="s">
        <v>231</v>
      </c>
    </row>
    <row r="47" spans="1:16" ht="30" customHeight="1" x14ac:dyDescent="0.25">
      <c r="A47" s="72">
        <v>45</v>
      </c>
      <c r="B47" s="85" t="s">
        <v>59</v>
      </c>
      <c r="C47" s="93" t="s">
        <v>84</v>
      </c>
      <c r="D47" s="93"/>
      <c r="E47" s="93"/>
      <c r="F47" s="93"/>
      <c r="G47" s="85" t="s">
        <v>149</v>
      </c>
      <c r="H47" s="85" t="s">
        <v>78</v>
      </c>
      <c r="I47" s="85">
        <v>1625</v>
      </c>
      <c r="J47" s="75">
        <v>3</v>
      </c>
      <c r="K47" s="85" t="s">
        <v>140</v>
      </c>
      <c r="L47" s="75">
        <v>2</v>
      </c>
      <c r="M47" s="142" t="s">
        <v>141</v>
      </c>
      <c r="N47" s="145" t="s">
        <v>249</v>
      </c>
      <c r="O47" s="145" t="s">
        <v>226</v>
      </c>
      <c r="P47" t="s">
        <v>226</v>
      </c>
    </row>
    <row r="48" spans="1:16" ht="30" customHeight="1" x14ac:dyDescent="0.25">
      <c r="A48" s="72">
        <v>46</v>
      </c>
      <c r="B48" s="85" t="s">
        <v>60</v>
      </c>
      <c r="C48" s="93" t="s">
        <v>84</v>
      </c>
      <c r="D48" s="93"/>
      <c r="E48" s="93"/>
      <c r="F48" s="93"/>
      <c r="G48" s="85" t="s">
        <v>149</v>
      </c>
      <c r="H48" s="85" t="s">
        <v>89</v>
      </c>
      <c r="I48" s="85">
        <f>385-15</f>
        <v>370</v>
      </c>
      <c r="J48" s="80">
        <v>7</v>
      </c>
      <c r="K48" s="78" t="s">
        <v>169</v>
      </c>
      <c r="L48" s="75">
        <v>3</v>
      </c>
      <c r="M48" s="142" t="s">
        <v>142</v>
      </c>
      <c r="N48" s="145" t="s">
        <v>268</v>
      </c>
      <c r="O48" s="145" t="s">
        <v>269</v>
      </c>
      <c r="P48" t="s">
        <v>269</v>
      </c>
    </row>
    <row r="49" spans="1:16" ht="30" customHeight="1" x14ac:dyDescent="0.25">
      <c r="A49" s="72">
        <v>47</v>
      </c>
      <c r="B49" s="85" t="s">
        <v>90</v>
      </c>
      <c r="C49" s="93" t="s">
        <v>84</v>
      </c>
      <c r="D49" s="93"/>
      <c r="E49" s="93"/>
      <c r="F49" s="93"/>
      <c r="G49" s="85" t="s">
        <v>149</v>
      </c>
      <c r="H49" s="85" t="s">
        <v>73</v>
      </c>
      <c r="I49" s="85">
        <f>920-10</f>
        <v>910</v>
      </c>
      <c r="J49" s="75">
        <v>3</v>
      </c>
      <c r="K49" s="85" t="s">
        <v>142</v>
      </c>
      <c r="L49" s="75">
        <v>2</v>
      </c>
      <c r="M49" s="143" t="s">
        <v>133</v>
      </c>
      <c r="N49" s="145" t="s">
        <v>258</v>
      </c>
      <c r="O49" s="145" t="s">
        <v>259</v>
      </c>
      <c r="P49" t="s">
        <v>259</v>
      </c>
    </row>
    <row r="50" spans="1:16" ht="30" customHeight="1" x14ac:dyDescent="0.25">
      <c r="A50" s="72">
        <v>49</v>
      </c>
      <c r="B50" s="85" t="s">
        <v>61</v>
      </c>
      <c r="C50" s="93" t="s">
        <v>84</v>
      </c>
      <c r="D50" s="93"/>
      <c r="E50" s="93"/>
      <c r="F50" s="93"/>
      <c r="G50" s="85" t="s">
        <v>149</v>
      </c>
      <c r="H50" s="85" t="s">
        <v>16</v>
      </c>
      <c r="I50" s="85">
        <v>820</v>
      </c>
      <c r="J50" s="80">
        <v>7</v>
      </c>
      <c r="K50" s="77" t="s">
        <v>160</v>
      </c>
      <c r="L50" s="75">
        <v>3</v>
      </c>
      <c r="M50" s="143" t="s">
        <v>131</v>
      </c>
      <c r="N50" s="145" t="s">
        <v>260</v>
      </c>
      <c r="O50" s="145" t="s">
        <v>261</v>
      </c>
      <c r="P50" t="s">
        <v>261</v>
      </c>
    </row>
    <row r="51" spans="1:16" ht="30" customHeight="1" x14ac:dyDescent="0.25">
      <c r="A51" s="72">
        <v>50</v>
      </c>
      <c r="B51" s="85" t="s">
        <v>62</v>
      </c>
      <c r="C51" s="93" t="s">
        <v>84</v>
      </c>
      <c r="D51" s="93"/>
      <c r="E51" s="93"/>
      <c r="F51" s="93"/>
      <c r="G51" s="85" t="s">
        <v>149</v>
      </c>
      <c r="H51" s="85" t="s">
        <v>73</v>
      </c>
      <c r="I51" s="85">
        <v>205</v>
      </c>
      <c r="J51" s="80">
        <v>7</v>
      </c>
      <c r="K51" s="77" t="s">
        <v>161</v>
      </c>
      <c r="L51" s="75">
        <v>3</v>
      </c>
      <c r="M51" s="143" t="s">
        <v>131</v>
      </c>
      <c r="N51" s="145" t="s">
        <v>258</v>
      </c>
      <c r="O51" s="145" t="s">
        <v>259</v>
      </c>
      <c r="P51" t="s">
        <v>259</v>
      </c>
    </row>
    <row r="52" spans="1:16" ht="30" customHeight="1" x14ac:dyDescent="0.25">
      <c r="A52" s="72">
        <v>51</v>
      </c>
      <c r="B52" s="85" t="s">
        <v>63</v>
      </c>
      <c r="C52" s="93" t="s">
        <v>84</v>
      </c>
      <c r="D52" s="93"/>
      <c r="E52" s="93"/>
      <c r="F52" s="93"/>
      <c r="G52" s="85" t="s">
        <v>149</v>
      </c>
      <c r="H52" s="85" t="s">
        <v>77</v>
      </c>
      <c r="I52" s="85">
        <v>260</v>
      </c>
      <c r="J52" s="75">
        <v>3</v>
      </c>
      <c r="K52" s="85" t="s">
        <v>131</v>
      </c>
      <c r="L52" s="75">
        <v>7</v>
      </c>
      <c r="M52" s="142" t="s">
        <v>162</v>
      </c>
      <c r="N52" s="145" t="s">
        <v>256</v>
      </c>
      <c r="O52" s="145" t="s">
        <v>257</v>
      </c>
      <c r="P52" t="s">
        <v>257</v>
      </c>
    </row>
    <row r="53" spans="1:16" ht="30" customHeight="1" x14ac:dyDescent="0.25">
      <c r="A53" s="72">
        <v>52</v>
      </c>
      <c r="B53" s="85" t="s">
        <v>64</v>
      </c>
      <c r="C53" s="93" t="s">
        <v>84</v>
      </c>
      <c r="D53" s="93"/>
      <c r="E53" s="93"/>
      <c r="F53" s="93"/>
      <c r="G53" s="85" t="s">
        <v>149</v>
      </c>
      <c r="H53" s="85" t="s">
        <v>77</v>
      </c>
      <c r="I53" s="86">
        <f>2460+40</f>
        <v>2500</v>
      </c>
      <c r="J53" s="75">
        <v>3</v>
      </c>
      <c r="K53" s="85" t="s">
        <v>143</v>
      </c>
      <c r="L53" s="75">
        <v>3</v>
      </c>
      <c r="M53" s="142" t="s">
        <v>133</v>
      </c>
      <c r="N53" s="145" t="s">
        <v>256</v>
      </c>
      <c r="O53" s="145" t="s">
        <v>257</v>
      </c>
      <c r="P53" t="s">
        <v>257</v>
      </c>
    </row>
    <row r="54" spans="1:16" ht="30" customHeight="1" x14ac:dyDescent="0.25">
      <c r="A54" s="72">
        <v>53</v>
      </c>
      <c r="B54" s="85" t="s">
        <v>91</v>
      </c>
      <c r="C54" s="93" t="s">
        <v>84</v>
      </c>
      <c r="D54" s="93"/>
      <c r="E54" s="93"/>
      <c r="F54" s="93"/>
      <c r="G54" s="85" t="s">
        <v>149</v>
      </c>
      <c r="H54" s="85" t="s">
        <v>74</v>
      </c>
      <c r="I54" s="86">
        <f>2460+40</f>
        <v>2500</v>
      </c>
      <c r="J54" s="75">
        <v>3</v>
      </c>
      <c r="K54" s="85" t="s">
        <v>143</v>
      </c>
      <c r="L54" s="75">
        <v>3</v>
      </c>
      <c r="M54" s="142" t="s">
        <v>133</v>
      </c>
      <c r="N54" s="145" t="s">
        <v>242</v>
      </c>
      <c r="O54" s="145" t="s">
        <v>243</v>
      </c>
      <c r="P54" t="s">
        <v>243</v>
      </c>
    </row>
    <row r="55" spans="1:16" ht="30" customHeight="1" x14ac:dyDescent="0.25">
      <c r="A55" s="72">
        <v>54</v>
      </c>
      <c r="B55" s="85" t="s">
        <v>17</v>
      </c>
      <c r="C55" s="93" t="s">
        <v>66</v>
      </c>
      <c r="D55" s="93"/>
      <c r="E55" s="93"/>
      <c r="F55" s="93"/>
      <c r="G55" s="85" t="s">
        <v>148</v>
      </c>
      <c r="H55" s="85" t="s">
        <v>79</v>
      </c>
      <c r="I55" s="85">
        <f>420+10</f>
        <v>430</v>
      </c>
      <c r="J55" s="81">
        <v>4.8</v>
      </c>
      <c r="K55" s="85" t="s">
        <v>135</v>
      </c>
      <c r="L55" s="76">
        <v>11</v>
      </c>
      <c r="M55" s="142" t="s">
        <v>157</v>
      </c>
      <c r="N55" s="145" t="s">
        <v>252</v>
      </c>
      <c r="O55" s="145" t="s">
        <v>220</v>
      </c>
      <c r="P55" t="s">
        <v>220</v>
      </c>
    </row>
    <row r="56" spans="1:16" ht="30" customHeight="1" x14ac:dyDescent="0.25">
      <c r="A56" s="72">
        <v>55</v>
      </c>
      <c r="B56" s="85" t="s">
        <v>92</v>
      </c>
      <c r="C56" s="93" t="s">
        <v>84</v>
      </c>
      <c r="D56" s="93"/>
      <c r="E56" s="93"/>
      <c r="F56" s="93"/>
      <c r="G56" s="85" t="s">
        <v>149</v>
      </c>
      <c r="H56" s="85" t="s">
        <v>89</v>
      </c>
      <c r="I56" s="85">
        <v>1625</v>
      </c>
      <c r="J56" s="75">
        <v>3</v>
      </c>
      <c r="K56" s="85" t="s">
        <v>140</v>
      </c>
      <c r="L56" s="75">
        <v>2</v>
      </c>
      <c r="M56" s="142" t="s">
        <v>141</v>
      </c>
      <c r="N56" s="145" t="s">
        <v>268</v>
      </c>
      <c r="O56" s="145" t="s">
        <v>269</v>
      </c>
      <c r="P56" t="s">
        <v>269</v>
      </c>
    </row>
    <row r="57" spans="1:16" ht="30" customHeight="1" x14ac:dyDescent="0.25">
      <c r="A57" s="72">
        <v>56</v>
      </c>
      <c r="B57" s="85" t="s">
        <v>93</v>
      </c>
      <c r="C57" s="93" t="s">
        <v>71</v>
      </c>
      <c r="D57" s="93"/>
      <c r="E57" s="93"/>
      <c r="F57" s="93"/>
      <c r="G57" s="85" t="s">
        <v>146</v>
      </c>
      <c r="H57" s="85" t="s">
        <v>16</v>
      </c>
      <c r="I57" s="86">
        <f>2160+20</f>
        <v>2180</v>
      </c>
      <c r="J57" s="75">
        <v>3.5</v>
      </c>
      <c r="K57" s="85" t="s">
        <v>144</v>
      </c>
      <c r="L57" s="75">
        <v>3.5</v>
      </c>
      <c r="M57" s="144" t="s">
        <v>132</v>
      </c>
      <c r="N57" s="145" t="s">
        <v>250</v>
      </c>
      <c r="O57" s="145" t="s">
        <v>251</v>
      </c>
      <c r="P57" t="s">
        <v>251</v>
      </c>
    </row>
    <row r="58" spans="1:16" ht="30" customHeight="1" x14ac:dyDescent="0.25">
      <c r="A58" s="72">
        <v>58</v>
      </c>
      <c r="B58" s="85" t="s">
        <v>94</v>
      </c>
      <c r="C58" s="93" t="s">
        <v>71</v>
      </c>
      <c r="D58" s="93"/>
      <c r="E58" s="93"/>
      <c r="F58" s="93"/>
      <c r="G58" s="85" t="s">
        <v>146</v>
      </c>
      <c r="H58" s="85" t="s">
        <v>82</v>
      </c>
      <c r="I58" s="86">
        <f>2160+20</f>
        <v>2180</v>
      </c>
      <c r="J58" s="75">
        <v>3.5</v>
      </c>
      <c r="K58" s="85" t="s">
        <v>144</v>
      </c>
      <c r="L58" s="75">
        <v>3.5</v>
      </c>
      <c r="M58" s="144" t="s">
        <v>132</v>
      </c>
      <c r="N58" s="145" t="s">
        <v>270</v>
      </c>
      <c r="O58" s="145" t="s">
        <v>271</v>
      </c>
      <c r="P58" t="s">
        <v>271</v>
      </c>
    </row>
    <row r="59" spans="1:16" ht="30" customHeight="1" x14ac:dyDescent="0.25">
      <c r="A59" s="72">
        <v>60</v>
      </c>
      <c r="B59" s="85" t="s">
        <v>95</v>
      </c>
      <c r="C59" s="93" t="s">
        <v>84</v>
      </c>
      <c r="D59" s="93"/>
      <c r="E59" s="93"/>
      <c r="F59" s="93"/>
      <c r="G59" s="85" t="s">
        <v>149</v>
      </c>
      <c r="H59" s="85" t="s">
        <v>16</v>
      </c>
      <c r="I59" s="85">
        <v>1625</v>
      </c>
      <c r="J59" s="75">
        <v>3</v>
      </c>
      <c r="K59" s="85" t="s">
        <v>140</v>
      </c>
      <c r="L59" s="75">
        <v>2</v>
      </c>
      <c r="M59" s="142" t="s">
        <v>141</v>
      </c>
      <c r="N59" s="145" t="s">
        <v>260</v>
      </c>
      <c r="O59" s="145" t="s">
        <v>261</v>
      </c>
      <c r="P59" t="s">
        <v>261</v>
      </c>
    </row>
    <row r="60" spans="1:16" ht="30" customHeight="1" x14ac:dyDescent="0.25">
      <c r="A60" s="72">
        <v>61</v>
      </c>
      <c r="B60" s="85" t="s">
        <v>96</v>
      </c>
      <c r="C60" s="93" t="s">
        <v>84</v>
      </c>
      <c r="D60" s="93"/>
      <c r="E60" s="93"/>
      <c r="F60" s="93"/>
      <c r="G60" s="85" t="s">
        <v>149</v>
      </c>
      <c r="H60" s="85" t="s">
        <v>89</v>
      </c>
      <c r="I60" s="85">
        <v>1985</v>
      </c>
      <c r="J60" s="75">
        <v>2</v>
      </c>
      <c r="K60" s="85" t="s">
        <v>133</v>
      </c>
      <c r="L60" s="75">
        <v>7</v>
      </c>
      <c r="M60" s="142" t="s">
        <v>179</v>
      </c>
      <c r="N60" s="145" t="s">
        <v>268</v>
      </c>
      <c r="O60" s="145" t="s">
        <v>269</v>
      </c>
      <c r="P60" t="s">
        <v>269</v>
      </c>
    </row>
    <row r="61" spans="1:16" ht="30" customHeight="1" x14ac:dyDescent="0.25">
      <c r="A61" s="72">
        <v>62</v>
      </c>
      <c r="B61" s="85" t="s">
        <v>97</v>
      </c>
      <c r="C61" s="93" t="s">
        <v>84</v>
      </c>
      <c r="D61" s="93"/>
      <c r="E61" s="93"/>
      <c r="F61" s="93"/>
      <c r="G61" s="85" t="s">
        <v>149</v>
      </c>
      <c r="H61" s="85" t="s">
        <v>82</v>
      </c>
      <c r="I61" s="86">
        <f>945+30</f>
        <v>975</v>
      </c>
      <c r="J61" s="75">
        <v>3</v>
      </c>
      <c r="K61" s="85" t="s">
        <v>131</v>
      </c>
      <c r="L61" s="75">
        <v>3</v>
      </c>
      <c r="M61" s="143" t="s">
        <v>131</v>
      </c>
      <c r="N61" s="145" t="s">
        <v>272</v>
      </c>
      <c r="O61" s="145" t="s">
        <v>273</v>
      </c>
      <c r="P61" t="s">
        <v>273</v>
      </c>
    </row>
    <row r="62" spans="1:16" ht="30" customHeight="1" x14ac:dyDescent="0.25">
      <c r="A62" s="72">
        <v>63</v>
      </c>
      <c r="B62" s="85" t="s">
        <v>98</v>
      </c>
      <c r="C62" s="93" t="s">
        <v>84</v>
      </c>
      <c r="D62" s="93"/>
      <c r="E62" s="93"/>
      <c r="F62" s="93"/>
      <c r="G62" s="85" t="s">
        <v>149</v>
      </c>
      <c r="H62" s="85" t="s">
        <v>89</v>
      </c>
      <c r="I62" s="85">
        <v>2925</v>
      </c>
      <c r="J62" s="75">
        <v>3</v>
      </c>
      <c r="K62" s="85" t="s">
        <v>131</v>
      </c>
      <c r="L62" s="75">
        <v>3</v>
      </c>
      <c r="M62" s="143" t="s">
        <v>142</v>
      </c>
      <c r="N62" s="145" t="s">
        <v>268</v>
      </c>
      <c r="O62" s="145" t="s">
        <v>269</v>
      </c>
      <c r="P62" t="s">
        <v>269</v>
      </c>
    </row>
    <row r="63" spans="1:16" ht="30" customHeight="1" x14ac:dyDescent="0.25">
      <c r="A63" s="72">
        <v>64</v>
      </c>
      <c r="B63" s="85" t="s">
        <v>99</v>
      </c>
      <c r="C63" s="93" t="s">
        <v>84</v>
      </c>
      <c r="D63" s="93"/>
      <c r="E63" s="93"/>
      <c r="F63" s="93"/>
      <c r="G63" s="85" t="s">
        <v>149</v>
      </c>
      <c r="H63" s="85" t="s">
        <v>76</v>
      </c>
      <c r="I63" s="85">
        <v>1780</v>
      </c>
      <c r="J63" s="75">
        <v>3</v>
      </c>
      <c r="K63" s="85" t="s">
        <v>142</v>
      </c>
      <c r="L63" s="75">
        <v>2</v>
      </c>
      <c r="M63" s="143" t="s">
        <v>133</v>
      </c>
      <c r="N63" s="145" t="s">
        <v>246</v>
      </c>
      <c r="O63" s="145" t="s">
        <v>222</v>
      </c>
      <c r="P63" t="s">
        <v>222</v>
      </c>
    </row>
    <row r="64" spans="1:16" ht="30" customHeight="1" x14ac:dyDescent="0.25">
      <c r="A64" s="72">
        <v>65</v>
      </c>
      <c r="B64" s="85" t="s">
        <v>100</v>
      </c>
      <c r="C64" s="93" t="s">
        <v>84</v>
      </c>
      <c r="D64" s="93"/>
      <c r="E64" s="93"/>
      <c r="F64" s="93"/>
      <c r="G64" s="85" t="s">
        <v>184</v>
      </c>
      <c r="H64" s="85" t="s">
        <v>170</v>
      </c>
      <c r="I64" s="82">
        <v>2490</v>
      </c>
      <c r="J64" s="75">
        <v>3.8</v>
      </c>
      <c r="K64" s="85" t="s">
        <v>185</v>
      </c>
      <c r="L64" s="75">
        <v>2</v>
      </c>
      <c r="M64" s="142" t="s">
        <v>133</v>
      </c>
      <c r="N64" s="145" t="s">
        <v>274</v>
      </c>
      <c r="O64" s="145" t="s">
        <v>275</v>
      </c>
      <c r="P64" t="s">
        <v>275</v>
      </c>
    </row>
    <row r="65" spans="1:16" ht="30" customHeight="1" x14ac:dyDescent="0.25">
      <c r="A65" s="72">
        <v>66</v>
      </c>
      <c r="B65" s="85" t="s">
        <v>101</v>
      </c>
      <c r="C65" s="93" t="s">
        <v>84</v>
      </c>
      <c r="D65" s="93"/>
      <c r="E65" s="93"/>
      <c r="F65" s="93"/>
      <c r="G65" s="85" t="s">
        <v>149</v>
      </c>
      <c r="H65" s="85" t="s">
        <v>103</v>
      </c>
      <c r="I65" s="85">
        <v>330</v>
      </c>
      <c r="J65" s="75">
        <v>3</v>
      </c>
      <c r="K65" s="85" t="s">
        <v>131</v>
      </c>
      <c r="L65" s="75">
        <v>7</v>
      </c>
      <c r="M65" s="142" t="s">
        <v>180</v>
      </c>
      <c r="N65" s="145" t="s">
        <v>276</v>
      </c>
      <c r="O65" s="145" t="s">
        <v>224</v>
      </c>
      <c r="P65" t="s">
        <v>224</v>
      </c>
    </row>
    <row r="66" spans="1:16" ht="30" customHeight="1" x14ac:dyDescent="0.25">
      <c r="A66" s="72">
        <v>67</v>
      </c>
      <c r="B66" s="85" t="s">
        <v>102</v>
      </c>
      <c r="C66" s="93" t="s">
        <v>84</v>
      </c>
      <c r="D66" s="93"/>
      <c r="E66" s="93"/>
      <c r="F66" s="93"/>
      <c r="G66" s="85" t="s">
        <v>184</v>
      </c>
      <c r="H66" s="85" t="s">
        <v>89</v>
      </c>
      <c r="I66" s="69">
        <f>3940+20</f>
        <v>3960</v>
      </c>
      <c r="J66" s="80">
        <v>7</v>
      </c>
      <c r="K66" s="77" t="s">
        <v>179</v>
      </c>
      <c r="L66" s="75">
        <v>3.8</v>
      </c>
      <c r="M66" s="142" t="s">
        <v>185</v>
      </c>
      <c r="N66" s="145" t="s">
        <v>268</v>
      </c>
      <c r="O66" s="145" t="s">
        <v>269</v>
      </c>
      <c r="P66" t="s">
        <v>269</v>
      </c>
    </row>
    <row r="67" spans="1:16" ht="30" customHeight="1" x14ac:dyDescent="0.25">
      <c r="A67" s="72">
        <v>68</v>
      </c>
      <c r="B67" s="85" t="s">
        <v>104</v>
      </c>
      <c r="C67" s="93" t="s">
        <v>84</v>
      </c>
      <c r="D67" s="93"/>
      <c r="E67" s="93"/>
      <c r="F67" s="93"/>
      <c r="G67" s="85" t="s">
        <v>149</v>
      </c>
      <c r="H67" s="85" t="s">
        <v>105</v>
      </c>
      <c r="I67" s="86">
        <f>875-20</f>
        <v>855</v>
      </c>
      <c r="J67" s="75">
        <v>3</v>
      </c>
      <c r="K67" s="85" t="s">
        <v>131</v>
      </c>
      <c r="L67" s="75">
        <v>2</v>
      </c>
      <c r="M67" s="142" t="s">
        <v>133</v>
      </c>
      <c r="N67" s="145" t="s">
        <v>277</v>
      </c>
      <c r="O67" s="145" t="s">
        <v>283</v>
      </c>
      <c r="P67" t="s">
        <v>278</v>
      </c>
    </row>
    <row r="68" spans="1:16" ht="30" customHeight="1" x14ac:dyDescent="0.25">
      <c r="A68" s="72">
        <v>69</v>
      </c>
      <c r="B68" s="85" t="s">
        <v>106</v>
      </c>
      <c r="C68" s="93" t="s">
        <v>84</v>
      </c>
      <c r="D68" s="93"/>
      <c r="E68" s="93"/>
      <c r="F68" s="93"/>
      <c r="G68" s="85" t="s">
        <v>149</v>
      </c>
      <c r="H68" s="85" t="s">
        <v>80</v>
      </c>
      <c r="I68" s="86">
        <f>875-20</f>
        <v>855</v>
      </c>
      <c r="J68" s="75">
        <v>2</v>
      </c>
      <c r="K68" s="85" t="s">
        <v>133</v>
      </c>
      <c r="L68" s="75">
        <v>3</v>
      </c>
      <c r="M68" s="142" t="s">
        <v>131</v>
      </c>
      <c r="N68" s="145" t="s">
        <v>255</v>
      </c>
      <c r="O68" s="145" t="s">
        <v>229</v>
      </c>
      <c r="P68" t="s">
        <v>229</v>
      </c>
    </row>
    <row r="69" spans="1:16" ht="30" customHeight="1" x14ac:dyDescent="0.25">
      <c r="A69" s="72">
        <v>70</v>
      </c>
      <c r="B69" s="85" t="s">
        <v>107</v>
      </c>
      <c r="C69" s="93" t="s">
        <v>84</v>
      </c>
      <c r="D69" s="93"/>
      <c r="E69" s="93"/>
      <c r="F69" s="93"/>
      <c r="G69" s="85" t="s">
        <v>149</v>
      </c>
      <c r="H69" s="85" t="s">
        <v>112</v>
      </c>
      <c r="I69" s="86">
        <f>1535+10</f>
        <v>1545</v>
      </c>
      <c r="J69" s="75">
        <v>3</v>
      </c>
      <c r="K69" s="85" t="s">
        <v>131</v>
      </c>
      <c r="L69" s="75">
        <v>2</v>
      </c>
      <c r="M69" s="142" t="s">
        <v>133</v>
      </c>
      <c r="N69" s="145" t="s">
        <v>279</v>
      </c>
      <c r="O69" s="145" t="s">
        <v>225</v>
      </c>
      <c r="P69" t="s">
        <v>225</v>
      </c>
    </row>
    <row r="70" spans="1:16" ht="30" customHeight="1" x14ac:dyDescent="0.25">
      <c r="A70" s="72">
        <v>71</v>
      </c>
      <c r="B70" s="85" t="s">
        <v>108</v>
      </c>
      <c r="C70" s="93" t="s">
        <v>84</v>
      </c>
      <c r="D70" s="93"/>
      <c r="E70" s="93"/>
      <c r="F70" s="93"/>
      <c r="G70" s="85" t="s">
        <v>149</v>
      </c>
      <c r="H70" s="85" t="s">
        <v>70</v>
      </c>
      <c r="I70" s="86">
        <f>1535+10</f>
        <v>1545</v>
      </c>
      <c r="J70" s="75">
        <v>2</v>
      </c>
      <c r="K70" s="85" t="s">
        <v>133</v>
      </c>
      <c r="L70" s="75">
        <v>3</v>
      </c>
      <c r="M70" s="142" t="s">
        <v>131</v>
      </c>
      <c r="N70" s="145" t="s">
        <v>236</v>
      </c>
      <c r="O70" s="145" t="s">
        <v>217</v>
      </c>
      <c r="P70" t="s">
        <v>217</v>
      </c>
    </row>
    <row r="71" spans="1:16" ht="30" customHeight="1" x14ac:dyDescent="0.25">
      <c r="A71" s="72">
        <v>72</v>
      </c>
      <c r="B71" s="85" t="s">
        <v>109</v>
      </c>
      <c r="C71" s="93" t="s">
        <v>84</v>
      </c>
      <c r="D71" s="93"/>
      <c r="E71" s="93"/>
      <c r="F71" s="93"/>
      <c r="G71" s="85" t="s">
        <v>149</v>
      </c>
      <c r="H71" s="85" t="s">
        <v>82</v>
      </c>
      <c r="I71" s="85">
        <f>1835-20</f>
        <v>1815</v>
      </c>
      <c r="J71" s="75">
        <v>3</v>
      </c>
      <c r="K71" s="85" t="s">
        <v>131</v>
      </c>
      <c r="L71" s="75">
        <v>2</v>
      </c>
      <c r="M71" s="142" t="s">
        <v>133</v>
      </c>
      <c r="N71" s="145" t="s">
        <v>272</v>
      </c>
      <c r="O71" s="145" t="s">
        <v>273</v>
      </c>
      <c r="P71" t="s">
        <v>273</v>
      </c>
    </row>
    <row r="72" spans="1:16" ht="30" customHeight="1" x14ac:dyDescent="0.25">
      <c r="A72" s="72">
        <v>73</v>
      </c>
      <c r="B72" s="85" t="s">
        <v>110</v>
      </c>
      <c r="C72" s="93" t="s">
        <v>84</v>
      </c>
      <c r="D72" s="93"/>
      <c r="E72" s="93"/>
      <c r="F72" s="93"/>
      <c r="G72" s="85" t="s">
        <v>149</v>
      </c>
      <c r="H72" s="85" t="s">
        <v>89</v>
      </c>
      <c r="I72" s="85">
        <f>1835-20</f>
        <v>1815</v>
      </c>
      <c r="J72" s="75">
        <v>2</v>
      </c>
      <c r="K72" s="85" t="s">
        <v>133</v>
      </c>
      <c r="L72" s="75">
        <v>3</v>
      </c>
      <c r="M72" s="142" t="s">
        <v>131</v>
      </c>
      <c r="N72" s="145" t="s">
        <v>268</v>
      </c>
      <c r="O72" s="145" t="s">
        <v>269</v>
      </c>
      <c r="P72" t="s">
        <v>269</v>
      </c>
    </row>
    <row r="73" spans="1:16" ht="30" customHeight="1" x14ac:dyDescent="0.25">
      <c r="A73" s="72">
        <v>74</v>
      </c>
      <c r="B73" s="85" t="s">
        <v>111</v>
      </c>
      <c r="C73" s="93" t="s">
        <v>84</v>
      </c>
      <c r="D73" s="93"/>
      <c r="E73" s="93"/>
      <c r="F73" s="93"/>
      <c r="G73" s="85" t="s">
        <v>149</v>
      </c>
      <c r="H73" s="85" t="s">
        <v>73</v>
      </c>
      <c r="I73" s="85">
        <v>1175</v>
      </c>
      <c r="J73" s="75">
        <v>2</v>
      </c>
      <c r="K73" s="78" t="s">
        <v>133</v>
      </c>
      <c r="L73" s="75">
        <v>3</v>
      </c>
      <c r="M73" s="142" t="s">
        <v>131</v>
      </c>
      <c r="N73" s="145" t="s">
        <v>258</v>
      </c>
      <c r="O73" s="145" t="s">
        <v>259</v>
      </c>
      <c r="P73" t="s">
        <v>259</v>
      </c>
    </row>
    <row r="74" spans="1:16" ht="30" customHeight="1" x14ac:dyDescent="0.25">
      <c r="A74" s="72">
        <v>75</v>
      </c>
      <c r="B74" s="85" t="s">
        <v>113</v>
      </c>
      <c r="C74" s="93" t="s">
        <v>84</v>
      </c>
      <c r="D74" s="93"/>
      <c r="E74" s="93"/>
      <c r="F74" s="93"/>
      <c r="G74" s="85" t="s">
        <v>149</v>
      </c>
      <c r="H74" s="78" t="s">
        <v>158</v>
      </c>
      <c r="I74" s="85">
        <f>125+15</f>
        <v>140</v>
      </c>
      <c r="J74" s="80">
        <v>7</v>
      </c>
      <c r="K74" s="78" t="s">
        <v>164</v>
      </c>
      <c r="L74" s="75">
        <v>3</v>
      </c>
      <c r="M74" s="142" t="s">
        <v>131</v>
      </c>
      <c r="N74" s="145" t="s">
        <v>253</v>
      </c>
      <c r="O74" s="145" t="s">
        <v>227</v>
      </c>
      <c r="P74" t="s">
        <v>227</v>
      </c>
    </row>
    <row r="75" spans="1:16" ht="30" customHeight="1" x14ac:dyDescent="0.25">
      <c r="A75" s="72">
        <v>76</v>
      </c>
      <c r="B75" s="85" t="s">
        <v>114</v>
      </c>
      <c r="C75" s="93" t="s">
        <v>84</v>
      </c>
      <c r="D75" s="93"/>
      <c r="E75" s="93"/>
      <c r="F75" s="93"/>
      <c r="G75" s="85" t="s">
        <v>149</v>
      </c>
      <c r="H75" s="78" t="s">
        <v>158</v>
      </c>
      <c r="I75" s="85">
        <v>1030</v>
      </c>
      <c r="J75" s="75">
        <v>2</v>
      </c>
      <c r="K75" s="78" t="s">
        <v>133</v>
      </c>
      <c r="L75" s="75">
        <v>7</v>
      </c>
      <c r="M75" s="142" t="s">
        <v>163</v>
      </c>
      <c r="N75" s="145" t="s">
        <v>253</v>
      </c>
      <c r="O75" s="145" t="s">
        <v>227</v>
      </c>
      <c r="P75" t="s">
        <v>227</v>
      </c>
    </row>
    <row r="76" spans="1:16" ht="30" customHeight="1" x14ac:dyDescent="0.25">
      <c r="A76" s="72">
        <v>77</v>
      </c>
      <c r="B76" s="85" t="s">
        <v>115</v>
      </c>
      <c r="C76" s="93" t="s">
        <v>84</v>
      </c>
      <c r="D76" s="93"/>
      <c r="E76" s="93"/>
      <c r="F76" s="93"/>
      <c r="G76" s="85" t="s">
        <v>149</v>
      </c>
      <c r="H76" s="85" t="s">
        <v>76</v>
      </c>
      <c r="I76" s="85">
        <v>1175</v>
      </c>
      <c r="J76" s="75">
        <v>2</v>
      </c>
      <c r="K76" s="78" t="s">
        <v>133</v>
      </c>
      <c r="L76" s="75">
        <v>3.5</v>
      </c>
      <c r="M76" s="142" t="s">
        <v>131</v>
      </c>
      <c r="N76" s="145" t="s">
        <v>246</v>
      </c>
      <c r="O76" s="145" t="s">
        <v>222</v>
      </c>
      <c r="P76" t="s">
        <v>222</v>
      </c>
    </row>
    <row r="77" spans="1:16" ht="30" customHeight="1" x14ac:dyDescent="0.25">
      <c r="A77" s="72">
        <v>78</v>
      </c>
      <c r="B77" s="85" t="s">
        <v>116</v>
      </c>
      <c r="C77" s="93" t="s">
        <v>84</v>
      </c>
      <c r="D77" s="93"/>
      <c r="E77" s="93"/>
      <c r="F77" s="93"/>
      <c r="G77" s="85" t="s">
        <v>149</v>
      </c>
      <c r="H77" s="85" t="s">
        <v>83</v>
      </c>
      <c r="I77" s="85">
        <f>1030-10</f>
        <v>1020</v>
      </c>
      <c r="J77" s="75">
        <v>3</v>
      </c>
      <c r="K77" s="78" t="s">
        <v>140</v>
      </c>
      <c r="L77" s="75">
        <v>2</v>
      </c>
      <c r="M77" s="142" t="s">
        <v>133</v>
      </c>
      <c r="N77" s="145" t="s">
        <v>262</v>
      </c>
      <c r="O77" s="145" t="s">
        <v>223</v>
      </c>
      <c r="P77" t="s">
        <v>223</v>
      </c>
    </row>
    <row r="78" spans="1:16" ht="30" customHeight="1" x14ac:dyDescent="0.25">
      <c r="A78" s="72">
        <v>79</v>
      </c>
      <c r="B78" s="85" t="s">
        <v>117</v>
      </c>
      <c r="C78" s="93" t="s">
        <v>84</v>
      </c>
      <c r="D78" s="93"/>
      <c r="E78" s="93"/>
      <c r="F78" s="93"/>
      <c r="G78" s="85" t="s">
        <v>149</v>
      </c>
      <c r="H78" s="85" t="s">
        <v>78</v>
      </c>
      <c r="I78" s="85">
        <f>1020-10</f>
        <v>1010</v>
      </c>
      <c r="J78" s="75">
        <v>3</v>
      </c>
      <c r="K78" s="85" t="s">
        <v>140</v>
      </c>
      <c r="L78" s="75">
        <v>2</v>
      </c>
      <c r="M78" s="142" t="s">
        <v>133</v>
      </c>
      <c r="N78" s="145" t="s">
        <v>249</v>
      </c>
      <c r="O78" s="145" t="s">
        <v>226</v>
      </c>
      <c r="P78" t="s">
        <v>226</v>
      </c>
    </row>
    <row r="79" spans="1:16" ht="30" customHeight="1" x14ac:dyDescent="0.25">
      <c r="A79" s="72">
        <v>80</v>
      </c>
      <c r="B79" s="85" t="s">
        <v>118</v>
      </c>
      <c r="C79" s="93" t="s">
        <v>84</v>
      </c>
      <c r="D79" s="93"/>
      <c r="E79" s="93"/>
      <c r="F79" s="93"/>
      <c r="G79" s="85" t="s">
        <v>149</v>
      </c>
      <c r="H79" s="85" t="s">
        <v>87</v>
      </c>
      <c r="I79" s="85">
        <f>1030-10</f>
        <v>1020</v>
      </c>
      <c r="J79" s="75">
        <v>2</v>
      </c>
      <c r="K79" s="78" t="s">
        <v>133</v>
      </c>
      <c r="L79" s="75">
        <v>3</v>
      </c>
      <c r="M79" s="142" t="s">
        <v>140</v>
      </c>
      <c r="N79" s="145" t="s">
        <v>266</v>
      </c>
      <c r="O79" s="145" t="s">
        <v>230</v>
      </c>
      <c r="P79" t="s">
        <v>230</v>
      </c>
    </row>
    <row r="80" spans="1:16" ht="30" customHeight="1" x14ac:dyDescent="0.25">
      <c r="A80" s="72">
        <v>81</v>
      </c>
      <c r="B80" s="85" t="s">
        <v>119</v>
      </c>
      <c r="C80" s="93" t="s">
        <v>84</v>
      </c>
      <c r="D80" s="93"/>
      <c r="E80" s="93"/>
      <c r="F80" s="93"/>
      <c r="G80" s="85" t="s">
        <v>149</v>
      </c>
      <c r="H80" s="85" t="s">
        <v>88</v>
      </c>
      <c r="I80" s="85">
        <f>1030-10</f>
        <v>1020</v>
      </c>
      <c r="J80" s="75">
        <v>3</v>
      </c>
      <c r="K80" s="78" t="s">
        <v>140</v>
      </c>
      <c r="L80" s="75">
        <v>2</v>
      </c>
      <c r="M80" s="142" t="s">
        <v>133</v>
      </c>
      <c r="N80" s="145" t="s">
        <v>267</v>
      </c>
      <c r="O80" s="145" t="s">
        <v>231</v>
      </c>
      <c r="P80" t="s">
        <v>231</v>
      </c>
    </row>
    <row r="81" spans="1:16" ht="30" customHeight="1" x14ac:dyDescent="0.25">
      <c r="A81" s="72">
        <v>82</v>
      </c>
      <c r="B81" s="85" t="s">
        <v>120</v>
      </c>
      <c r="C81" s="93" t="s">
        <v>84</v>
      </c>
      <c r="D81" s="93"/>
      <c r="E81" s="93"/>
      <c r="F81" s="93"/>
      <c r="G81" s="85" t="s">
        <v>149</v>
      </c>
      <c r="H81" s="85" t="s">
        <v>89</v>
      </c>
      <c r="I81" s="85">
        <v>550</v>
      </c>
      <c r="J81" s="75">
        <v>2</v>
      </c>
      <c r="K81" s="85" t="s">
        <v>133</v>
      </c>
      <c r="L81" s="75">
        <v>7</v>
      </c>
      <c r="M81" s="142" t="s">
        <v>165</v>
      </c>
      <c r="N81" s="145" t="s">
        <v>268</v>
      </c>
      <c r="O81" s="145" t="s">
        <v>269</v>
      </c>
      <c r="P81" t="s">
        <v>269</v>
      </c>
    </row>
    <row r="82" spans="1:16" ht="30" customHeight="1" x14ac:dyDescent="0.25">
      <c r="A82" s="72">
        <v>83</v>
      </c>
      <c r="B82" s="85" t="s">
        <v>18</v>
      </c>
      <c r="C82" s="93" t="s">
        <v>84</v>
      </c>
      <c r="D82" s="93"/>
      <c r="E82" s="93"/>
      <c r="F82" s="93"/>
      <c r="G82" s="85" t="s">
        <v>149</v>
      </c>
      <c r="H82" s="85" t="s">
        <v>16</v>
      </c>
      <c r="I82" s="85">
        <f>1000-10</f>
        <v>990</v>
      </c>
      <c r="J82" s="75">
        <v>3</v>
      </c>
      <c r="K82" s="85" t="s">
        <v>140</v>
      </c>
      <c r="L82" s="75">
        <v>2</v>
      </c>
      <c r="M82" s="142" t="s">
        <v>133</v>
      </c>
      <c r="N82" s="145" t="s">
        <v>260</v>
      </c>
      <c r="O82" s="145" t="s">
        <v>261</v>
      </c>
      <c r="P82" t="s">
        <v>261</v>
      </c>
    </row>
    <row r="83" spans="1:16" ht="30" customHeight="1" x14ac:dyDescent="0.25">
      <c r="A83" s="72">
        <v>84</v>
      </c>
      <c r="B83" s="85" t="s">
        <v>19</v>
      </c>
      <c r="C83" s="93" t="s">
        <v>84</v>
      </c>
      <c r="D83" s="93"/>
      <c r="E83" s="93"/>
      <c r="F83" s="93"/>
      <c r="G83" s="85" t="s">
        <v>149</v>
      </c>
      <c r="H83" s="85" t="s">
        <v>89</v>
      </c>
      <c r="I83" s="85">
        <f>450-10</f>
        <v>440</v>
      </c>
      <c r="J83" s="75">
        <v>3</v>
      </c>
      <c r="K83" s="78" t="s">
        <v>140</v>
      </c>
      <c r="L83" s="75">
        <v>7</v>
      </c>
      <c r="M83" s="142" t="s">
        <v>166</v>
      </c>
      <c r="N83" s="145" t="s">
        <v>268</v>
      </c>
      <c r="O83" s="145" t="s">
        <v>269</v>
      </c>
      <c r="P83" t="s">
        <v>269</v>
      </c>
    </row>
    <row r="84" spans="1:16" ht="30" customHeight="1" x14ac:dyDescent="0.25">
      <c r="A84" s="72">
        <v>85</v>
      </c>
      <c r="B84" s="85" t="s">
        <v>20</v>
      </c>
      <c r="C84" s="93" t="s">
        <v>84</v>
      </c>
      <c r="D84" s="93"/>
      <c r="E84" s="93"/>
      <c r="F84" s="93"/>
      <c r="G84" s="85" t="s">
        <v>149</v>
      </c>
      <c r="H84" s="85" t="s">
        <v>75</v>
      </c>
      <c r="I84" s="86">
        <f>945+30</f>
        <v>975</v>
      </c>
      <c r="J84" s="75">
        <v>3</v>
      </c>
      <c r="K84" s="78" t="s">
        <v>131</v>
      </c>
      <c r="L84" s="75">
        <v>3</v>
      </c>
      <c r="M84" s="142" t="s">
        <v>131</v>
      </c>
      <c r="N84" s="145" t="s">
        <v>244</v>
      </c>
      <c r="O84" s="145" t="s">
        <v>245</v>
      </c>
      <c r="P84" t="s">
        <v>245</v>
      </c>
    </row>
    <row r="85" spans="1:16" ht="30" customHeight="1" x14ac:dyDescent="0.25">
      <c r="A85" s="72">
        <v>86</v>
      </c>
      <c r="B85" s="85" t="s">
        <v>21</v>
      </c>
      <c r="C85" s="93" t="s">
        <v>84</v>
      </c>
      <c r="D85" s="93"/>
      <c r="E85" s="93"/>
      <c r="F85" s="93"/>
      <c r="G85" s="85" t="s">
        <v>149</v>
      </c>
      <c r="H85" s="85" t="s">
        <v>88</v>
      </c>
      <c r="I85" s="86">
        <f>945+30</f>
        <v>975</v>
      </c>
      <c r="J85" s="75">
        <v>3</v>
      </c>
      <c r="K85" s="85" t="s">
        <v>131</v>
      </c>
      <c r="L85" s="75">
        <v>3</v>
      </c>
      <c r="M85" s="143" t="s">
        <v>131</v>
      </c>
      <c r="N85" s="145" t="s">
        <v>267</v>
      </c>
      <c r="O85" s="145" t="s">
        <v>231</v>
      </c>
      <c r="P85" t="s">
        <v>231</v>
      </c>
    </row>
    <row r="86" spans="1:16" ht="30" customHeight="1" x14ac:dyDescent="0.25">
      <c r="A86" s="72">
        <v>87</v>
      </c>
      <c r="B86" s="85" t="s">
        <v>121</v>
      </c>
      <c r="C86" s="93" t="s">
        <v>84</v>
      </c>
      <c r="D86" s="93"/>
      <c r="E86" s="93"/>
      <c r="F86" s="93"/>
      <c r="G86" s="85" t="s">
        <v>149</v>
      </c>
      <c r="H86" s="85" t="s">
        <v>77</v>
      </c>
      <c r="I86" s="86">
        <f>945+30</f>
        <v>975</v>
      </c>
      <c r="J86" s="75">
        <v>3</v>
      </c>
      <c r="K86" s="85" t="s">
        <v>131</v>
      </c>
      <c r="L86" s="75">
        <v>3</v>
      </c>
      <c r="M86" s="142" t="s">
        <v>131</v>
      </c>
      <c r="N86" s="145" t="s">
        <v>256</v>
      </c>
      <c r="O86" s="145" t="s">
        <v>257</v>
      </c>
      <c r="P86" t="s">
        <v>257</v>
      </c>
    </row>
    <row r="87" spans="1:16" ht="30" customHeight="1" x14ac:dyDescent="0.25">
      <c r="A87" s="72">
        <v>88</v>
      </c>
      <c r="B87" s="85" t="s">
        <v>122</v>
      </c>
      <c r="C87" s="93" t="s">
        <v>84</v>
      </c>
      <c r="D87" s="93"/>
      <c r="E87" s="93"/>
      <c r="F87" s="93"/>
      <c r="G87" s="85" t="s">
        <v>149</v>
      </c>
      <c r="H87" s="85" t="s">
        <v>68</v>
      </c>
      <c r="I87" s="86">
        <f>1045+10</f>
        <v>1055</v>
      </c>
      <c r="J87" s="75">
        <v>3</v>
      </c>
      <c r="K87" s="85" t="s">
        <v>136</v>
      </c>
      <c r="L87" s="75">
        <v>3</v>
      </c>
      <c r="M87" s="142" t="s">
        <v>136</v>
      </c>
      <c r="N87" s="145" t="s">
        <v>238</v>
      </c>
      <c r="O87" s="145" t="s">
        <v>239</v>
      </c>
      <c r="P87" t="s">
        <v>239</v>
      </c>
    </row>
    <row r="88" spans="1:16" ht="30" customHeight="1" x14ac:dyDescent="0.25">
      <c r="A88" s="72">
        <v>89</v>
      </c>
      <c r="B88" s="85" t="s">
        <v>123</v>
      </c>
      <c r="C88" s="93" t="s">
        <v>84</v>
      </c>
      <c r="D88" s="93"/>
      <c r="E88" s="93"/>
      <c r="F88" s="93"/>
      <c r="G88" s="85" t="s">
        <v>149</v>
      </c>
      <c r="H88" s="85" t="s">
        <v>171</v>
      </c>
      <c r="I88" s="85">
        <v>1715</v>
      </c>
      <c r="J88" s="75">
        <v>3</v>
      </c>
      <c r="K88" s="85" t="s">
        <v>136</v>
      </c>
      <c r="L88" s="75">
        <v>3</v>
      </c>
      <c r="M88" s="142" t="s">
        <v>136</v>
      </c>
      <c r="N88" s="145" t="s">
        <v>274</v>
      </c>
      <c r="O88" s="145" t="s">
        <v>275</v>
      </c>
      <c r="P88" t="s">
        <v>275</v>
      </c>
    </row>
    <row r="89" spans="1:16" ht="30" customHeight="1" x14ac:dyDescent="0.25">
      <c r="A89" s="72">
        <v>92</v>
      </c>
      <c r="B89" s="85" t="s">
        <v>124</v>
      </c>
      <c r="C89" s="93" t="s">
        <v>210</v>
      </c>
      <c r="D89" s="93"/>
      <c r="E89" s="93"/>
      <c r="F89" s="93"/>
      <c r="G89" s="85" t="s">
        <v>211</v>
      </c>
      <c r="H89" s="85" t="s">
        <v>79</v>
      </c>
      <c r="I89" s="85">
        <v>1725</v>
      </c>
      <c r="J89" s="76">
        <v>11</v>
      </c>
      <c r="K89" s="78" t="s">
        <v>168</v>
      </c>
      <c r="L89" s="75">
        <v>4</v>
      </c>
      <c r="M89" s="142" t="s">
        <v>145</v>
      </c>
      <c r="N89" s="145" t="s">
        <v>280</v>
      </c>
      <c r="O89" s="145" t="s">
        <v>219</v>
      </c>
      <c r="P89" t="s">
        <v>219</v>
      </c>
    </row>
    <row r="90" spans="1:16" ht="30" customHeight="1" x14ac:dyDescent="0.25">
      <c r="A90" s="72">
        <v>93</v>
      </c>
      <c r="B90" s="85" t="s">
        <v>125</v>
      </c>
      <c r="C90" s="93" t="s">
        <v>84</v>
      </c>
      <c r="D90" s="93"/>
      <c r="E90" s="93"/>
      <c r="F90" s="93"/>
      <c r="G90" s="85" t="s">
        <v>149</v>
      </c>
      <c r="H90" s="85" t="s">
        <v>68</v>
      </c>
      <c r="I90" s="85">
        <v>545</v>
      </c>
      <c r="J90" s="75">
        <v>3</v>
      </c>
      <c r="K90" s="85" t="s">
        <v>136</v>
      </c>
      <c r="L90" s="75">
        <v>3</v>
      </c>
      <c r="M90" s="142" t="s">
        <v>136</v>
      </c>
      <c r="N90" s="145" t="s">
        <v>238</v>
      </c>
      <c r="O90" s="145" t="s">
        <v>239</v>
      </c>
      <c r="P90" t="s">
        <v>239</v>
      </c>
    </row>
    <row r="91" spans="1:16" ht="30" customHeight="1" x14ac:dyDescent="0.25">
      <c r="A91" s="72">
        <v>94</v>
      </c>
      <c r="B91" s="85" t="s">
        <v>126</v>
      </c>
      <c r="C91" s="93" t="s">
        <v>84</v>
      </c>
      <c r="D91" s="93"/>
      <c r="E91" s="93"/>
      <c r="F91" s="93"/>
      <c r="G91" s="85" t="s">
        <v>149</v>
      </c>
      <c r="H91" s="85" t="s">
        <v>170</v>
      </c>
      <c r="I91" s="85">
        <v>3500</v>
      </c>
      <c r="J91" s="75">
        <v>3</v>
      </c>
      <c r="K91" s="85" t="s">
        <v>136</v>
      </c>
      <c r="L91" s="75">
        <v>3</v>
      </c>
      <c r="M91" s="142" t="s">
        <v>136</v>
      </c>
      <c r="N91" s="145" t="s">
        <v>274</v>
      </c>
      <c r="O91" s="145" t="s">
        <v>275</v>
      </c>
      <c r="P91" t="s">
        <v>275</v>
      </c>
    </row>
    <row r="92" spans="1:16" ht="30" customHeight="1" x14ac:dyDescent="0.25">
      <c r="A92" s="72">
        <v>95</v>
      </c>
      <c r="B92" s="85" t="s">
        <v>127</v>
      </c>
      <c r="C92" s="93" t="s">
        <v>84</v>
      </c>
      <c r="D92" s="93"/>
      <c r="E92" s="93"/>
      <c r="F92" s="93"/>
      <c r="G92" s="85" t="s">
        <v>149</v>
      </c>
      <c r="H92" s="85" t="s">
        <v>68</v>
      </c>
      <c r="I92" s="85">
        <v>685</v>
      </c>
      <c r="J92" s="75">
        <v>3</v>
      </c>
      <c r="K92" s="85" t="s">
        <v>136</v>
      </c>
      <c r="L92" s="75">
        <v>3</v>
      </c>
      <c r="M92" s="142" t="s">
        <v>136</v>
      </c>
      <c r="N92" s="145" t="s">
        <v>238</v>
      </c>
      <c r="O92" s="145" t="s">
        <v>239</v>
      </c>
      <c r="P92" t="s">
        <v>239</v>
      </c>
    </row>
    <row r="93" spans="1:16" ht="30" customHeight="1" x14ac:dyDescent="0.25">
      <c r="A93" s="72">
        <v>96</v>
      </c>
      <c r="B93" s="85" t="s">
        <v>128</v>
      </c>
      <c r="C93" s="93" t="s">
        <v>84</v>
      </c>
      <c r="D93" s="93"/>
      <c r="E93" s="93"/>
      <c r="F93" s="93"/>
      <c r="G93" s="85" t="s">
        <v>149</v>
      </c>
      <c r="H93" s="85" t="s">
        <v>171</v>
      </c>
      <c r="I93" s="85">
        <v>2885</v>
      </c>
      <c r="J93" s="75">
        <v>3</v>
      </c>
      <c r="K93" s="85" t="s">
        <v>136</v>
      </c>
      <c r="L93" s="75">
        <v>3</v>
      </c>
      <c r="M93" s="142" t="s">
        <v>133</v>
      </c>
      <c r="N93" s="145" t="s">
        <v>274</v>
      </c>
      <c r="O93" s="145" t="s">
        <v>275</v>
      </c>
      <c r="P93" t="s">
        <v>275</v>
      </c>
    </row>
  </sheetData>
  <autoFilter ref="A6:P6">
    <filterColumn colId="2" showButton="0"/>
    <filterColumn colId="3" showButton="0"/>
    <filterColumn colId="4" showButton="0"/>
  </autoFilter>
  <mergeCells count="99">
    <mergeCell ref="C93:F93"/>
    <mergeCell ref="C87:F87"/>
    <mergeCell ref="C88:F88"/>
    <mergeCell ref="C89:F89"/>
    <mergeCell ref="C90:F90"/>
    <mergeCell ref="C91:F91"/>
    <mergeCell ref="C92:F92"/>
    <mergeCell ref="C86:F86"/>
    <mergeCell ref="C75:F75"/>
    <mergeCell ref="C76:F76"/>
    <mergeCell ref="C77:F77"/>
    <mergeCell ref="C78:F78"/>
    <mergeCell ref="C79:F79"/>
    <mergeCell ref="C80:F80"/>
    <mergeCell ref="C81:F81"/>
    <mergeCell ref="C82:F82"/>
    <mergeCell ref="C83:F83"/>
    <mergeCell ref="C84:F84"/>
    <mergeCell ref="C85:F85"/>
    <mergeCell ref="C74:F74"/>
    <mergeCell ref="C63:F63"/>
    <mergeCell ref="C64:F64"/>
    <mergeCell ref="C65:F65"/>
    <mergeCell ref="C66:F66"/>
    <mergeCell ref="C67:F67"/>
    <mergeCell ref="C68:F68"/>
    <mergeCell ref="C69:F69"/>
    <mergeCell ref="C70:F70"/>
    <mergeCell ref="C71:F71"/>
    <mergeCell ref="C72:F72"/>
    <mergeCell ref="C73:F73"/>
    <mergeCell ref="C62:F62"/>
    <mergeCell ref="C51:F51"/>
    <mergeCell ref="C52:F52"/>
    <mergeCell ref="C53:F53"/>
    <mergeCell ref="C54:F54"/>
    <mergeCell ref="C55:F55"/>
    <mergeCell ref="C56:F56"/>
    <mergeCell ref="C57:F57"/>
    <mergeCell ref="C58:F58"/>
    <mergeCell ref="C59:F59"/>
    <mergeCell ref="C60:F60"/>
    <mergeCell ref="C61:F61"/>
    <mergeCell ref="C50:F50"/>
    <mergeCell ref="C39:F39"/>
    <mergeCell ref="C40:F40"/>
    <mergeCell ref="C41:F41"/>
    <mergeCell ref="C42:F42"/>
    <mergeCell ref="C43:F43"/>
    <mergeCell ref="C44:F44"/>
    <mergeCell ref="C45:F45"/>
    <mergeCell ref="C46:F46"/>
    <mergeCell ref="C47:F47"/>
    <mergeCell ref="C48:F48"/>
    <mergeCell ref="C49:F49"/>
    <mergeCell ref="C38:F38"/>
    <mergeCell ref="C27:F27"/>
    <mergeCell ref="C28:F28"/>
    <mergeCell ref="C29:F29"/>
    <mergeCell ref="C30:F30"/>
    <mergeCell ref="C31:F31"/>
    <mergeCell ref="C32:F32"/>
    <mergeCell ref="C33:F33"/>
    <mergeCell ref="C34:F34"/>
    <mergeCell ref="C35:F35"/>
    <mergeCell ref="C36:F36"/>
    <mergeCell ref="C37:F37"/>
    <mergeCell ref="C26:F26"/>
    <mergeCell ref="C15:F15"/>
    <mergeCell ref="C16:F16"/>
    <mergeCell ref="C17:F17"/>
    <mergeCell ref="C18:F18"/>
    <mergeCell ref="C19:F19"/>
    <mergeCell ref="C20:F20"/>
    <mergeCell ref="C21:F21"/>
    <mergeCell ref="C22:F22"/>
    <mergeCell ref="C23:F23"/>
    <mergeCell ref="C24:F24"/>
    <mergeCell ref="C25:F25"/>
    <mergeCell ref="C14:F14"/>
    <mergeCell ref="A5:F5"/>
    <mergeCell ref="J5:K5"/>
    <mergeCell ref="L5:M5"/>
    <mergeCell ref="C6:F6"/>
    <mergeCell ref="C7:F7"/>
    <mergeCell ref="C8:F8"/>
    <mergeCell ref="C9:F9"/>
    <mergeCell ref="C10:F10"/>
    <mergeCell ref="C11:F11"/>
    <mergeCell ref="C12:F12"/>
    <mergeCell ref="C13:F13"/>
    <mergeCell ref="A4:F4"/>
    <mergeCell ref="J4:K4"/>
    <mergeCell ref="L4:M4"/>
    <mergeCell ref="A1:M1"/>
    <mergeCell ref="A2:M2"/>
    <mergeCell ref="A3:F3"/>
    <mergeCell ref="J3:K3"/>
    <mergeCell ref="L3:M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00B050"/>
  </sheetPr>
  <dimension ref="A1:I56"/>
  <sheetViews>
    <sheetView zoomScale="90" zoomScaleNormal="90" workbookViewId="0">
      <pane ySplit="1125" topLeftCell="A10" activePane="bottomLeft"/>
      <selection pane="bottomLeft" activeCell="G17" sqref="G17:G20"/>
    </sheetView>
  </sheetViews>
  <sheetFormatPr defaultRowHeight="15" x14ac:dyDescent="0.25"/>
  <cols>
    <col min="1" max="1" width="8.85546875" bestFit="1" customWidth="1"/>
    <col min="2" max="2" width="33.7109375" customWidth="1"/>
    <col min="3" max="3" width="28.140625" customWidth="1"/>
    <col min="4" max="4" width="16.7109375" customWidth="1"/>
    <col min="5" max="5" width="43.85546875" customWidth="1"/>
    <col min="6" max="6" width="19.85546875" customWidth="1"/>
    <col min="7" max="7" width="17.5703125" bestFit="1" customWidth="1"/>
    <col min="8" max="8" width="22.140625" customWidth="1"/>
    <col min="9" max="9" width="26.5703125" customWidth="1"/>
  </cols>
  <sheetData>
    <row r="1" spans="1:9" ht="27.75" customHeight="1" thickBot="1" x14ac:dyDescent="0.4">
      <c r="A1" s="120" t="s">
        <v>181</v>
      </c>
      <c r="B1" s="121"/>
      <c r="C1" s="121"/>
      <c r="D1" s="121"/>
      <c r="E1" s="121"/>
      <c r="F1" s="121"/>
      <c r="G1" s="121"/>
      <c r="H1" s="121"/>
      <c r="I1" s="122"/>
    </row>
    <row r="2" spans="1:9" ht="21" customHeight="1" x14ac:dyDescent="0.35">
      <c r="A2" s="34" t="s">
        <v>190</v>
      </c>
      <c r="B2" s="35" t="s">
        <v>191</v>
      </c>
      <c r="C2" s="35" t="s">
        <v>192</v>
      </c>
      <c r="D2" s="35" t="s">
        <v>193</v>
      </c>
      <c r="E2" s="35" t="s">
        <v>194</v>
      </c>
      <c r="F2" s="35" t="s">
        <v>195</v>
      </c>
      <c r="G2" s="35" t="s">
        <v>196</v>
      </c>
      <c r="H2" s="35" t="s">
        <v>183</v>
      </c>
      <c r="I2" s="36" t="s">
        <v>197</v>
      </c>
    </row>
    <row r="3" spans="1:9" ht="21" customHeight="1" x14ac:dyDescent="0.25">
      <c r="A3" s="26">
        <v>1</v>
      </c>
      <c r="B3" s="74" t="s">
        <v>25</v>
      </c>
      <c r="C3" s="27"/>
      <c r="D3" s="27"/>
      <c r="E3" s="27"/>
      <c r="F3" s="27"/>
      <c r="G3" s="71">
        <f>945+30</f>
        <v>975</v>
      </c>
      <c r="H3" s="28"/>
      <c r="I3" s="29"/>
    </row>
    <row r="4" spans="1:9" ht="21" customHeight="1" x14ac:dyDescent="0.25">
      <c r="A4" s="26">
        <v>2</v>
      </c>
      <c r="B4" s="74" t="s">
        <v>31</v>
      </c>
      <c r="C4" s="27"/>
      <c r="D4" s="27"/>
      <c r="E4" s="27"/>
      <c r="F4" s="27"/>
      <c r="G4" s="71">
        <f>1465+10</f>
        <v>1475</v>
      </c>
      <c r="H4" s="28"/>
      <c r="I4" s="29"/>
    </row>
    <row r="5" spans="1:9" ht="21" customHeight="1" x14ac:dyDescent="0.25">
      <c r="A5" s="26">
        <v>3</v>
      </c>
      <c r="B5" s="74" t="s">
        <v>32</v>
      </c>
      <c r="C5" s="27"/>
      <c r="D5" s="27"/>
      <c r="E5" s="27"/>
      <c r="F5" s="27"/>
      <c r="G5" s="71">
        <f>3075+10</f>
        <v>3085</v>
      </c>
      <c r="H5" s="28"/>
      <c r="I5" s="29"/>
    </row>
    <row r="6" spans="1:9" ht="21" customHeight="1" x14ac:dyDescent="0.25">
      <c r="A6" s="26">
        <v>4</v>
      </c>
      <c r="B6" s="74" t="s">
        <v>34</v>
      </c>
      <c r="C6" s="27"/>
      <c r="D6" s="27"/>
      <c r="E6" s="27"/>
      <c r="F6" s="27"/>
      <c r="G6" s="71">
        <f>1145+10</f>
        <v>1155</v>
      </c>
      <c r="H6" s="28"/>
      <c r="I6" s="29"/>
    </row>
    <row r="7" spans="1:9" ht="21" customHeight="1" x14ac:dyDescent="0.25">
      <c r="A7" s="26">
        <v>5</v>
      </c>
      <c r="B7" s="74" t="s">
        <v>64</v>
      </c>
      <c r="C7" s="27"/>
      <c r="D7" s="27"/>
      <c r="E7" s="27"/>
      <c r="F7" s="27"/>
      <c r="G7" s="71">
        <f>2460+40</f>
        <v>2500</v>
      </c>
      <c r="H7" s="28"/>
      <c r="I7" s="29"/>
    </row>
    <row r="8" spans="1:9" ht="21" customHeight="1" x14ac:dyDescent="0.25">
      <c r="A8" s="26">
        <v>6</v>
      </c>
      <c r="B8" s="74" t="s">
        <v>91</v>
      </c>
      <c r="C8" s="27"/>
      <c r="D8" s="27"/>
      <c r="E8" s="27"/>
      <c r="F8" s="27"/>
      <c r="G8" s="71">
        <f>2460+40</f>
        <v>2500</v>
      </c>
      <c r="H8" s="28"/>
      <c r="I8" s="29"/>
    </row>
    <row r="9" spans="1:9" ht="21" customHeight="1" x14ac:dyDescent="0.25">
      <c r="A9" s="26">
        <v>7</v>
      </c>
      <c r="B9" s="74" t="s">
        <v>93</v>
      </c>
      <c r="C9" s="21" t="s">
        <v>132</v>
      </c>
      <c r="D9" s="27"/>
      <c r="E9" s="27"/>
      <c r="F9" s="27"/>
      <c r="G9" s="71">
        <f>2160+20</f>
        <v>2180</v>
      </c>
      <c r="H9" s="28"/>
      <c r="I9" s="29"/>
    </row>
    <row r="10" spans="1:9" ht="18" customHeight="1" x14ac:dyDescent="0.25">
      <c r="A10" s="26">
        <v>8</v>
      </c>
      <c r="B10" s="74" t="s">
        <v>94</v>
      </c>
      <c r="C10" s="21" t="s">
        <v>132</v>
      </c>
      <c r="D10" s="23"/>
      <c r="E10" s="23"/>
      <c r="F10" s="30"/>
      <c r="G10" s="71">
        <f>2160+20</f>
        <v>2180</v>
      </c>
      <c r="H10" s="31"/>
      <c r="I10" s="32"/>
    </row>
    <row r="11" spans="1:9" ht="18.75" x14ac:dyDescent="0.25">
      <c r="A11" s="26">
        <v>9</v>
      </c>
      <c r="B11" s="74" t="s">
        <v>97</v>
      </c>
      <c r="C11" s="23"/>
      <c r="D11" s="23"/>
      <c r="E11" s="23"/>
      <c r="F11" s="30"/>
      <c r="G11" s="71">
        <f>945+30</f>
        <v>975</v>
      </c>
      <c r="H11" s="31"/>
      <c r="I11" s="32"/>
    </row>
    <row r="12" spans="1:9" ht="18" customHeight="1" x14ac:dyDescent="0.25">
      <c r="A12" s="26">
        <v>10</v>
      </c>
      <c r="B12" s="74" t="s">
        <v>102</v>
      </c>
      <c r="C12" s="23"/>
      <c r="D12" s="23"/>
      <c r="E12" s="23"/>
      <c r="F12" s="30"/>
      <c r="G12" s="69">
        <f>3940+20</f>
        <v>3960</v>
      </c>
      <c r="H12" s="31"/>
      <c r="I12" s="32"/>
    </row>
    <row r="13" spans="1:9" ht="18" customHeight="1" x14ac:dyDescent="0.25">
      <c r="A13" s="26">
        <v>11</v>
      </c>
      <c r="B13" s="74" t="s">
        <v>104</v>
      </c>
      <c r="C13" s="23"/>
      <c r="D13" s="23"/>
      <c r="E13" s="33"/>
      <c r="F13" s="33"/>
      <c r="G13" s="71">
        <f>875-20</f>
        <v>855</v>
      </c>
      <c r="H13" s="31"/>
      <c r="I13" s="32"/>
    </row>
    <row r="14" spans="1:9" ht="18" customHeight="1" x14ac:dyDescent="0.25">
      <c r="A14" s="26">
        <v>12</v>
      </c>
      <c r="B14" s="74" t="s">
        <v>106</v>
      </c>
      <c r="C14" s="23"/>
      <c r="D14" s="23"/>
      <c r="E14" s="33"/>
      <c r="F14" s="33"/>
      <c r="G14" s="71">
        <f>875-20</f>
        <v>855</v>
      </c>
      <c r="H14" s="31"/>
      <c r="I14" s="32"/>
    </row>
    <row r="15" spans="1:9" ht="18" customHeight="1" x14ac:dyDescent="0.25">
      <c r="A15" s="26">
        <v>13</v>
      </c>
      <c r="B15" s="74" t="s">
        <v>107</v>
      </c>
      <c r="C15" s="23"/>
      <c r="D15" s="23"/>
      <c r="E15" s="33"/>
      <c r="F15" s="33"/>
      <c r="G15" s="71">
        <f>1535+10</f>
        <v>1545</v>
      </c>
      <c r="H15" s="31"/>
      <c r="I15" s="32"/>
    </row>
    <row r="16" spans="1:9" ht="18" customHeight="1" x14ac:dyDescent="0.25">
      <c r="A16" s="26">
        <v>14</v>
      </c>
      <c r="B16" s="74" t="s">
        <v>108</v>
      </c>
      <c r="C16" s="23"/>
      <c r="D16" s="23"/>
      <c r="E16" s="33"/>
      <c r="F16" s="33"/>
      <c r="G16" s="71">
        <f>1535+10</f>
        <v>1545</v>
      </c>
      <c r="H16" s="31"/>
      <c r="I16" s="32"/>
    </row>
    <row r="17" spans="1:9" ht="18" customHeight="1" x14ac:dyDescent="0.25">
      <c r="A17" s="26">
        <v>15</v>
      </c>
      <c r="B17" s="74" t="s">
        <v>20</v>
      </c>
      <c r="C17" s="23"/>
      <c r="D17" s="23"/>
      <c r="E17" s="33"/>
      <c r="F17" s="33"/>
      <c r="G17" s="71">
        <f>945+30</f>
        <v>975</v>
      </c>
      <c r="H17" s="31"/>
      <c r="I17" s="32"/>
    </row>
    <row r="18" spans="1:9" ht="18" customHeight="1" x14ac:dyDescent="0.25">
      <c r="A18" s="26">
        <v>16</v>
      </c>
      <c r="B18" s="74" t="s">
        <v>21</v>
      </c>
      <c r="C18" s="23"/>
      <c r="D18" s="23"/>
      <c r="E18" s="33"/>
      <c r="F18" s="33"/>
      <c r="G18" s="71">
        <f>945+30</f>
        <v>975</v>
      </c>
      <c r="H18" s="31"/>
      <c r="I18" s="32"/>
    </row>
    <row r="19" spans="1:9" ht="18" customHeight="1" x14ac:dyDescent="0.25">
      <c r="A19" s="26">
        <v>17</v>
      </c>
      <c r="B19" s="74" t="s">
        <v>121</v>
      </c>
      <c r="C19" s="23"/>
      <c r="D19" s="23"/>
      <c r="E19" s="33"/>
      <c r="F19" s="33"/>
      <c r="G19" s="71">
        <f>945+30</f>
        <v>975</v>
      </c>
      <c r="H19" s="31"/>
      <c r="I19" s="32"/>
    </row>
    <row r="20" spans="1:9" ht="18" customHeight="1" x14ac:dyDescent="0.25">
      <c r="A20" s="26">
        <v>18</v>
      </c>
      <c r="B20" s="74" t="s">
        <v>122</v>
      </c>
      <c r="C20" s="23"/>
      <c r="D20" s="23"/>
      <c r="E20" s="33"/>
      <c r="F20" s="33"/>
      <c r="G20" s="71">
        <f>1045+10</f>
        <v>1055</v>
      </c>
      <c r="H20" s="31"/>
      <c r="I20" s="32"/>
    </row>
    <row r="21" spans="1:9" ht="18" customHeight="1" x14ac:dyDescent="0.35">
      <c r="A21" s="26">
        <v>19</v>
      </c>
      <c r="B21" s="23"/>
      <c r="C21" s="23"/>
      <c r="D21" s="23"/>
      <c r="E21" s="33"/>
      <c r="F21" s="33"/>
      <c r="G21" s="33"/>
      <c r="H21" s="31"/>
      <c r="I21" s="32"/>
    </row>
    <row r="22" spans="1:9" ht="18" customHeight="1" x14ac:dyDescent="0.35">
      <c r="A22" s="26">
        <v>20</v>
      </c>
      <c r="B22" s="23"/>
      <c r="C22" s="23"/>
      <c r="D22" s="23"/>
      <c r="E22" s="33"/>
      <c r="F22" s="33"/>
      <c r="G22" s="33"/>
      <c r="H22" s="31"/>
      <c r="I22" s="32"/>
    </row>
    <row r="23" spans="1:9" ht="18" customHeight="1" x14ac:dyDescent="0.35">
      <c r="A23" s="26">
        <v>21</v>
      </c>
      <c r="B23" s="23"/>
      <c r="C23" s="23"/>
      <c r="D23" s="23"/>
      <c r="E23" s="33"/>
      <c r="F23" s="33"/>
      <c r="G23" s="33"/>
      <c r="H23" s="31"/>
      <c r="I23" s="32"/>
    </row>
    <row r="24" spans="1:9" ht="18" customHeight="1" x14ac:dyDescent="0.35">
      <c r="A24" s="26">
        <v>22</v>
      </c>
      <c r="B24" s="23"/>
      <c r="C24" s="23"/>
      <c r="D24" s="23"/>
      <c r="E24" s="33"/>
      <c r="F24" s="33"/>
      <c r="G24" s="33"/>
      <c r="H24" s="31"/>
      <c r="I24" s="32"/>
    </row>
    <row r="25" spans="1:9" ht="18" customHeight="1" x14ac:dyDescent="0.35">
      <c r="A25" s="26">
        <v>23</v>
      </c>
      <c r="B25" s="23"/>
      <c r="C25" s="23"/>
      <c r="D25" s="23"/>
      <c r="E25" s="33"/>
      <c r="F25" s="33"/>
      <c r="G25" s="33"/>
      <c r="H25" s="31"/>
      <c r="I25" s="32"/>
    </row>
    <row r="26" spans="1:9" ht="18" customHeight="1" x14ac:dyDescent="0.25">
      <c r="A26" s="26">
        <v>24</v>
      </c>
      <c r="B26" s="23"/>
      <c r="C26" s="23"/>
      <c r="D26" s="23"/>
      <c r="E26" s="33"/>
      <c r="F26" s="33"/>
      <c r="G26" s="33"/>
      <c r="H26" s="31"/>
      <c r="I26" s="32"/>
    </row>
    <row r="27" spans="1:9" ht="18" customHeight="1" x14ac:dyDescent="0.25">
      <c r="A27" s="26">
        <v>25</v>
      </c>
      <c r="B27" s="23"/>
      <c r="C27" s="23"/>
      <c r="D27" s="23"/>
      <c r="E27" s="33"/>
      <c r="F27" s="33"/>
      <c r="G27" s="33"/>
      <c r="H27" s="31"/>
      <c r="I27" s="32"/>
    </row>
    <row r="28" spans="1:9" ht="18" customHeight="1" x14ac:dyDescent="0.25">
      <c r="A28" s="26">
        <v>26</v>
      </c>
      <c r="B28" s="23"/>
      <c r="C28" s="23"/>
      <c r="D28" s="23"/>
      <c r="E28" s="33"/>
      <c r="F28" s="33"/>
      <c r="G28" s="33"/>
      <c r="H28" s="31"/>
      <c r="I28" s="32"/>
    </row>
    <row r="29" spans="1:9" ht="18" customHeight="1" x14ac:dyDescent="0.25">
      <c r="A29" s="26">
        <v>27</v>
      </c>
      <c r="B29" s="23"/>
      <c r="C29" s="23"/>
      <c r="D29" s="23"/>
      <c r="E29" s="33"/>
      <c r="F29" s="33"/>
      <c r="G29" s="33"/>
      <c r="H29" s="31"/>
      <c r="I29" s="32"/>
    </row>
    <row r="30" spans="1:9" ht="18" customHeight="1" x14ac:dyDescent="0.25">
      <c r="A30" s="26">
        <v>28</v>
      </c>
      <c r="B30" s="23"/>
      <c r="C30" s="23"/>
      <c r="D30" s="23"/>
      <c r="E30" s="33"/>
      <c r="F30" s="33"/>
      <c r="G30" s="33"/>
      <c r="H30" s="31"/>
      <c r="I30" s="32"/>
    </row>
    <row r="31" spans="1:9" ht="18" customHeight="1" x14ac:dyDescent="0.25">
      <c r="A31" s="26">
        <v>29</v>
      </c>
      <c r="B31" s="23"/>
      <c r="C31" s="23"/>
      <c r="D31" s="23"/>
      <c r="E31" s="33"/>
      <c r="F31" s="33"/>
      <c r="G31" s="33"/>
      <c r="H31" s="31"/>
      <c r="I31" s="32"/>
    </row>
    <row r="32" spans="1:9" ht="18" customHeight="1" x14ac:dyDescent="0.25">
      <c r="A32" s="26">
        <v>30</v>
      </c>
      <c r="B32" s="23"/>
      <c r="C32" s="23"/>
      <c r="D32" s="23"/>
      <c r="E32" s="33"/>
      <c r="F32" s="33"/>
      <c r="G32" s="33"/>
      <c r="H32" s="31"/>
      <c r="I32" s="32"/>
    </row>
    <row r="33" spans="1:9" ht="18" customHeight="1" x14ac:dyDescent="0.25">
      <c r="A33" s="26">
        <v>31</v>
      </c>
      <c r="B33" s="23"/>
      <c r="C33" s="23"/>
      <c r="D33" s="23"/>
      <c r="E33" s="33"/>
      <c r="F33" s="33"/>
      <c r="G33" s="33"/>
      <c r="H33" s="31"/>
      <c r="I33" s="32"/>
    </row>
    <row r="34" spans="1:9" ht="18" customHeight="1" x14ac:dyDescent="0.25">
      <c r="A34" s="26">
        <v>32</v>
      </c>
      <c r="B34" s="23"/>
      <c r="C34" s="23"/>
      <c r="D34" s="23"/>
      <c r="E34" s="33"/>
      <c r="F34" s="33"/>
      <c r="G34" s="33"/>
      <c r="H34" s="31"/>
      <c r="I34" s="32"/>
    </row>
    <row r="35" spans="1:9" ht="18" customHeight="1" x14ac:dyDescent="0.25">
      <c r="A35" s="37">
        <v>33</v>
      </c>
      <c r="B35" s="38"/>
      <c r="C35" s="38"/>
      <c r="D35" s="38"/>
      <c r="E35" s="38"/>
      <c r="F35" s="42"/>
      <c r="G35" s="42"/>
      <c r="H35" s="40"/>
      <c r="I35" s="41"/>
    </row>
    <row r="36" spans="1:9" ht="15.75" x14ac:dyDescent="0.25">
      <c r="A36" s="37">
        <v>34</v>
      </c>
      <c r="B36" s="43"/>
      <c r="C36" s="38"/>
      <c r="D36" s="38"/>
      <c r="E36" s="38"/>
      <c r="F36" s="42"/>
      <c r="G36" s="42"/>
      <c r="H36" s="40"/>
      <c r="I36" s="41"/>
    </row>
    <row r="37" spans="1:9" ht="18" customHeight="1" x14ac:dyDescent="0.25">
      <c r="A37" s="37">
        <v>35</v>
      </c>
      <c r="B37" s="38"/>
      <c r="C37" s="38"/>
      <c r="D37" s="38"/>
      <c r="E37" s="38"/>
      <c r="F37" s="42"/>
      <c r="G37" s="42"/>
      <c r="H37" s="40"/>
      <c r="I37" s="41"/>
    </row>
    <row r="38" spans="1:9" ht="18" customHeight="1" x14ac:dyDescent="0.25">
      <c r="A38" s="37">
        <v>36</v>
      </c>
      <c r="B38" s="38"/>
      <c r="C38" s="38"/>
      <c r="D38" s="38"/>
      <c r="E38" s="39"/>
      <c r="F38" s="39"/>
      <c r="G38" s="39"/>
      <c r="H38" s="40"/>
      <c r="I38" s="41"/>
    </row>
    <row r="39" spans="1:9" ht="18" customHeight="1" x14ac:dyDescent="0.25">
      <c r="A39" s="37">
        <v>37</v>
      </c>
      <c r="B39" s="38"/>
      <c r="C39" s="38"/>
      <c r="D39" s="38"/>
      <c r="E39" s="39"/>
      <c r="F39" s="39"/>
      <c r="G39" s="39"/>
      <c r="H39" s="40"/>
      <c r="I39" s="41"/>
    </row>
    <row r="40" spans="1:9" ht="18" customHeight="1" x14ac:dyDescent="0.25">
      <c r="A40" s="37">
        <v>38</v>
      </c>
      <c r="B40" s="38"/>
      <c r="C40" s="38"/>
      <c r="D40" s="38"/>
      <c r="E40" s="39"/>
      <c r="F40" s="39"/>
      <c r="G40" s="39"/>
      <c r="H40" s="40"/>
      <c r="I40" s="41"/>
    </row>
    <row r="41" spans="1:9" ht="18" customHeight="1" x14ac:dyDescent="0.25">
      <c r="A41" s="37">
        <v>39</v>
      </c>
      <c r="B41" s="38"/>
      <c r="C41" s="38"/>
      <c r="D41" s="38"/>
      <c r="E41" s="39"/>
      <c r="F41" s="39"/>
      <c r="G41" s="39"/>
      <c r="H41" s="40"/>
      <c r="I41" s="41"/>
    </row>
    <row r="42" spans="1:9" ht="18" customHeight="1" x14ac:dyDescent="0.25">
      <c r="A42" s="37">
        <v>40</v>
      </c>
      <c r="B42" s="38"/>
      <c r="C42" s="38"/>
      <c r="D42" s="38"/>
      <c r="E42" s="39"/>
      <c r="F42" s="39"/>
      <c r="G42" s="39"/>
      <c r="H42" s="40"/>
      <c r="I42" s="41"/>
    </row>
    <row r="43" spans="1:9" ht="18" customHeight="1" x14ac:dyDescent="0.25">
      <c r="A43" s="37">
        <v>41</v>
      </c>
      <c r="B43" s="38"/>
      <c r="C43" s="38"/>
      <c r="D43" s="38"/>
      <c r="E43" s="39"/>
      <c r="F43" s="39"/>
      <c r="G43" s="39"/>
      <c r="H43" s="40"/>
      <c r="I43" s="41"/>
    </row>
    <row r="44" spans="1:9" ht="18" customHeight="1" x14ac:dyDescent="0.25">
      <c r="A44" s="37">
        <v>42</v>
      </c>
      <c r="B44" s="38"/>
      <c r="C44" s="38"/>
      <c r="D44" s="38"/>
      <c r="E44" s="39"/>
      <c r="F44" s="39"/>
      <c r="G44" s="39"/>
      <c r="H44" s="40"/>
      <c r="I44" s="41"/>
    </row>
    <row r="45" spans="1:9" ht="18" customHeight="1" x14ac:dyDescent="0.25">
      <c r="A45" s="37">
        <v>43</v>
      </c>
      <c r="B45" s="38"/>
      <c r="C45" s="38"/>
      <c r="D45" s="38"/>
      <c r="E45" s="39"/>
      <c r="F45" s="39"/>
      <c r="G45" s="39"/>
      <c r="H45" s="40"/>
      <c r="I45" s="41"/>
    </row>
    <row r="46" spans="1:9" ht="18" customHeight="1" x14ac:dyDescent="0.25">
      <c r="A46" s="37">
        <v>44</v>
      </c>
      <c r="B46" s="38"/>
      <c r="C46" s="38"/>
      <c r="D46" s="38"/>
      <c r="E46" s="39"/>
      <c r="F46" s="39"/>
      <c r="G46" s="39"/>
      <c r="H46" s="40"/>
      <c r="I46" s="41"/>
    </row>
    <row r="47" spans="1:9" ht="18" customHeight="1" x14ac:dyDescent="0.25">
      <c r="A47" s="37">
        <v>45</v>
      </c>
      <c r="B47" s="38"/>
      <c r="C47" s="38"/>
      <c r="D47" s="38"/>
      <c r="E47" s="39"/>
      <c r="F47" s="39"/>
      <c r="G47" s="39"/>
      <c r="H47" s="40"/>
      <c r="I47" s="41"/>
    </row>
    <row r="48" spans="1:9" ht="18" customHeight="1" x14ac:dyDescent="0.25">
      <c r="A48" s="37">
        <v>46</v>
      </c>
      <c r="B48" s="38"/>
      <c r="C48" s="38"/>
      <c r="D48" s="38"/>
      <c r="E48" s="39"/>
      <c r="F48" s="39"/>
      <c r="G48" s="39"/>
      <c r="H48" s="40"/>
      <c r="I48" s="41"/>
    </row>
    <row r="49" spans="1:9" ht="18" customHeight="1" x14ac:dyDescent="0.25">
      <c r="A49" s="37">
        <v>47</v>
      </c>
      <c r="B49" s="44"/>
      <c r="C49" s="44"/>
      <c r="D49" s="44"/>
      <c r="E49" s="45"/>
      <c r="F49" s="45"/>
      <c r="G49" s="45"/>
      <c r="H49" s="46"/>
      <c r="I49" s="41"/>
    </row>
    <row r="50" spans="1:9" ht="15.75" x14ac:dyDescent="0.25">
      <c r="A50" s="37">
        <v>48</v>
      </c>
      <c r="B50" s="47"/>
      <c r="C50" s="47"/>
      <c r="D50" s="47"/>
      <c r="E50" s="47"/>
      <c r="F50" s="47"/>
      <c r="G50" s="47"/>
      <c r="H50" s="48"/>
      <c r="I50" s="47"/>
    </row>
    <row r="51" spans="1:9" ht="15.75" x14ac:dyDescent="0.25">
      <c r="A51" s="47">
        <v>49</v>
      </c>
      <c r="B51" s="38"/>
      <c r="C51" s="49"/>
      <c r="D51" s="38"/>
      <c r="E51" s="39"/>
      <c r="F51" s="39"/>
      <c r="G51" s="38"/>
      <c r="H51" s="48"/>
      <c r="I51" s="47"/>
    </row>
    <row r="52" spans="1:9" ht="15.75" x14ac:dyDescent="0.25">
      <c r="B52" s="38"/>
      <c r="C52" s="49"/>
      <c r="D52" s="38"/>
      <c r="E52" s="39"/>
      <c r="F52" s="39"/>
      <c r="G52" s="49"/>
      <c r="H52" s="52"/>
      <c r="I52" s="47"/>
    </row>
    <row r="53" spans="1:9" ht="15.75" x14ac:dyDescent="0.25">
      <c r="B53" s="38"/>
      <c r="C53" s="53"/>
      <c r="D53" s="123"/>
      <c r="E53" s="39"/>
      <c r="F53" s="53"/>
      <c r="G53" s="53"/>
      <c r="H53" s="54"/>
      <c r="I53" s="47"/>
    </row>
    <row r="54" spans="1:9" x14ac:dyDescent="0.25">
      <c r="B54" s="53"/>
      <c r="C54" s="53"/>
      <c r="D54" s="124"/>
      <c r="E54" s="53"/>
      <c r="F54" s="53"/>
      <c r="G54" s="53"/>
      <c r="H54" s="54"/>
      <c r="I54" s="53"/>
    </row>
    <row r="55" spans="1:9" x14ac:dyDescent="0.25">
      <c r="B55" s="53"/>
      <c r="C55" s="53"/>
      <c r="D55" s="53"/>
      <c r="E55" s="53"/>
      <c r="F55" s="53"/>
      <c r="G55" s="53"/>
      <c r="H55" s="53"/>
      <c r="I55" s="53"/>
    </row>
    <row r="56" spans="1:9" x14ac:dyDescent="0.25">
      <c r="B56" s="55"/>
      <c r="C56" s="55"/>
      <c r="D56" s="55"/>
      <c r="E56" s="55"/>
      <c r="F56" s="55"/>
      <c r="G56" s="55"/>
      <c r="H56" s="55"/>
      <c r="I56" s="55"/>
    </row>
  </sheetData>
  <mergeCells count="2">
    <mergeCell ref="A1:I1"/>
    <mergeCell ref="D53:D5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FF0000"/>
  </sheetPr>
  <dimension ref="A1:O108"/>
  <sheetViews>
    <sheetView view="pageBreakPreview" zoomScale="70" zoomScaleNormal="70" zoomScaleSheetLayoutView="70" workbookViewId="0">
      <selection activeCell="H20" sqref="H20"/>
    </sheetView>
  </sheetViews>
  <sheetFormatPr defaultRowHeight="15" x14ac:dyDescent="0.25"/>
  <cols>
    <col min="1" max="1" width="1" customWidth="1"/>
    <col min="2" max="2" width="6.42578125" customWidth="1"/>
    <col min="3" max="3" width="9" customWidth="1"/>
    <col min="4" max="6" width="4.140625" customWidth="1"/>
    <col min="7" max="7" width="12.28515625" customWidth="1"/>
    <col min="8" max="8" width="26" customWidth="1"/>
    <col min="9" max="9" width="30" customWidth="1"/>
    <col min="10" max="10" width="20.5703125" customWidth="1"/>
    <col min="11" max="11" width="15.85546875" customWidth="1"/>
    <col min="12" max="12" width="27.140625" customWidth="1"/>
    <col min="13" max="13" width="15.140625" customWidth="1"/>
    <col min="14" max="14" width="27.42578125" customWidth="1"/>
    <col min="15" max="15" width="23" hidden="1" customWidth="1"/>
  </cols>
  <sheetData>
    <row r="1" spans="1:14" ht="55.5" customHeight="1" x14ac:dyDescent="0.35">
      <c r="B1" s="108" t="s">
        <v>0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10"/>
    </row>
    <row r="2" spans="1:14" ht="28.35" customHeight="1" x14ac:dyDescent="0.35">
      <c r="B2" s="111" t="s">
        <v>1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3"/>
    </row>
    <row r="3" spans="1:14" ht="15.95" customHeight="1" x14ac:dyDescent="0.35">
      <c r="B3" s="101" t="s">
        <v>2</v>
      </c>
      <c r="C3" s="102"/>
      <c r="D3" s="102"/>
      <c r="E3" s="102"/>
      <c r="F3" s="102"/>
      <c r="G3" s="102"/>
      <c r="H3" s="10" t="s">
        <v>209</v>
      </c>
      <c r="I3" s="8" t="s">
        <v>172</v>
      </c>
      <c r="J3" s="16" t="s">
        <v>187</v>
      </c>
      <c r="K3" s="114" t="s">
        <v>173</v>
      </c>
      <c r="L3" s="115"/>
      <c r="M3" s="114" t="s">
        <v>174</v>
      </c>
      <c r="N3" s="116"/>
    </row>
    <row r="4" spans="1:14" ht="21" customHeight="1" x14ac:dyDescent="0.35">
      <c r="B4" s="101" t="s">
        <v>3</v>
      </c>
      <c r="C4" s="102"/>
      <c r="D4" s="102"/>
      <c r="E4" s="102"/>
      <c r="F4" s="102"/>
      <c r="G4" s="102"/>
      <c r="H4" s="16" t="s">
        <v>4</v>
      </c>
      <c r="I4" s="9" t="s">
        <v>175</v>
      </c>
      <c r="J4" s="10">
        <v>6</v>
      </c>
      <c r="K4" s="117" t="s">
        <v>176</v>
      </c>
      <c r="L4" s="118"/>
      <c r="M4" s="102" t="s">
        <v>178</v>
      </c>
      <c r="N4" s="119"/>
    </row>
    <row r="5" spans="1:14" ht="21" customHeight="1" x14ac:dyDescent="0.35">
      <c r="B5" s="101" t="s">
        <v>5</v>
      </c>
      <c r="C5" s="102"/>
      <c r="D5" s="102"/>
      <c r="E5" s="102"/>
      <c r="F5" s="102"/>
      <c r="G5" s="102"/>
      <c r="H5" s="16" t="s">
        <v>15</v>
      </c>
      <c r="I5" s="9" t="s">
        <v>177</v>
      </c>
      <c r="J5" s="19">
        <v>45938</v>
      </c>
      <c r="K5" s="103" t="s">
        <v>6</v>
      </c>
      <c r="L5" s="104"/>
      <c r="M5" s="105" t="s">
        <v>7</v>
      </c>
      <c r="N5" s="106"/>
    </row>
    <row r="6" spans="1:14" ht="56.25" customHeight="1" x14ac:dyDescent="0.25">
      <c r="B6" s="7" t="s">
        <v>147</v>
      </c>
      <c r="C6" s="5" t="s">
        <v>8</v>
      </c>
      <c r="D6" s="107" t="s">
        <v>9</v>
      </c>
      <c r="E6" s="107"/>
      <c r="F6" s="107"/>
      <c r="G6" s="107"/>
      <c r="H6" s="2" t="s">
        <v>10</v>
      </c>
      <c r="I6" s="17" t="s">
        <v>11</v>
      </c>
      <c r="J6" s="2" t="s">
        <v>12</v>
      </c>
      <c r="K6" s="2" t="s">
        <v>13</v>
      </c>
      <c r="L6" s="2" t="s">
        <v>14</v>
      </c>
      <c r="M6" s="2" t="s">
        <v>13</v>
      </c>
      <c r="N6" s="6" t="s">
        <v>14</v>
      </c>
    </row>
    <row r="7" spans="1:14" ht="35.1" customHeight="1" x14ac:dyDescent="0.25">
      <c r="B7" s="11">
        <v>1</v>
      </c>
      <c r="C7" s="18" t="s">
        <v>22</v>
      </c>
      <c r="D7" s="133" t="s">
        <v>66</v>
      </c>
      <c r="E7" s="133"/>
      <c r="F7" s="133"/>
      <c r="G7" s="133"/>
      <c r="H7" s="18" t="s">
        <v>148</v>
      </c>
      <c r="I7" s="18" t="s">
        <v>16</v>
      </c>
      <c r="J7" s="18">
        <v>1220</v>
      </c>
      <c r="K7" s="12">
        <v>5</v>
      </c>
      <c r="L7" s="18" t="s">
        <v>67</v>
      </c>
      <c r="M7" s="50">
        <v>10</v>
      </c>
      <c r="N7" s="13" t="s">
        <v>150</v>
      </c>
    </row>
    <row r="8" spans="1:14" ht="35.1" customHeight="1" x14ac:dyDescent="0.25">
      <c r="B8" s="11">
        <v>2</v>
      </c>
      <c r="C8" s="18" t="s">
        <v>23</v>
      </c>
      <c r="D8" s="133" t="s">
        <v>66</v>
      </c>
      <c r="E8" s="133"/>
      <c r="F8" s="133"/>
      <c r="G8" s="133"/>
      <c r="H8" s="18" t="s">
        <v>148</v>
      </c>
      <c r="I8" s="18" t="s">
        <v>68</v>
      </c>
      <c r="J8" s="18">
        <v>830</v>
      </c>
      <c r="K8" s="50">
        <v>12</v>
      </c>
      <c r="L8" s="14" t="s">
        <v>151</v>
      </c>
      <c r="M8" s="12">
        <v>5</v>
      </c>
      <c r="N8" s="15" t="s">
        <v>67</v>
      </c>
    </row>
    <row r="9" spans="1:14" ht="35.1" customHeight="1" x14ac:dyDescent="0.25">
      <c r="B9" s="11">
        <v>3</v>
      </c>
      <c r="C9" s="18" t="s">
        <v>69</v>
      </c>
      <c r="D9" s="133" t="s">
        <v>84</v>
      </c>
      <c r="E9" s="133"/>
      <c r="F9" s="133"/>
      <c r="G9" s="133"/>
      <c r="H9" s="18" t="s">
        <v>149</v>
      </c>
      <c r="I9" s="18" t="s">
        <v>70</v>
      </c>
      <c r="J9" s="18">
        <v>1725</v>
      </c>
      <c r="K9" s="50">
        <v>12</v>
      </c>
      <c r="L9" s="14" t="s">
        <v>151</v>
      </c>
      <c r="M9" s="12">
        <v>3.5</v>
      </c>
      <c r="N9" s="15" t="s">
        <v>129</v>
      </c>
    </row>
    <row r="10" spans="1:14" ht="35.1" customHeight="1" x14ac:dyDescent="0.25">
      <c r="B10" s="11">
        <v>5</v>
      </c>
      <c r="C10" s="18" t="s">
        <v>24</v>
      </c>
      <c r="D10" s="133" t="s">
        <v>66</v>
      </c>
      <c r="E10" s="133"/>
      <c r="F10" s="133"/>
      <c r="G10" s="133"/>
      <c r="H10" s="18" t="s">
        <v>148</v>
      </c>
      <c r="I10" s="18" t="s">
        <v>72</v>
      </c>
      <c r="J10" s="18">
        <v>490</v>
      </c>
      <c r="K10" s="12">
        <v>3</v>
      </c>
      <c r="L10" s="18" t="s">
        <v>130</v>
      </c>
      <c r="M10" s="51">
        <v>10</v>
      </c>
      <c r="N10" s="13" t="s">
        <v>167</v>
      </c>
    </row>
    <row r="11" spans="1:14" ht="35.1" customHeight="1" x14ac:dyDescent="0.35">
      <c r="B11" s="11">
        <v>6</v>
      </c>
      <c r="C11" s="20" t="s">
        <v>25</v>
      </c>
      <c r="D11" s="136" t="s">
        <v>84</v>
      </c>
      <c r="E11" s="136"/>
      <c r="F11" s="136"/>
      <c r="G11" s="136"/>
      <c r="H11" s="20" t="s">
        <v>149</v>
      </c>
      <c r="I11" s="20" t="s">
        <v>68</v>
      </c>
      <c r="J11" s="20">
        <v>945</v>
      </c>
      <c r="K11" s="22">
        <v>3</v>
      </c>
      <c r="L11" s="20" t="s">
        <v>131</v>
      </c>
      <c r="M11" s="22">
        <v>3</v>
      </c>
      <c r="N11" s="21" t="s">
        <v>131</v>
      </c>
    </row>
    <row r="12" spans="1:14" ht="35.1" customHeight="1" x14ac:dyDescent="0.25">
      <c r="B12" s="11">
        <v>7</v>
      </c>
      <c r="C12" s="58" t="s">
        <v>26</v>
      </c>
      <c r="D12" s="140" t="s">
        <v>71</v>
      </c>
      <c r="E12" s="140"/>
      <c r="F12" s="140"/>
      <c r="G12" s="140"/>
      <c r="H12" s="58" t="s">
        <v>146</v>
      </c>
      <c r="I12" s="58" t="s">
        <v>73</v>
      </c>
      <c r="J12" s="58">
        <f>1390-20</f>
        <v>1370</v>
      </c>
      <c r="K12" s="59">
        <v>3.2</v>
      </c>
      <c r="L12" s="58" t="s">
        <v>132</v>
      </c>
      <c r="M12" s="59">
        <v>7</v>
      </c>
      <c r="N12" s="60" t="s">
        <v>153</v>
      </c>
    </row>
    <row r="13" spans="1:14" ht="35.1" customHeight="1" x14ac:dyDescent="0.35">
      <c r="B13" s="11">
        <v>9</v>
      </c>
      <c r="C13" s="58" t="s">
        <v>27</v>
      </c>
      <c r="D13" s="140" t="s">
        <v>84</v>
      </c>
      <c r="E13" s="140"/>
      <c r="F13" s="140"/>
      <c r="G13" s="140"/>
      <c r="H13" s="58" t="s">
        <v>149</v>
      </c>
      <c r="I13" s="58" t="s">
        <v>74</v>
      </c>
      <c r="J13" s="58">
        <v>1400</v>
      </c>
      <c r="K13" s="59">
        <v>3</v>
      </c>
      <c r="L13" s="58" t="s">
        <v>131</v>
      </c>
      <c r="M13" s="59">
        <v>2</v>
      </c>
      <c r="N13" s="60" t="s">
        <v>133</v>
      </c>
    </row>
    <row r="14" spans="1:14" ht="35.1" customHeight="1" x14ac:dyDescent="0.35">
      <c r="A14" s="4"/>
      <c r="B14" s="11">
        <v>10</v>
      </c>
      <c r="C14" s="58" t="s">
        <v>28</v>
      </c>
      <c r="D14" s="140" t="s">
        <v>84</v>
      </c>
      <c r="E14" s="140"/>
      <c r="F14" s="140"/>
      <c r="G14" s="140"/>
      <c r="H14" s="58" t="s">
        <v>149</v>
      </c>
      <c r="I14" s="58" t="s">
        <v>75</v>
      </c>
      <c r="J14" s="58">
        <v>1155</v>
      </c>
      <c r="K14" s="59">
        <v>3</v>
      </c>
      <c r="L14" s="58" t="s">
        <v>133</v>
      </c>
      <c r="M14" s="59">
        <v>3</v>
      </c>
      <c r="N14" s="61" t="s">
        <v>131</v>
      </c>
    </row>
    <row r="15" spans="1:14" ht="35.1" customHeight="1" x14ac:dyDescent="0.35">
      <c r="B15" s="11">
        <v>11</v>
      </c>
      <c r="C15" s="58" t="s">
        <v>29</v>
      </c>
      <c r="D15" s="140" t="s">
        <v>66</v>
      </c>
      <c r="E15" s="140"/>
      <c r="F15" s="140"/>
      <c r="G15" s="140"/>
      <c r="H15" s="58" t="s">
        <v>148</v>
      </c>
      <c r="I15" s="58" t="s">
        <v>72</v>
      </c>
      <c r="J15" s="58">
        <f>1205+10</f>
        <v>1215</v>
      </c>
      <c r="K15" s="59">
        <v>3</v>
      </c>
      <c r="L15" s="58" t="s">
        <v>134</v>
      </c>
      <c r="M15" s="59">
        <v>5</v>
      </c>
      <c r="N15" s="61" t="s">
        <v>135</v>
      </c>
    </row>
    <row r="16" spans="1:14" ht="35.1" customHeight="1" x14ac:dyDescent="0.25">
      <c r="B16" s="11">
        <v>12</v>
      </c>
      <c r="C16" s="58" t="s">
        <v>30</v>
      </c>
      <c r="D16" s="140" t="s">
        <v>84</v>
      </c>
      <c r="E16" s="140"/>
      <c r="F16" s="140"/>
      <c r="G16" s="140"/>
      <c r="H16" s="58" t="s">
        <v>149</v>
      </c>
      <c r="I16" s="58" t="s">
        <v>70</v>
      </c>
      <c r="J16" s="58">
        <v>1400</v>
      </c>
      <c r="K16" s="59">
        <v>3</v>
      </c>
      <c r="L16" s="58" t="s">
        <v>133</v>
      </c>
      <c r="M16" s="59">
        <v>3</v>
      </c>
      <c r="N16" s="60" t="s">
        <v>131</v>
      </c>
    </row>
    <row r="17" spans="1:15" ht="35.1" customHeight="1" x14ac:dyDescent="0.25">
      <c r="B17" s="11">
        <v>13</v>
      </c>
      <c r="C17" s="58" t="s">
        <v>31</v>
      </c>
      <c r="D17" s="140" t="s">
        <v>84</v>
      </c>
      <c r="E17" s="140"/>
      <c r="F17" s="140"/>
      <c r="G17" s="140"/>
      <c r="H17" s="58" t="s">
        <v>149</v>
      </c>
      <c r="I17" s="58" t="s">
        <v>76</v>
      </c>
      <c r="J17" s="58">
        <f>1480-15</f>
        <v>1465</v>
      </c>
      <c r="K17" s="59">
        <v>3</v>
      </c>
      <c r="L17" s="58" t="s">
        <v>136</v>
      </c>
      <c r="M17" s="59">
        <v>2</v>
      </c>
      <c r="N17" s="61" t="s">
        <v>133</v>
      </c>
    </row>
    <row r="18" spans="1:15" ht="49.5" customHeight="1" x14ac:dyDescent="0.25">
      <c r="B18" s="11">
        <v>14</v>
      </c>
      <c r="C18" s="20" t="s">
        <v>32</v>
      </c>
      <c r="D18" s="136" t="s">
        <v>84</v>
      </c>
      <c r="E18" s="136"/>
      <c r="F18" s="136"/>
      <c r="G18" s="136"/>
      <c r="H18" s="20" t="s">
        <v>149</v>
      </c>
      <c r="I18" s="20" t="s">
        <v>70</v>
      </c>
      <c r="J18" s="20">
        <v>3075</v>
      </c>
      <c r="K18" s="22">
        <v>3</v>
      </c>
      <c r="L18" s="20" t="s">
        <v>136</v>
      </c>
      <c r="M18" s="22">
        <v>3</v>
      </c>
      <c r="N18" s="67" t="s">
        <v>136</v>
      </c>
      <c r="O18" s="4"/>
    </row>
    <row r="19" spans="1:15" ht="35.1" customHeight="1" x14ac:dyDescent="0.25">
      <c r="B19" s="11">
        <v>15</v>
      </c>
      <c r="C19" s="58" t="s">
        <v>33</v>
      </c>
      <c r="D19" s="140" t="s">
        <v>71</v>
      </c>
      <c r="E19" s="140"/>
      <c r="F19" s="140"/>
      <c r="G19" s="140"/>
      <c r="H19" s="58" t="s">
        <v>146</v>
      </c>
      <c r="I19" s="58" t="s">
        <v>77</v>
      </c>
      <c r="J19" s="58">
        <f>1340-20</f>
        <v>1320</v>
      </c>
      <c r="K19" s="59">
        <v>3.2</v>
      </c>
      <c r="L19" s="58" t="s">
        <v>132</v>
      </c>
      <c r="M19" s="59">
        <v>7</v>
      </c>
      <c r="N19" s="60" t="s">
        <v>154</v>
      </c>
    </row>
    <row r="20" spans="1:15" s="3" customFormat="1" ht="35.1" customHeight="1" x14ac:dyDescent="0.25">
      <c r="B20" s="11">
        <v>16</v>
      </c>
      <c r="C20" s="58" t="s">
        <v>34</v>
      </c>
      <c r="D20" s="140" t="s">
        <v>66</v>
      </c>
      <c r="E20" s="140"/>
      <c r="F20" s="140"/>
      <c r="G20" s="140"/>
      <c r="H20" s="58" t="s">
        <v>148</v>
      </c>
      <c r="I20" s="58" t="s">
        <v>68</v>
      </c>
      <c r="J20" s="58">
        <v>1145</v>
      </c>
      <c r="K20" s="59">
        <v>3</v>
      </c>
      <c r="L20" s="58" t="s">
        <v>130</v>
      </c>
      <c r="M20" s="59">
        <v>12</v>
      </c>
      <c r="N20" s="60" t="s">
        <v>155</v>
      </c>
    </row>
    <row r="21" spans="1:15" ht="35.1" customHeight="1" x14ac:dyDescent="0.25">
      <c r="A21" s="4"/>
      <c r="B21" s="11">
        <v>17</v>
      </c>
      <c r="C21" s="58" t="s">
        <v>35</v>
      </c>
      <c r="D21" s="140" t="s">
        <v>84</v>
      </c>
      <c r="E21" s="140"/>
      <c r="F21" s="140"/>
      <c r="G21" s="140"/>
      <c r="H21" s="58" t="s">
        <v>149</v>
      </c>
      <c r="I21" s="58" t="s">
        <v>78</v>
      </c>
      <c r="J21" s="58">
        <v>815</v>
      </c>
      <c r="K21" s="59">
        <v>5</v>
      </c>
      <c r="L21" s="58" t="s">
        <v>137</v>
      </c>
      <c r="M21" s="59">
        <v>2</v>
      </c>
      <c r="N21" s="60" t="s">
        <v>133</v>
      </c>
    </row>
    <row r="22" spans="1:15" ht="35.1" customHeight="1" x14ac:dyDescent="0.25">
      <c r="B22" s="11">
        <v>18</v>
      </c>
      <c r="C22" s="58" t="s">
        <v>36</v>
      </c>
      <c r="D22" s="140" t="s">
        <v>66</v>
      </c>
      <c r="E22" s="140"/>
      <c r="F22" s="140"/>
      <c r="G22" s="140"/>
      <c r="H22" s="58" t="s">
        <v>148</v>
      </c>
      <c r="I22" s="58" t="s">
        <v>16</v>
      </c>
      <c r="J22" s="58">
        <v>490</v>
      </c>
      <c r="K22" s="59">
        <v>3</v>
      </c>
      <c r="L22" s="62" t="s">
        <v>130</v>
      </c>
      <c r="M22" s="63">
        <v>10</v>
      </c>
      <c r="N22" s="60" t="s">
        <v>152</v>
      </c>
    </row>
    <row r="23" spans="1:15" ht="35.1" customHeight="1" x14ac:dyDescent="0.25">
      <c r="B23" s="11">
        <v>19</v>
      </c>
      <c r="C23" s="58" t="s">
        <v>37</v>
      </c>
      <c r="D23" s="140" t="s">
        <v>71</v>
      </c>
      <c r="E23" s="140"/>
      <c r="F23" s="140"/>
      <c r="G23" s="140"/>
      <c r="H23" s="58" t="s">
        <v>146</v>
      </c>
      <c r="I23" s="58" t="s">
        <v>16</v>
      </c>
      <c r="J23" s="58">
        <f>775-20</f>
        <v>755</v>
      </c>
      <c r="K23" s="59">
        <v>3.2</v>
      </c>
      <c r="L23" s="58" t="s">
        <v>132</v>
      </c>
      <c r="M23" s="64">
        <v>7</v>
      </c>
      <c r="N23" s="60" t="s">
        <v>156</v>
      </c>
    </row>
    <row r="24" spans="1:15" ht="35.1" customHeight="1" x14ac:dyDescent="0.25">
      <c r="B24" s="11">
        <v>20</v>
      </c>
      <c r="C24" s="20" t="s">
        <v>38</v>
      </c>
      <c r="D24" s="136" t="s">
        <v>66</v>
      </c>
      <c r="E24" s="136"/>
      <c r="F24" s="136"/>
      <c r="G24" s="136"/>
      <c r="H24" s="20" t="s">
        <v>148</v>
      </c>
      <c r="I24" s="20" t="s">
        <v>79</v>
      </c>
      <c r="J24" s="20">
        <v>2205</v>
      </c>
      <c r="K24" s="24">
        <v>10</v>
      </c>
      <c r="L24" s="68" t="s">
        <v>168</v>
      </c>
      <c r="M24" s="22">
        <v>3</v>
      </c>
      <c r="N24" s="67" t="s">
        <v>130</v>
      </c>
    </row>
    <row r="25" spans="1:15" ht="35.1" customHeight="1" x14ac:dyDescent="0.25">
      <c r="A25" s="4"/>
      <c r="B25" s="11">
        <v>21</v>
      </c>
      <c r="C25" s="58" t="s">
        <v>39</v>
      </c>
      <c r="D25" s="140" t="s">
        <v>66</v>
      </c>
      <c r="E25" s="140"/>
      <c r="F25" s="140"/>
      <c r="G25" s="140"/>
      <c r="H25" s="58" t="s">
        <v>148</v>
      </c>
      <c r="I25" s="58" t="s">
        <v>79</v>
      </c>
      <c r="J25" s="58">
        <v>875</v>
      </c>
      <c r="K25" s="59">
        <v>3</v>
      </c>
      <c r="L25" s="58" t="s">
        <v>130</v>
      </c>
      <c r="M25" s="66">
        <v>10</v>
      </c>
      <c r="N25" s="60" t="s">
        <v>157</v>
      </c>
    </row>
    <row r="26" spans="1:15" ht="35.1" customHeight="1" x14ac:dyDescent="0.25">
      <c r="B26" s="11">
        <v>22</v>
      </c>
      <c r="C26" s="58" t="s">
        <v>40</v>
      </c>
      <c r="D26" s="140" t="s">
        <v>84</v>
      </c>
      <c r="E26" s="140"/>
      <c r="F26" s="140"/>
      <c r="G26" s="140"/>
      <c r="H26" s="58" t="s">
        <v>149</v>
      </c>
      <c r="I26" s="62" t="s">
        <v>158</v>
      </c>
      <c r="J26" s="58">
        <f>125+15</f>
        <v>140</v>
      </c>
      <c r="K26" s="59">
        <v>3</v>
      </c>
      <c r="L26" s="58" t="s">
        <v>131</v>
      </c>
      <c r="M26" s="59">
        <v>7</v>
      </c>
      <c r="N26" s="60" t="s">
        <v>159</v>
      </c>
    </row>
    <row r="27" spans="1:15" ht="35.1" customHeight="1" x14ac:dyDescent="0.25">
      <c r="B27" s="11">
        <v>23</v>
      </c>
      <c r="C27" s="58" t="s">
        <v>41</v>
      </c>
      <c r="D27" s="140" t="s">
        <v>84</v>
      </c>
      <c r="E27" s="140"/>
      <c r="F27" s="140"/>
      <c r="G27" s="140"/>
      <c r="H27" s="58" t="s">
        <v>149</v>
      </c>
      <c r="I27" s="58" t="s">
        <v>68</v>
      </c>
      <c r="J27" s="58">
        <v>1150</v>
      </c>
      <c r="K27" s="59">
        <v>2</v>
      </c>
      <c r="L27" s="58" t="s">
        <v>133</v>
      </c>
      <c r="M27" s="59">
        <v>3</v>
      </c>
      <c r="N27" s="60" t="s">
        <v>131</v>
      </c>
    </row>
    <row r="28" spans="1:15" ht="35.1" customHeight="1" x14ac:dyDescent="0.25">
      <c r="B28" s="11">
        <v>24</v>
      </c>
      <c r="C28" s="58" t="s">
        <v>42</v>
      </c>
      <c r="D28" s="140" t="s">
        <v>66</v>
      </c>
      <c r="E28" s="140"/>
      <c r="F28" s="140"/>
      <c r="G28" s="140"/>
      <c r="H28" s="58" t="s">
        <v>148</v>
      </c>
      <c r="I28" s="58" t="s">
        <v>80</v>
      </c>
      <c r="J28" s="58">
        <v>895</v>
      </c>
      <c r="K28" s="59">
        <v>3</v>
      </c>
      <c r="L28" s="58" t="s">
        <v>130</v>
      </c>
      <c r="M28" s="59">
        <v>12</v>
      </c>
      <c r="N28" s="60" t="s">
        <v>155</v>
      </c>
    </row>
    <row r="29" spans="1:15" ht="35.1" customHeight="1" x14ac:dyDescent="0.25">
      <c r="B29" s="11">
        <v>25</v>
      </c>
      <c r="C29" s="58" t="s">
        <v>43</v>
      </c>
      <c r="D29" s="140" t="s">
        <v>66</v>
      </c>
      <c r="E29" s="140"/>
      <c r="F29" s="140"/>
      <c r="G29" s="140"/>
      <c r="H29" s="58" t="s">
        <v>148</v>
      </c>
      <c r="I29" s="58" t="s">
        <v>68</v>
      </c>
      <c r="J29" s="58">
        <v>895</v>
      </c>
      <c r="K29" s="66">
        <v>12</v>
      </c>
      <c r="L29" s="62" t="s">
        <v>155</v>
      </c>
      <c r="M29" s="59">
        <v>3</v>
      </c>
      <c r="N29" s="60" t="s">
        <v>130</v>
      </c>
    </row>
    <row r="30" spans="1:15" ht="35.1" customHeight="1" x14ac:dyDescent="0.25">
      <c r="B30" s="11">
        <v>26</v>
      </c>
      <c r="C30" s="58" t="s">
        <v>81</v>
      </c>
      <c r="D30" s="140" t="s">
        <v>84</v>
      </c>
      <c r="E30" s="140"/>
      <c r="F30" s="140"/>
      <c r="G30" s="140"/>
      <c r="H30" s="58" t="s">
        <v>149</v>
      </c>
      <c r="I30" s="58" t="s">
        <v>80</v>
      </c>
      <c r="J30" s="58">
        <v>1735</v>
      </c>
      <c r="K30" s="66">
        <v>12</v>
      </c>
      <c r="L30" s="62" t="s">
        <v>151</v>
      </c>
      <c r="M30" s="59">
        <v>3</v>
      </c>
      <c r="N30" s="60" t="s">
        <v>129</v>
      </c>
    </row>
    <row r="31" spans="1:15" ht="35.1" customHeight="1" x14ac:dyDescent="0.25">
      <c r="B31" s="11">
        <v>29</v>
      </c>
      <c r="C31" s="58" t="s">
        <v>44</v>
      </c>
      <c r="D31" s="140" t="s">
        <v>84</v>
      </c>
      <c r="E31" s="140"/>
      <c r="F31" s="140"/>
      <c r="G31" s="140"/>
      <c r="H31" s="58" t="s">
        <v>149</v>
      </c>
      <c r="I31" s="58" t="s">
        <v>77</v>
      </c>
      <c r="J31" s="58">
        <f>1580-20</f>
        <v>1560</v>
      </c>
      <c r="K31" s="59">
        <v>3.5</v>
      </c>
      <c r="L31" s="58" t="s">
        <v>138</v>
      </c>
      <c r="M31" s="59">
        <v>7</v>
      </c>
      <c r="N31" s="60" t="s">
        <v>154</v>
      </c>
    </row>
    <row r="32" spans="1:15" ht="35.1" customHeight="1" x14ac:dyDescent="0.25">
      <c r="B32" s="11">
        <v>30</v>
      </c>
      <c r="C32" s="58" t="s">
        <v>45</v>
      </c>
      <c r="D32" s="140" t="s">
        <v>84</v>
      </c>
      <c r="E32" s="140"/>
      <c r="F32" s="140"/>
      <c r="G32" s="140"/>
      <c r="H32" s="58" t="s">
        <v>149</v>
      </c>
      <c r="I32" s="58" t="s">
        <v>73</v>
      </c>
      <c r="J32" s="58">
        <f>1640-20</f>
        <v>1620</v>
      </c>
      <c r="K32" s="59">
        <v>3.5</v>
      </c>
      <c r="L32" s="58" t="s">
        <v>138</v>
      </c>
      <c r="M32" s="59">
        <v>7</v>
      </c>
      <c r="N32" s="60" t="s">
        <v>153</v>
      </c>
    </row>
    <row r="33" spans="2:14" ht="35.1" customHeight="1" x14ac:dyDescent="0.25">
      <c r="B33" s="11">
        <v>31</v>
      </c>
      <c r="C33" s="58" t="s">
        <v>46</v>
      </c>
      <c r="D33" s="140" t="s">
        <v>84</v>
      </c>
      <c r="E33" s="140"/>
      <c r="F33" s="140"/>
      <c r="G33" s="140"/>
      <c r="H33" s="58" t="s">
        <v>149</v>
      </c>
      <c r="I33" s="58" t="s">
        <v>16</v>
      </c>
      <c r="J33" s="58">
        <f>1020-20</f>
        <v>1000</v>
      </c>
      <c r="K33" s="59">
        <v>3.5</v>
      </c>
      <c r="L33" s="58" t="s">
        <v>138</v>
      </c>
      <c r="M33" s="59">
        <v>7</v>
      </c>
      <c r="N33" s="60" t="s">
        <v>156</v>
      </c>
    </row>
    <row r="34" spans="2:14" ht="35.1" customHeight="1" x14ac:dyDescent="0.25">
      <c r="B34" s="11">
        <v>32</v>
      </c>
      <c r="C34" s="20" t="s">
        <v>47</v>
      </c>
      <c r="D34" s="136" t="s">
        <v>84</v>
      </c>
      <c r="E34" s="136"/>
      <c r="F34" s="136"/>
      <c r="G34" s="136"/>
      <c r="H34" s="20" t="s">
        <v>149</v>
      </c>
      <c r="I34" s="20" t="s">
        <v>16</v>
      </c>
      <c r="J34" s="20">
        <v>1520</v>
      </c>
      <c r="K34" s="25">
        <v>7</v>
      </c>
      <c r="L34" s="21" t="s">
        <v>160</v>
      </c>
      <c r="M34" s="22">
        <v>3</v>
      </c>
      <c r="N34" s="21" t="s">
        <v>131</v>
      </c>
    </row>
    <row r="35" spans="2:14" ht="35.1" customHeight="1" x14ac:dyDescent="0.25">
      <c r="B35" s="11">
        <v>33</v>
      </c>
      <c r="C35" s="20" t="s">
        <v>48</v>
      </c>
      <c r="D35" s="136" t="s">
        <v>84</v>
      </c>
      <c r="E35" s="136"/>
      <c r="F35" s="136"/>
      <c r="G35" s="136"/>
      <c r="H35" s="20" t="s">
        <v>149</v>
      </c>
      <c r="I35" s="20" t="s">
        <v>73</v>
      </c>
      <c r="J35" s="20">
        <v>910</v>
      </c>
      <c r="K35" s="25">
        <v>7</v>
      </c>
      <c r="L35" s="21" t="s">
        <v>161</v>
      </c>
      <c r="M35" s="22">
        <v>3</v>
      </c>
      <c r="N35" s="67" t="s">
        <v>131</v>
      </c>
    </row>
    <row r="36" spans="2:14" ht="35.1" customHeight="1" x14ac:dyDescent="0.25">
      <c r="B36" s="11">
        <v>34</v>
      </c>
      <c r="C36" s="20" t="s">
        <v>49</v>
      </c>
      <c r="D36" s="136" t="s">
        <v>84</v>
      </c>
      <c r="E36" s="136"/>
      <c r="F36" s="136"/>
      <c r="G36" s="136"/>
      <c r="H36" s="20" t="s">
        <v>149</v>
      </c>
      <c r="I36" s="20" t="s">
        <v>77</v>
      </c>
      <c r="J36" s="20">
        <v>980</v>
      </c>
      <c r="K36" s="25">
        <v>7</v>
      </c>
      <c r="L36" s="21" t="s">
        <v>162</v>
      </c>
      <c r="M36" s="22">
        <v>3</v>
      </c>
      <c r="N36" s="21" t="s">
        <v>131</v>
      </c>
    </row>
    <row r="37" spans="2:14" ht="35.1" customHeight="1" x14ac:dyDescent="0.25">
      <c r="B37" s="11">
        <v>35</v>
      </c>
      <c r="C37" s="58" t="s">
        <v>50</v>
      </c>
      <c r="D37" s="140" t="s">
        <v>84</v>
      </c>
      <c r="E37" s="140"/>
      <c r="F37" s="140"/>
      <c r="G37" s="140"/>
      <c r="H37" s="58" t="s">
        <v>149</v>
      </c>
      <c r="I37" s="58" t="s">
        <v>75</v>
      </c>
      <c r="J37" s="58">
        <v>1000</v>
      </c>
      <c r="K37" s="59">
        <v>5</v>
      </c>
      <c r="L37" s="58" t="s">
        <v>137</v>
      </c>
      <c r="M37" s="59">
        <v>2</v>
      </c>
      <c r="N37" s="60" t="s">
        <v>133</v>
      </c>
    </row>
    <row r="38" spans="2:14" ht="35.1" customHeight="1" x14ac:dyDescent="0.25">
      <c r="B38" s="11">
        <v>36</v>
      </c>
      <c r="C38" s="58" t="s">
        <v>51</v>
      </c>
      <c r="D38" s="140" t="s">
        <v>84</v>
      </c>
      <c r="E38" s="140"/>
      <c r="F38" s="140"/>
      <c r="G38" s="140"/>
      <c r="H38" s="58" t="s">
        <v>149</v>
      </c>
      <c r="I38" s="62" t="s">
        <v>158</v>
      </c>
      <c r="J38" s="58">
        <v>1000</v>
      </c>
      <c r="K38" s="59">
        <v>2</v>
      </c>
      <c r="L38" s="58" t="s">
        <v>133</v>
      </c>
      <c r="M38" s="59">
        <v>5</v>
      </c>
      <c r="N38" s="60" t="s">
        <v>137</v>
      </c>
    </row>
    <row r="39" spans="2:14" ht="35.1" customHeight="1" x14ac:dyDescent="0.25">
      <c r="B39" s="11">
        <v>37</v>
      </c>
      <c r="C39" s="58" t="s">
        <v>52</v>
      </c>
      <c r="D39" s="140" t="s">
        <v>84</v>
      </c>
      <c r="E39" s="140"/>
      <c r="F39" s="140"/>
      <c r="G39" s="140"/>
      <c r="H39" s="58" t="s">
        <v>149</v>
      </c>
      <c r="I39" s="58" t="s">
        <v>77</v>
      </c>
      <c r="J39" s="58">
        <v>1270</v>
      </c>
      <c r="K39" s="59">
        <v>3</v>
      </c>
      <c r="L39" s="58" t="s">
        <v>131</v>
      </c>
      <c r="M39" s="59">
        <v>2</v>
      </c>
      <c r="N39" s="60" t="s">
        <v>133</v>
      </c>
    </row>
    <row r="40" spans="2:14" ht="35.1" customHeight="1" x14ac:dyDescent="0.25">
      <c r="B40" s="11">
        <v>38</v>
      </c>
      <c r="C40" s="58" t="s">
        <v>53</v>
      </c>
      <c r="D40" s="140" t="s">
        <v>84</v>
      </c>
      <c r="E40" s="140"/>
      <c r="F40" s="140"/>
      <c r="G40" s="140"/>
      <c r="H40" s="58" t="s">
        <v>149</v>
      </c>
      <c r="I40" s="58" t="s">
        <v>83</v>
      </c>
      <c r="J40" s="58">
        <v>1270</v>
      </c>
      <c r="K40" s="59">
        <v>2</v>
      </c>
      <c r="L40" s="58" t="s">
        <v>133</v>
      </c>
      <c r="M40" s="59">
        <v>3</v>
      </c>
      <c r="N40" s="60" t="s">
        <v>131</v>
      </c>
    </row>
    <row r="41" spans="2:14" ht="35.1" customHeight="1" x14ac:dyDescent="0.25">
      <c r="B41" s="11">
        <v>39</v>
      </c>
      <c r="C41" s="58" t="s">
        <v>65</v>
      </c>
      <c r="D41" s="140" t="s">
        <v>84</v>
      </c>
      <c r="E41" s="140"/>
      <c r="F41" s="140"/>
      <c r="G41" s="140"/>
      <c r="H41" s="58" t="s">
        <v>149</v>
      </c>
      <c r="I41" s="58" t="s">
        <v>76</v>
      </c>
      <c r="J41" s="58">
        <v>1400</v>
      </c>
      <c r="K41" s="59">
        <v>3</v>
      </c>
      <c r="L41" s="58" t="s">
        <v>131</v>
      </c>
      <c r="M41" s="59">
        <v>2</v>
      </c>
      <c r="N41" s="60" t="s">
        <v>133</v>
      </c>
    </row>
    <row r="42" spans="2:14" ht="35.1" customHeight="1" x14ac:dyDescent="0.25">
      <c r="B42" s="11">
        <v>40</v>
      </c>
      <c r="C42" s="58" t="s">
        <v>54</v>
      </c>
      <c r="D42" s="140" t="s">
        <v>84</v>
      </c>
      <c r="E42" s="140"/>
      <c r="F42" s="140"/>
      <c r="G42" s="140"/>
      <c r="H42" s="58" t="s">
        <v>149</v>
      </c>
      <c r="I42" s="58" t="s">
        <v>85</v>
      </c>
      <c r="J42" s="58">
        <v>820</v>
      </c>
      <c r="K42" s="59">
        <v>5</v>
      </c>
      <c r="L42" s="58" t="s">
        <v>139</v>
      </c>
      <c r="M42" s="59">
        <v>2</v>
      </c>
      <c r="N42" s="60" t="s">
        <v>133</v>
      </c>
    </row>
    <row r="43" spans="2:14" ht="35.1" customHeight="1" x14ac:dyDescent="0.25">
      <c r="B43" s="11">
        <v>41</v>
      </c>
      <c r="C43" s="58" t="s">
        <v>55</v>
      </c>
      <c r="D43" s="140" t="s">
        <v>84</v>
      </c>
      <c r="E43" s="140"/>
      <c r="F43" s="140"/>
      <c r="G43" s="140"/>
      <c r="H43" s="58" t="s">
        <v>149</v>
      </c>
      <c r="I43" s="58" t="s">
        <v>86</v>
      </c>
      <c r="J43" s="58">
        <v>820</v>
      </c>
      <c r="K43" s="59">
        <v>2</v>
      </c>
      <c r="L43" s="58" t="s">
        <v>133</v>
      </c>
      <c r="M43" s="59">
        <v>5</v>
      </c>
      <c r="N43" s="60" t="s">
        <v>137</v>
      </c>
    </row>
    <row r="44" spans="2:14" ht="35.1" customHeight="1" x14ac:dyDescent="0.25">
      <c r="B44" s="11">
        <v>42</v>
      </c>
      <c r="C44" s="20" t="s">
        <v>56</v>
      </c>
      <c r="D44" s="136" t="s">
        <v>84</v>
      </c>
      <c r="E44" s="136"/>
      <c r="F44" s="136"/>
      <c r="G44" s="136"/>
      <c r="H44" s="20" t="s">
        <v>149</v>
      </c>
      <c r="I44" s="20" t="s">
        <v>83</v>
      </c>
      <c r="J44" s="20">
        <v>1625</v>
      </c>
      <c r="K44" s="22">
        <v>4</v>
      </c>
      <c r="L44" s="20" t="s">
        <v>140</v>
      </c>
      <c r="M44" s="22">
        <v>2</v>
      </c>
      <c r="N44" s="21" t="s">
        <v>141</v>
      </c>
    </row>
    <row r="45" spans="2:14" ht="35.1" customHeight="1" x14ac:dyDescent="0.25">
      <c r="B45" s="11">
        <v>43</v>
      </c>
      <c r="C45" s="20" t="s">
        <v>57</v>
      </c>
      <c r="D45" s="136" t="s">
        <v>84</v>
      </c>
      <c r="E45" s="136"/>
      <c r="F45" s="136"/>
      <c r="G45" s="136"/>
      <c r="H45" s="20" t="s">
        <v>149</v>
      </c>
      <c r="I45" s="20" t="s">
        <v>87</v>
      </c>
      <c r="J45" s="20">
        <v>1625</v>
      </c>
      <c r="K45" s="22">
        <v>2</v>
      </c>
      <c r="L45" s="20" t="s">
        <v>141</v>
      </c>
      <c r="M45" s="22">
        <v>4</v>
      </c>
      <c r="N45" s="21" t="s">
        <v>140</v>
      </c>
    </row>
    <row r="46" spans="2:14" ht="35.1" customHeight="1" x14ac:dyDescent="0.25">
      <c r="B46" s="11">
        <v>44</v>
      </c>
      <c r="C46" s="20" t="s">
        <v>58</v>
      </c>
      <c r="D46" s="136" t="s">
        <v>84</v>
      </c>
      <c r="E46" s="136"/>
      <c r="F46" s="136"/>
      <c r="G46" s="136"/>
      <c r="H46" s="20" t="s">
        <v>149</v>
      </c>
      <c r="I46" s="20" t="s">
        <v>88</v>
      </c>
      <c r="J46" s="20">
        <v>1625</v>
      </c>
      <c r="K46" s="22">
        <v>2</v>
      </c>
      <c r="L46" s="20" t="s">
        <v>141</v>
      </c>
      <c r="M46" s="22">
        <v>4</v>
      </c>
      <c r="N46" s="21" t="s">
        <v>140</v>
      </c>
    </row>
    <row r="47" spans="2:14" ht="35.1" customHeight="1" x14ac:dyDescent="0.25">
      <c r="B47" s="11">
        <v>45</v>
      </c>
      <c r="C47" s="20" t="s">
        <v>59</v>
      </c>
      <c r="D47" s="136" t="s">
        <v>84</v>
      </c>
      <c r="E47" s="136"/>
      <c r="F47" s="136"/>
      <c r="G47" s="136"/>
      <c r="H47" s="20" t="s">
        <v>149</v>
      </c>
      <c r="I47" s="20" t="s">
        <v>78</v>
      </c>
      <c r="J47" s="20">
        <v>1625</v>
      </c>
      <c r="K47" s="22">
        <v>4</v>
      </c>
      <c r="L47" s="20" t="s">
        <v>140</v>
      </c>
      <c r="M47" s="22">
        <v>2</v>
      </c>
      <c r="N47" s="21" t="s">
        <v>141</v>
      </c>
    </row>
    <row r="48" spans="2:14" ht="35.1" customHeight="1" x14ac:dyDescent="0.25">
      <c r="B48" s="11">
        <v>46</v>
      </c>
      <c r="C48" s="58" t="s">
        <v>60</v>
      </c>
      <c r="D48" s="140" t="s">
        <v>84</v>
      </c>
      <c r="E48" s="140"/>
      <c r="F48" s="140"/>
      <c r="G48" s="140"/>
      <c r="H48" s="58" t="s">
        <v>149</v>
      </c>
      <c r="I48" s="58" t="s">
        <v>89</v>
      </c>
      <c r="J48" s="58">
        <f>385-15</f>
        <v>370</v>
      </c>
      <c r="K48" s="66">
        <v>7</v>
      </c>
      <c r="L48" s="62" t="s">
        <v>169</v>
      </c>
      <c r="M48" s="59">
        <v>3</v>
      </c>
      <c r="N48" s="60" t="s">
        <v>142</v>
      </c>
    </row>
    <row r="49" spans="2:15" ht="35.1" customHeight="1" x14ac:dyDescent="0.25">
      <c r="B49" s="11">
        <v>47</v>
      </c>
      <c r="C49" s="58" t="s">
        <v>90</v>
      </c>
      <c r="D49" s="140" t="s">
        <v>84</v>
      </c>
      <c r="E49" s="140"/>
      <c r="F49" s="140"/>
      <c r="G49" s="140"/>
      <c r="H49" s="58" t="s">
        <v>149</v>
      </c>
      <c r="I49" s="58" t="s">
        <v>73</v>
      </c>
      <c r="J49" s="58">
        <f>920-10</f>
        <v>910</v>
      </c>
      <c r="K49" s="59">
        <v>3</v>
      </c>
      <c r="L49" s="58" t="s">
        <v>142</v>
      </c>
      <c r="M49" s="59">
        <v>2</v>
      </c>
      <c r="N49" s="61" t="s">
        <v>133</v>
      </c>
    </row>
    <row r="50" spans="2:15" ht="35.1" customHeight="1" x14ac:dyDescent="0.25">
      <c r="B50" s="11">
        <v>49</v>
      </c>
      <c r="C50" s="58" t="s">
        <v>61</v>
      </c>
      <c r="D50" s="140" t="s">
        <v>84</v>
      </c>
      <c r="E50" s="140"/>
      <c r="F50" s="140"/>
      <c r="G50" s="140"/>
      <c r="H50" s="58" t="s">
        <v>149</v>
      </c>
      <c r="I50" s="58" t="s">
        <v>16</v>
      </c>
      <c r="J50" s="58">
        <v>820</v>
      </c>
      <c r="K50" s="66">
        <v>7</v>
      </c>
      <c r="L50" s="60" t="s">
        <v>160</v>
      </c>
      <c r="M50" s="59">
        <v>3</v>
      </c>
      <c r="N50" s="61" t="s">
        <v>131</v>
      </c>
    </row>
    <row r="51" spans="2:15" ht="35.1" customHeight="1" x14ac:dyDescent="0.25">
      <c r="B51" s="11">
        <v>50</v>
      </c>
      <c r="C51" s="58" t="s">
        <v>62</v>
      </c>
      <c r="D51" s="140" t="s">
        <v>84</v>
      </c>
      <c r="E51" s="140"/>
      <c r="F51" s="140"/>
      <c r="G51" s="140"/>
      <c r="H51" s="58" t="s">
        <v>149</v>
      </c>
      <c r="I51" s="58" t="s">
        <v>73</v>
      </c>
      <c r="J51" s="58">
        <v>205</v>
      </c>
      <c r="K51" s="66">
        <v>7</v>
      </c>
      <c r="L51" s="60" t="s">
        <v>161</v>
      </c>
      <c r="M51" s="59">
        <v>3</v>
      </c>
      <c r="N51" s="61" t="s">
        <v>131</v>
      </c>
    </row>
    <row r="52" spans="2:15" ht="35.1" customHeight="1" x14ac:dyDescent="0.25">
      <c r="B52" s="11">
        <v>51</v>
      </c>
      <c r="C52" s="58" t="s">
        <v>63</v>
      </c>
      <c r="D52" s="140" t="s">
        <v>84</v>
      </c>
      <c r="E52" s="140"/>
      <c r="F52" s="140"/>
      <c r="G52" s="140"/>
      <c r="H52" s="58" t="s">
        <v>149</v>
      </c>
      <c r="I52" s="58" t="s">
        <v>77</v>
      </c>
      <c r="J52" s="58">
        <v>260</v>
      </c>
      <c r="K52" s="59">
        <v>3</v>
      </c>
      <c r="L52" s="58" t="s">
        <v>131</v>
      </c>
      <c r="M52" s="59">
        <v>7</v>
      </c>
      <c r="N52" s="60" t="s">
        <v>162</v>
      </c>
    </row>
    <row r="53" spans="2:15" ht="35.1" customHeight="1" x14ac:dyDescent="0.25">
      <c r="B53" s="11">
        <v>52</v>
      </c>
      <c r="C53" s="20" t="s">
        <v>64</v>
      </c>
      <c r="D53" s="136" t="s">
        <v>84</v>
      </c>
      <c r="E53" s="136"/>
      <c r="F53" s="136"/>
      <c r="G53" s="136"/>
      <c r="H53" s="20" t="s">
        <v>149</v>
      </c>
      <c r="I53" s="20" t="s">
        <v>77</v>
      </c>
      <c r="J53" s="20">
        <v>2460</v>
      </c>
      <c r="K53" s="22">
        <v>3</v>
      </c>
      <c r="L53" s="20" t="s">
        <v>143</v>
      </c>
      <c r="M53" s="22">
        <v>3</v>
      </c>
      <c r="N53" s="21" t="s">
        <v>133</v>
      </c>
    </row>
    <row r="54" spans="2:15" ht="35.1" customHeight="1" x14ac:dyDescent="0.25">
      <c r="B54" s="11">
        <v>53</v>
      </c>
      <c r="C54" s="20" t="s">
        <v>91</v>
      </c>
      <c r="D54" s="136" t="s">
        <v>84</v>
      </c>
      <c r="E54" s="136"/>
      <c r="F54" s="136"/>
      <c r="G54" s="136"/>
      <c r="H54" s="20" t="s">
        <v>149</v>
      </c>
      <c r="I54" s="20" t="s">
        <v>74</v>
      </c>
      <c r="J54" s="20">
        <v>2460</v>
      </c>
      <c r="K54" s="22">
        <v>3</v>
      </c>
      <c r="L54" s="20" t="s">
        <v>143</v>
      </c>
      <c r="M54" s="22">
        <v>3</v>
      </c>
      <c r="N54" s="21" t="s">
        <v>133</v>
      </c>
      <c r="O54" s="4"/>
    </row>
    <row r="55" spans="2:15" ht="35.1" customHeight="1" x14ac:dyDescent="0.25">
      <c r="B55" s="11">
        <v>54</v>
      </c>
      <c r="C55" s="58" t="s">
        <v>17</v>
      </c>
      <c r="D55" s="140" t="s">
        <v>66</v>
      </c>
      <c r="E55" s="140"/>
      <c r="F55" s="140"/>
      <c r="G55" s="140"/>
      <c r="H55" s="58" t="s">
        <v>148</v>
      </c>
      <c r="I55" s="58" t="s">
        <v>79</v>
      </c>
      <c r="J55" s="58">
        <f>420+10</f>
        <v>430</v>
      </c>
      <c r="K55" s="64">
        <v>4.8</v>
      </c>
      <c r="L55" s="58" t="s">
        <v>135</v>
      </c>
      <c r="M55" s="65">
        <v>10</v>
      </c>
      <c r="N55" s="60" t="s">
        <v>157</v>
      </c>
    </row>
    <row r="56" spans="2:15" ht="35.1" customHeight="1" x14ac:dyDescent="0.25">
      <c r="B56" s="11">
        <v>55</v>
      </c>
      <c r="C56" s="20" t="s">
        <v>92</v>
      </c>
      <c r="D56" s="136" t="s">
        <v>84</v>
      </c>
      <c r="E56" s="136"/>
      <c r="F56" s="136"/>
      <c r="G56" s="136"/>
      <c r="H56" s="20" t="s">
        <v>149</v>
      </c>
      <c r="I56" s="20" t="s">
        <v>89</v>
      </c>
      <c r="J56" s="20">
        <v>1625</v>
      </c>
      <c r="K56" s="22">
        <v>4</v>
      </c>
      <c r="L56" s="20" t="s">
        <v>140</v>
      </c>
      <c r="M56" s="22">
        <v>2</v>
      </c>
      <c r="N56" s="21" t="s">
        <v>141</v>
      </c>
    </row>
    <row r="57" spans="2:15" ht="35.1" customHeight="1" x14ac:dyDescent="0.25">
      <c r="B57" s="11">
        <v>56</v>
      </c>
      <c r="C57" s="20" t="s">
        <v>93</v>
      </c>
      <c r="D57" s="136" t="s">
        <v>71</v>
      </c>
      <c r="E57" s="136"/>
      <c r="F57" s="136"/>
      <c r="G57" s="136"/>
      <c r="H57" s="20" t="s">
        <v>146</v>
      </c>
      <c r="I57" s="20" t="s">
        <v>16</v>
      </c>
      <c r="J57" s="20">
        <v>2160</v>
      </c>
      <c r="K57" s="22">
        <v>3.5</v>
      </c>
      <c r="L57" s="20" t="s">
        <v>144</v>
      </c>
      <c r="M57" s="22">
        <v>3</v>
      </c>
      <c r="N57" s="21" t="s">
        <v>133</v>
      </c>
    </row>
    <row r="58" spans="2:15" ht="35.1" customHeight="1" x14ac:dyDescent="0.25">
      <c r="B58" s="11">
        <v>58</v>
      </c>
      <c r="C58" s="20" t="s">
        <v>94</v>
      </c>
      <c r="D58" s="136" t="s">
        <v>71</v>
      </c>
      <c r="E58" s="136"/>
      <c r="F58" s="136"/>
      <c r="G58" s="136"/>
      <c r="H58" s="20" t="s">
        <v>146</v>
      </c>
      <c r="I58" s="20" t="s">
        <v>82</v>
      </c>
      <c r="J58" s="20">
        <v>2160</v>
      </c>
      <c r="K58" s="22">
        <v>3.5</v>
      </c>
      <c r="L58" s="20" t="s">
        <v>144</v>
      </c>
      <c r="M58" s="22">
        <v>3</v>
      </c>
      <c r="N58" s="21" t="s">
        <v>133</v>
      </c>
    </row>
    <row r="59" spans="2:15" ht="35.1" customHeight="1" x14ac:dyDescent="0.25">
      <c r="B59" s="11">
        <v>60</v>
      </c>
      <c r="C59" s="20" t="s">
        <v>95</v>
      </c>
      <c r="D59" s="136" t="s">
        <v>84</v>
      </c>
      <c r="E59" s="136"/>
      <c r="F59" s="136"/>
      <c r="G59" s="136"/>
      <c r="H59" s="20" t="s">
        <v>149</v>
      </c>
      <c r="I59" s="20" t="s">
        <v>16</v>
      </c>
      <c r="J59" s="20">
        <v>1625</v>
      </c>
      <c r="K59" s="22">
        <v>4</v>
      </c>
      <c r="L59" s="20" t="s">
        <v>140</v>
      </c>
      <c r="M59" s="22">
        <v>2</v>
      </c>
      <c r="N59" s="21" t="s">
        <v>141</v>
      </c>
    </row>
    <row r="60" spans="2:15" ht="35.1" customHeight="1" x14ac:dyDescent="0.25">
      <c r="B60" s="11">
        <v>61</v>
      </c>
      <c r="C60" s="20" t="s">
        <v>96</v>
      </c>
      <c r="D60" s="136" t="s">
        <v>84</v>
      </c>
      <c r="E60" s="136"/>
      <c r="F60" s="136"/>
      <c r="G60" s="136"/>
      <c r="H60" s="20" t="s">
        <v>149</v>
      </c>
      <c r="I60" s="20" t="s">
        <v>89</v>
      </c>
      <c r="J60" s="20">
        <v>1985</v>
      </c>
      <c r="K60" s="22">
        <v>2</v>
      </c>
      <c r="L60" s="20" t="s">
        <v>133</v>
      </c>
      <c r="M60" s="22">
        <v>7</v>
      </c>
      <c r="N60" s="21" t="s">
        <v>179</v>
      </c>
    </row>
    <row r="61" spans="2:15" ht="35.1" customHeight="1" x14ac:dyDescent="0.25">
      <c r="B61" s="11">
        <v>62</v>
      </c>
      <c r="C61" s="20" t="s">
        <v>97</v>
      </c>
      <c r="D61" s="136" t="s">
        <v>84</v>
      </c>
      <c r="E61" s="136"/>
      <c r="F61" s="136"/>
      <c r="G61" s="136"/>
      <c r="H61" s="20" t="s">
        <v>149</v>
      </c>
      <c r="I61" s="20" t="s">
        <v>82</v>
      </c>
      <c r="J61" s="20">
        <v>945</v>
      </c>
      <c r="K61" s="22">
        <v>3</v>
      </c>
      <c r="L61" s="20" t="s">
        <v>131</v>
      </c>
      <c r="M61" s="22">
        <v>3</v>
      </c>
      <c r="N61" s="67" t="s">
        <v>131</v>
      </c>
    </row>
    <row r="62" spans="2:15" ht="35.1" customHeight="1" x14ac:dyDescent="0.25">
      <c r="B62" s="11">
        <v>63</v>
      </c>
      <c r="C62" s="20" t="s">
        <v>98</v>
      </c>
      <c r="D62" s="136" t="s">
        <v>84</v>
      </c>
      <c r="E62" s="136"/>
      <c r="F62" s="136"/>
      <c r="G62" s="136"/>
      <c r="H62" s="20" t="s">
        <v>149</v>
      </c>
      <c r="I62" s="20" t="s">
        <v>89</v>
      </c>
      <c r="J62" s="20">
        <v>2925</v>
      </c>
      <c r="K62" s="22">
        <v>3</v>
      </c>
      <c r="L62" s="20" t="s">
        <v>131</v>
      </c>
      <c r="M62" s="22">
        <v>3</v>
      </c>
      <c r="N62" s="67" t="s">
        <v>142</v>
      </c>
    </row>
    <row r="63" spans="2:15" ht="35.1" customHeight="1" x14ac:dyDescent="0.25">
      <c r="B63" s="11">
        <v>64</v>
      </c>
      <c r="C63" s="20" t="s">
        <v>99</v>
      </c>
      <c r="D63" s="136" t="s">
        <v>84</v>
      </c>
      <c r="E63" s="136"/>
      <c r="F63" s="136"/>
      <c r="G63" s="136"/>
      <c r="H63" s="20" t="s">
        <v>149</v>
      </c>
      <c r="I63" s="20" t="s">
        <v>76</v>
      </c>
      <c r="J63" s="20">
        <v>1780</v>
      </c>
      <c r="K63" s="22">
        <v>3</v>
      </c>
      <c r="L63" s="20" t="s">
        <v>142</v>
      </c>
      <c r="M63" s="22">
        <v>2</v>
      </c>
      <c r="N63" s="67" t="s">
        <v>133</v>
      </c>
    </row>
    <row r="64" spans="2:15" ht="35.1" customHeight="1" x14ac:dyDescent="0.25">
      <c r="B64" s="11">
        <v>65</v>
      </c>
      <c r="C64" s="20" t="s">
        <v>100</v>
      </c>
      <c r="D64" s="136" t="s">
        <v>84</v>
      </c>
      <c r="E64" s="136"/>
      <c r="F64" s="136"/>
      <c r="G64" s="136"/>
      <c r="H64" s="20" t="s">
        <v>184</v>
      </c>
      <c r="I64" s="20" t="s">
        <v>170</v>
      </c>
      <c r="J64" s="69">
        <v>2490</v>
      </c>
      <c r="K64" s="22">
        <v>3.8</v>
      </c>
      <c r="L64" s="20" t="s">
        <v>185</v>
      </c>
      <c r="M64" s="22">
        <v>2</v>
      </c>
      <c r="N64" s="21" t="s">
        <v>133</v>
      </c>
    </row>
    <row r="65" spans="2:14" ht="35.1" customHeight="1" x14ac:dyDescent="0.25">
      <c r="B65" s="11">
        <v>66</v>
      </c>
      <c r="C65" s="20" t="s">
        <v>101</v>
      </c>
      <c r="D65" s="136" t="s">
        <v>84</v>
      </c>
      <c r="E65" s="136"/>
      <c r="F65" s="136"/>
      <c r="G65" s="136"/>
      <c r="H65" s="20" t="s">
        <v>149</v>
      </c>
      <c r="I65" s="20" t="s">
        <v>103</v>
      </c>
      <c r="J65" s="20">
        <v>330</v>
      </c>
      <c r="K65" s="22">
        <v>3</v>
      </c>
      <c r="L65" s="20" t="s">
        <v>131</v>
      </c>
      <c r="M65" s="22">
        <v>7</v>
      </c>
      <c r="N65" s="21" t="s">
        <v>180</v>
      </c>
    </row>
    <row r="66" spans="2:14" ht="35.1" customHeight="1" x14ac:dyDescent="0.25">
      <c r="B66" s="11">
        <v>67</v>
      </c>
      <c r="C66" s="20" t="s">
        <v>102</v>
      </c>
      <c r="D66" s="136" t="s">
        <v>84</v>
      </c>
      <c r="E66" s="136"/>
      <c r="F66" s="136"/>
      <c r="G66" s="136"/>
      <c r="H66" s="20" t="s">
        <v>184</v>
      </c>
      <c r="I66" s="20" t="s">
        <v>89</v>
      </c>
      <c r="J66" s="69">
        <v>3940</v>
      </c>
      <c r="K66" s="25">
        <v>7</v>
      </c>
      <c r="L66" s="21" t="s">
        <v>179</v>
      </c>
      <c r="M66" s="22">
        <v>3.8</v>
      </c>
      <c r="N66" s="21" t="s">
        <v>185</v>
      </c>
    </row>
    <row r="67" spans="2:14" ht="35.1" customHeight="1" x14ac:dyDescent="0.25">
      <c r="B67" s="11">
        <v>68</v>
      </c>
      <c r="C67" s="20" t="s">
        <v>104</v>
      </c>
      <c r="D67" s="136" t="s">
        <v>84</v>
      </c>
      <c r="E67" s="136"/>
      <c r="F67" s="136"/>
      <c r="G67" s="136"/>
      <c r="H67" s="20" t="s">
        <v>149</v>
      </c>
      <c r="I67" s="20" t="s">
        <v>105</v>
      </c>
      <c r="J67" s="20">
        <v>875</v>
      </c>
      <c r="K67" s="22">
        <v>3</v>
      </c>
      <c r="L67" s="20" t="s">
        <v>131</v>
      </c>
      <c r="M67" s="22">
        <v>2</v>
      </c>
      <c r="N67" s="21" t="s">
        <v>133</v>
      </c>
    </row>
    <row r="68" spans="2:14" ht="35.1" customHeight="1" x14ac:dyDescent="0.25">
      <c r="B68" s="11">
        <v>69</v>
      </c>
      <c r="C68" s="20" t="s">
        <v>106</v>
      </c>
      <c r="D68" s="136" t="s">
        <v>84</v>
      </c>
      <c r="E68" s="136"/>
      <c r="F68" s="136"/>
      <c r="G68" s="136"/>
      <c r="H68" s="20" t="s">
        <v>149</v>
      </c>
      <c r="I68" s="20" t="s">
        <v>80</v>
      </c>
      <c r="J68" s="20">
        <v>875</v>
      </c>
      <c r="K68" s="22">
        <v>2</v>
      </c>
      <c r="L68" s="20" t="s">
        <v>133</v>
      </c>
      <c r="M68" s="22">
        <v>3</v>
      </c>
      <c r="N68" s="21" t="s">
        <v>131</v>
      </c>
    </row>
    <row r="69" spans="2:14" ht="35.1" customHeight="1" x14ac:dyDescent="0.25">
      <c r="B69" s="11">
        <v>70</v>
      </c>
      <c r="C69" s="58" t="s">
        <v>107</v>
      </c>
      <c r="D69" s="140" t="s">
        <v>84</v>
      </c>
      <c r="E69" s="140"/>
      <c r="F69" s="140"/>
      <c r="G69" s="140"/>
      <c r="H69" s="58" t="s">
        <v>149</v>
      </c>
      <c r="I69" s="58" t="s">
        <v>112</v>
      </c>
      <c r="J69" s="58">
        <v>1535</v>
      </c>
      <c r="K69" s="59">
        <v>3</v>
      </c>
      <c r="L69" s="58" t="s">
        <v>131</v>
      </c>
      <c r="M69" s="59">
        <v>2</v>
      </c>
      <c r="N69" s="60" t="s">
        <v>133</v>
      </c>
    </row>
    <row r="70" spans="2:14" ht="35.1" customHeight="1" x14ac:dyDescent="0.25">
      <c r="B70" s="11">
        <v>71</v>
      </c>
      <c r="C70" s="58" t="s">
        <v>108</v>
      </c>
      <c r="D70" s="140" t="s">
        <v>84</v>
      </c>
      <c r="E70" s="140"/>
      <c r="F70" s="140"/>
      <c r="G70" s="140"/>
      <c r="H70" s="58" t="s">
        <v>149</v>
      </c>
      <c r="I70" s="58" t="s">
        <v>70</v>
      </c>
      <c r="J70" s="58">
        <v>1535</v>
      </c>
      <c r="K70" s="59">
        <v>2</v>
      </c>
      <c r="L70" s="58" t="s">
        <v>133</v>
      </c>
      <c r="M70" s="59">
        <v>3</v>
      </c>
      <c r="N70" s="60" t="s">
        <v>131</v>
      </c>
    </row>
    <row r="71" spans="2:14" ht="35.1" customHeight="1" x14ac:dyDescent="0.25">
      <c r="B71" s="11">
        <v>72</v>
      </c>
      <c r="C71" s="58" t="s">
        <v>109</v>
      </c>
      <c r="D71" s="140" t="s">
        <v>84</v>
      </c>
      <c r="E71" s="140"/>
      <c r="F71" s="140"/>
      <c r="G71" s="140"/>
      <c r="H71" s="58" t="s">
        <v>149</v>
      </c>
      <c r="I71" s="58" t="s">
        <v>82</v>
      </c>
      <c r="J71" s="58">
        <f>1835-20</f>
        <v>1815</v>
      </c>
      <c r="K71" s="59">
        <v>3</v>
      </c>
      <c r="L71" s="58" t="s">
        <v>131</v>
      </c>
      <c r="M71" s="59">
        <v>2</v>
      </c>
      <c r="N71" s="60" t="s">
        <v>133</v>
      </c>
    </row>
    <row r="72" spans="2:14" ht="35.1" customHeight="1" x14ac:dyDescent="0.25">
      <c r="B72" s="11">
        <v>73</v>
      </c>
      <c r="C72" s="58" t="s">
        <v>110</v>
      </c>
      <c r="D72" s="140" t="s">
        <v>84</v>
      </c>
      <c r="E72" s="140"/>
      <c r="F72" s="140"/>
      <c r="G72" s="140"/>
      <c r="H72" s="58" t="s">
        <v>149</v>
      </c>
      <c r="I72" s="58" t="s">
        <v>89</v>
      </c>
      <c r="J72" s="58">
        <f>1835-20</f>
        <v>1815</v>
      </c>
      <c r="K72" s="59">
        <v>2</v>
      </c>
      <c r="L72" s="58" t="s">
        <v>133</v>
      </c>
      <c r="M72" s="59">
        <v>3</v>
      </c>
      <c r="N72" s="60" t="s">
        <v>131</v>
      </c>
    </row>
    <row r="73" spans="2:14" ht="35.1" customHeight="1" x14ac:dyDescent="0.25">
      <c r="B73" s="11">
        <v>74</v>
      </c>
      <c r="C73" s="58" t="s">
        <v>111</v>
      </c>
      <c r="D73" s="140" t="s">
        <v>84</v>
      </c>
      <c r="E73" s="140"/>
      <c r="F73" s="140"/>
      <c r="G73" s="140"/>
      <c r="H73" s="58" t="s">
        <v>149</v>
      </c>
      <c r="I73" s="58" t="s">
        <v>73</v>
      </c>
      <c r="J73" s="58">
        <v>1175</v>
      </c>
      <c r="K73" s="59">
        <v>2</v>
      </c>
      <c r="L73" s="62" t="s">
        <v>133</v>
      </c>
      <c r="M73" s="59">
        <v>3</v>
      </c>
      <c r="N73" s="60" t="s">
        <v>131</v>
      </c>
    </row>
    <row r="74" spans="2:14" ht="35.1" customHeight="1" x14ac:dyDescent="0.25">
      <c r="B74" s="11">
        <v>75</v>
      </c>
      <c r="C74" s="58" t="s">
        <v>113</v>
      </c>
      <c r="D74" s="140" t="s">
        <v>84</v>
      </c>
      <c r="E74" s="140"/>
      <c r="F74" s="140"/>
      <c r="G74" s="140"/>
      <c r="H74" s="58" t="s">
        <v>149</v>
      </c>
      <c r="I74" s="62" t="s">
        <v>158</v>
      </c>
      <c r="J74" s="58">
        <f>125+15</f>
        <v>140</v>
      </c>
      <c r="K74" s="66">
        <v>7</v>
      </c>
      <c r="L74" s="62" t="s">
        <v>164</v>
      </c>
      <c r="M74" s="59">
        <v>3</v>
      </c>
      <c r="N74" s="60" t="s">
        <v>131</v>
      </c>
    </row>
    <row r="75" spans="2:14" ht="35.1" customHeight="1" x14ac:dyDescent="0.25">
      <c r="B75" s="11">
        <v>76</v>
      </c>
      <c r="C75" s="58" t="s">
        <v>114</v>
      </c>
      <c r="D75" s="140" t="s">
        <v>84</v>
      </c>
      <c r="E75" s="140"/>
      <c r="F75" s="140"/>
      <c r="G75" s="140"/>
      <c r="H75" s="58" t="s">
        <v>149</v>
      </c>
      <c r="I75" s="62" t="s">
        <v>158</v>
      </c>
      <c r="J75" s="58">
        <v>1030</v>
      </c>
      <c r="K75" s="59">
        <v>2</v>
      </c>
      <c r="L75" s="62" t="s">
        <v>133</v>
      </c>
      <c r="M75" s="59">
        <v>7</v>
      </c>
      <c r="N75" s="60" t="s">
        <v>163</v>
      </c>
    </row>
    <row r="76" spans="2:14" ht="35.1" customHeight="1" x14ac:dyDescent="0.25">
      <c r="B76" s="11">
        <v>77</v>
      </c>
      <c r="C76" s="58" t="s">
        <v>115</v>
      </c>
      <c r="D76" s="140" t="s">
        <v>84</v>
      </c>
      <c r="E76" s="140"/>
      <c r="F76" s="140"/>
      <c r="G76" s="140"/>
      <c r="H76" s="58" t="s">
        <v>149</v>
      </c>
      <c r="I76" s="58" t="s">
        <v>76</v>
      </c>
      <c r="J76" s="58">
        <v>1175</v>
      </c>
      <c r="K76" s="59">
        <v>2</v>
      </c>
      <c r="L76" s="62" t="s">
        <v>133</v>
      </c>
      <c r="M76" s="59">
        <v>3.5</v>
      </c>
      <c r="N76" s="60" t="s">
        <v>131</v>
      </c>
    </row>
    <row r="77" spans="2:14" ht="35.1" customHeight="1" x14ac:dyDescent="0.25">
      <c r="B77" s="11">
        <v>78</v>
      </c>
      <c r="C77" s="58" t="s">
        <v>116</v>
      </c>
      <c r="D77" s="140" t="s">
        <v>84</v>
      </c>
      <c r="E77" s="140"/>
      <c r="F77" s="140"/>
      <c r="G77" s="140"/>
      <c r="H77" s="58" t="s">
        <v>149</v>
      </c>
      <c r="I77" s="58" t="s">
        <v>83</v>
      </c>
      <c r="J77" s="58">
        <f>1030-10</f>
        <v>1020</v>
      </c>
      <c r="K77" s="59">
        <v>4</v>
      </c>
      <c r="L77" s="62" t="s">
        <v>140</v>
      </c>
      <c r="M77" s="59">
        <v>2</v>
      </c>
      <c r="N77" s="60" t="s">
        <v>133</v>
      </c>
    </row>
    <row r="78" spans="2:14" ht="35.1" customHeight="1" x14ac:dyDescent="0.25">
      <c r="B78" s="11">
        <v>79</v>
      </c>
      <c r="C78" s="58" t="s">
        <v>117</v>
      </c>
      <c r="D78" s="140" t="s">
        <v>84</v>
      </c>
      <c r="E78" s="140"/>
      <c r="F78" s="140"/>
      <c r="G78" s="140"/>
      <c r="H78" s="58" t="s">
        <v>149</v>
      </c>
      <c r="I78" s="58" t="s">
        <v>78</v>
      </c>
      <c r="J78" s="58">
        <f>1020-10</f>
        <v>1010</v>
      </c>
      <c r="K78" s="59">
        <v>4</v>
      </c>
      <c r="L78" s="58" t="s">
        <v>140</v>
      </c>
      <c r="M78" s="59">
        <v>2</v>
      </c>
      <c r="N78" s="60" t="s">
        <v>133</v>
      </c>
    </row>
    <row r="79" spans="2:14" ht="35.1" customHeight="1" x14ac:dyDescent="0.25">
      <c r="B79" s="11">
        <v>80</v>
      </c>
      <c r="C79" s="58" t="s">
        <v>118</v>
      </c>
      <c r="D79" s="140" t="s">
        <v>84</v>
      </c>
      <c r="E79" s="140"/>
      <c r="F79" s="140"/>
      <c r="G79" s="140"/>
      <c r="H79" s="58" t="s">
        <v>149</v>
      </c>
      <c r="I79" s="58" t="s">
        <v>87</v>
      </c>
      <c r="J79" s="58">
        <f>1030-10</f>
        <v>1020</v>
      </c>
      <c r="K79" s="59">
        <v>2</v>
      </c>
      <c r="L79" s="62" t="s">
        <v>133</v>
      </c>
      <c r="M79" s="59">
        <v>4</v>
      </c>
      <c r="N79" s="60" t="s">
        <v>140</v>
      </c>
    </row>
    <row r="80" spans="2:14" ht="35.1" customHeight="1" x14ac:dyDescent="0.25">
      <c r="B80" s="11">
        <v>81</v>
      </c>
      <c r="C80" s="58" t="s">
        <v>119</v>
      </c>
      <c r="D80" s="140" t="s">
        <v>84</v>
      </c>
      <c r="E80" s="140"/>
      <c r="F80" s="140"/>
      <c r="G80" s="140"/>
      <c r="H80" s="58" t="s">
        <v>149</v>
      </c>
      <c r="I80" s="58" t="s">
        <v>88</v>
      </c>
      <c r="J80" s="58">
        <f>1030-10</f>
        <v>1020</v>
      </c>
      <c r="K80" s="59">
        <v>4</v>
      </c>
      <c r="L80" s="62" t="s">
        <v>140</v>
      </c>
      <c r="M80" s="59">
        <v>2</v>
      </c>
      <c r="N80" s="60" t="s">
        <v>133</v>
      </c>
    </row>
    <row r="81" spans="1:15" ht="35.1" customHeight="1" x14ac:dyDescent="0.25">
      <c r="B81" s="11">
        <v>82</v>
      </c>
      <c r="C81" s="58" t="s">
        <v>120</v>
      </c>
      <c r="D81" s="140" t="s">
        <v>84</v>
      </c>
      <c r="E81" s="140"/>
      <c r="F81" s="140"/>
      <c r="G81" s="140"/>
      <c r="H81" s="58" t="s">
        <v>149</v>
      </c>
      <c r="I81" s="58" t="s">
        <v>89</v>
      </c>
      <c r="J81" s="58">
        <v>550</v>
      </c>
      <c r="K81" s="59">
        <v>2</v>
      </c>
      <c r="L81" s="58" t="s">
        <v>133</v>
      </c>
      <c r="M81" s="59">
        <v>7</v>
      </c>
      <c r="N81" s="60" t="s">
        <v>165</v>
      </c>
    </row>
    <row r="82" spans="1:15" ht="35.1" customHeight="1" x14ac:dyDescent="0.25">
      <c r="B82" s="11">
        <v>83</v>
      </c>
      <c r="C82" s="58" t="s">
        <v>18</v>
      </c>
      <c r="D82" s="140" t="s">
        <v>84</v>
      </c>
      <c r="E82" s="140"/>
      <c r="F82" s="140"/>
      <c r="G82" s="140"/>
      <c r="H82" s="58" t="s">
        <v>149</v>
      </c>
      <c r="I82" s="58" t="s">
        <v>16</v>
      </c>
      <c r="J82" s="58">
        <f>1000-10</f>
        <v>990</v>
      </c>
      <c r="K82" s="59">
        <v>4</v>
      </c>
      <c r="L82" s="58" t="s">
        <v>140</v>
      </c>
      <c r="M82" s="59">
        <v>2</v>
      </c>
      <c r="N82" s="60" t="s">
        <v>133</v>
      </c>
    </row>
    <row r="83" spans="1:15" ht="35.1" customHeight="1" x14ac:dyDescent="0.25">
      <c r="B83" s="11">
        <v>84</v>
      </c>
      <c r="C83" s="58" t="s">
        <v>19</v>
      </c>
      <c r="D83" s="140" t="s">
        <v>84</v>
      </c>
      <c r="E83" s="140"/>
      <c r="F83" s="140"/>
      <c r="G83" s="140"/>
      <c r="H83" s="58" t="s">
        <v>149</v>
      </c>
      <c r="I83" s="58" t="s">
        <v>89</v>
      </c>
      <c r="J83" s="58">
        <f>450-10</f>
        <v>440</v>
      </c>
      <c r="K83" s="59">
        <v>4</v>
      </c>
      <c r="L83" s="62" t="s">
        <v>140</v>
      </c>
      <c r="M83" s="59">
        <v>7</v>
      </c>
      <c r="N83" s="60" t="s">
        <v>166</v>
      </c>
    </row>
    <row r="84" spans="1:15" ht="35.1" customHeight="1" x14ac:dyDescent="0.25">
      <c r="B84" s="11">
        <v>85</v>
      </c>
      <c r="C84" s="20" t="s">
        <v>20</v>
      </c>
      <c r="D84" s="136" t="s">
        <v>84</v>
      </c>
      <c r="E84" s="136"/>
      <c r="F84" s="136"/>
      <c r="G84" s="136"/>
      <c r="H84" s="20" t="s">
        <v>149</v>
      </c>
      <c r="I84" s="20" t="s">
        <v>75</v>
      </c>
      <c r="J84" s="20">
        <v>945</v>
      </c>
      <c r="K84" s="22">
        <v>3</v>
      </c>
      <c r="L84" s="68" t="s">
        <v>131</v>
      </c>
      <c r="M84" s="22">
        <v>3</v>
      </c>
      <c r="N84" s="21" t="s">
        <v>131</v>
      </c>
    </row>
    <row r="85" spans="1:15" ht="35.1" customHeight="1" x14ac:dyDescent="0.25">
      <c r="B85" s="11">
        <v>86</v>
      </c>
      <c r="C85" s="20" t="s">
        <v>21</v>
      </c>
      <c r="D85" s="136" t="s">
        <v>84</v>
      </c>
      <c r="E85" s="136"/>
      <c r="F85" s="136"/>
      <c r="G85" s="136"/>
      <c r="H85" s="20" t="s">
        <v>149</v>
      </c>
      <c r="I85" s="20" t="s">
        <v>88</v>
      </c>
      <c r="J85" s="20">
        <v>945</v>
      </c>
      <c r="K85" s="22">
        <v>3</v>
      </c>
      <c r="L85" s="20" t="s">
        <v>131</v>
      </c>
      <c r="M85" s="22">
        <v>3</v>
      </c>
      <c r="N85" s="67" t="s">
        <v>131</v>
      </c>
    </row>
    <row r="86" spans="1:15" ht="35.1" customHeight="1" x14ac:dyDescent="0.25">
      <c r="B86" s="11">
        <v>87</v>
      </c>
      <c r="C86" s="20" t="s">
        <v>121</v>
      </c>
      <c r="D86" s="136" t="s">
        <v>84</v>
      </c>
      <c r="E86" s="136"/>
      <c r="F86" s="136"/>
      <c r="G86" s="136"/>
      <c r="H86" s="20" t="s">
        <v>149</v>
      </c>
      <c r="I86" s="20" t="s">
        <v>77</v>
      </c>
      <c r="J86" s="20">
        <v>945</v>
      </c>
      <c r="K86" s="22">
        <v>3</v>
      </c>
      <c r="L86" s="20" t="s">
        <v>131</v>
      </c>
      <c r="M86" s="22">
        <v>3</v>
      </c>
      <c r="N86" s="21" t="s">
        <v>131</v>
      </c>
    </row>
    <row r="87" spans="1:15" ht="35.1" customHeight="1" x14ac:dyDescent="0.25">
      <c r="B87" s="11">
        <v>88</v>
      </c>
      <c r="C87" s="20" t="s">
        <v>122</v>
      </c>
      <c r="D87" s="136" t="s">
        <v>84</v>
      </c>
      <c r="E87" s="136"/>
      <c r="F87" s="136"/>
      <c r="G87" s="136"/>
      <c r="H87" s="20" t="s">
        <v>149</v>
      </c>
      <c r="I87" s="20" t="s">
        <v>68</v>
      </c>
      <c r="J87" s="20">
        <v>1045</v>
      </c>
      <c r="K87" s="22">
        <v>3</v>
      </c>
      <c r="L87" s="20" t="s">
        <v>136</v>
      </c>
      <c r="M87" s="22">
        <v>3</v>
      </c>
      <c r="N87" s="21" t="s">
        <v>136</v>
      </c>
      <c r="O87" s="4"/>
    </row>
    <row r="88" spans="1:15" ht="35.1" customHeight="1" x14ac:dyDescent="0.25">
      <c r="A88" s="4"/>
      <c r="B88" s="11">
        <v>89</v>
      </c>
      <c r="C88" s="20" t="s">
        <v>123</v>
      </c>
      <c r="D88" s="136" t="s">
        <v>84</v>
      </c>
      <c r="E88" s="136"/>
      <c r="F88" s="136"/>
      <c r="G88" s="136"/>
      <c r="H88" s="20" t="s">
        <v>149</v>
      </c>
      <c r="I88" s="20" t="s">
        <v>171</v>
      </c>
      <c r="J88" s="20">
        <v>1715</v>
      </c>
      <c r="K88" s="22">
        <v>3</v>
      </c>
      <c r="L88" s="20" t="s">
        <v>136</v>
      </c>
      <c r="M88" s="22">
        <v>3</v>
      </c>
      <c r="N88" s="21" t="s">
        <v>136</v>
      </c>
      <c r="O88" s="4"/>
    </row>
    <row r="89" spans="1:15" ht="35.1" customHeight="1" x14ac:dyDescent="0.25">
      <c r="B89" s="11">
        <v>92</v>
      </c>
      <c r="C89" s="20" t="s">
        <v>124</v>
      </c>
      <c r="D89" s="136" t="s">
        <v>210</v>
      </c>
      <c r="E89" s="136"/>
      <c r="F89" s="136"/>
      <c r="G89" s="136"/>
      <c r="H89" s="20" t="s">
        <v>211</v>
      </c>
      <c r="I89" s="20" t="s">
        <v>79</v>
      </c>
      <c r="J89" s="20">
        <v>1725</v>
      </c>
      <c r="K89" s="24">
        <v>10</v>
      </c>
      <c r="L89" s="68" t="s">
        <v>168</v>
      </c>
      <c r="M89" s="22">
        <v>4</v>
      </c>
      <c r="N89" s="21" t="s">
        <v>145</v>
      </c>
    </row>
    <row r="90" spans="1:15" ht="35.1" customHeight="1" x14ac:dyDescent="0.25">
      <c r="B90" s="11">
        <v>93</v>
      </c>
      <c r="C90" s="20" t="s">
        <v>125</v>
      </c>
      <c r="D90" s="136" t="s">
        <v>84</v>
      </c>
      <c r="E90" s="136"/>
      <c r="F90" s="136"/>
      <c r="G90" s="136"/>
      <c r="H90" s="20" t="s">
        <v>149</v>
      </c>
      <c r="I90" s="20" t="s">
        <v>68</v>
      </c>
      <c r="J90" s="20">
        <v>545</v>
      </c>
      <c r="K90" s="22">
        <v>3</v>
      </c>
      <c r="L90" s="20" t="s">
        <v>136</v>
      </c>
      <c r="M90" s="22">
        <v>3</v>
      </c>
      <c r="N90" s="21" t="s">
        <v>136</v>
      </c>
      <c r="O90" s="4"/>
    </row>
    <row r="91" spans="1:15" ht="35.1" customHeight="1" x14ac:dyDescent="0.25">
      <c r="B91" s="11">
        <v>94</v>
      </c>
      <c r="C91" s="20" t="s">
        <v>126</v>
      </c>
      <c r="D91" s="136" t="s">
        <v>84</v>
      </c>
      <c r="E91" s="136"/>
      <c r="F91" s="136"/>
      <c r="G91" s="136"/>
      <c r="H91" s="20" t="s">
        <v>149</v>
      </c>
      <c r="I91" s="20" t="s">
        <v>170</v>
      </c>
      <c r="J91" s="20">
        <v>3500</v>
      </c>
      <c r="K91" s="22">
        <v>3</v>
      </c>
      <c r="L91" s="20" t="s">
        <v>136</v>
      </c>
      <c r="M91" s="22">
        <v>3</v>
      </c>
      <c r="N91" s="21" t="s">
        <v>136</v>
      </c>
      <c r="O91" s="4"/>
    </row>
    <row r="92" spans="1:15" ht="35.1" customHeight="1" x14ac:dyDescent="0.25">
      <c r="A92" s="4"/>
      <c r="B92" s="11">
        <v>95</v>
      </c>
      <c r="C92" s="20" t="s">
        <v>127</v>
      </c>
      <c r="D92" s="136" t="s">
        <v>84</v>
      </c>
      <c r="E92" s="136"/>
      <c r="F92" s="136"/>
      <c r="G92" s="136"/>
      <c r="H92" s="20" t="s">
        <v>149</v>
      </c>
      <c r="I92" s="20" t="s">
        <v>68</v>
      </c>
      <c r="J92" s="20">
        <v>685</v>
      </c>
      <c r="K92" s="22">
        <v>3</v>
      </c>
      <c r="L92" s="20" t="s">
        <v>136</v>
      </c>
      <c r="M92" s="22">
        <v>3</v>
      </c>
      <c r="N92" s="21" t="s">
        <v>136</v>
      </c>
      <c r="O92" s="4"/>
    </row>
    <row r="93" spans="1:15" ht="35.1" customHeight="1" x14ac:dyDescent="0.25">
      <c r="B93" s="11">
        <v>96</v>
      </c>
      <c r="C93" s="20" t="s">
        <v>128</v>
      </c>
      <c r="D93" s="136" t="s">
        <v>84</v>
      </c>
      <c r="E93" s="136"/>
      <c r="F93" s="136"/>
      <c r="G93" s="136"/>
      <c r="H93" s="20" t="s">
        <v>149</v>
      </c>
      <c r="I93" s="20" t="s">
        <v>171</v>
      </c>
      <c r="J93" s="20">
        <v>2885</v>
      </c>
      <c r="K93" s="22">
        <v>3</v>
      </c>
      <c r="L93" s="20" t="s">
        <v>136</v>
      </c>
      <c r="M93" s="22">
        <v>3</v>
      </c>
      <c r="N93" s="21" t="s">
        <v>133</v>
      </c>
      <c r="O93" s="4"/>
    </row>
    <row r="94" spans="1:15" ht="15.75" customHeight="1" x14ac:dyDescent="0.25">
      <c r="B94" s="137"/>
      <c r="C94" s="138"/>
      <c r="D94" s="138"/>
      <c r="E94" s="138"/>
      <c r="F94" s="138"/>
      <c r="G94" s="138"/>
      <c r="H94" s="138"/>
      <c r="I94" s="138"/>
      <c r="J94" s="138"/>
      <c r="K94" s="138"/>
      <c r="L94" s="138"/>
      <c r="M94" s="138"/>
      <c r="N94" s="139"/>
    </row>
    <row r="95" spans="1:15" ht="22.5" customHeight="1" x14ac:dyDescent="0.3">
      <c r="B95" s="97" t="s">
        <v>182</v>
      </c>
      <c r="C95" s="98"/>
      <c r="D95" s="98" t="s">
        <v>181</v>
      </c>
      <c r="E95" s="98"/>
      <c r="F95" s="98"/>
      <c r="G95" s="98"/>
      <c r="H95" s="98"/>
      <c r="I95" s="98"/>
      <c r="J95" s="98"/>
      <c r="K95" s="98"/>
      <c r="L95" s="98"/>
      <c r="M95" s="98" t="s">
        <v>183</v>
      </c>
      <c r="N95" s="99"/>
    </row>
    <row r="96" spans="1:15" ht="22.5" customHeight="1" x14ac:dyDescent="0.3">
      <c r="B96" s="97">
        <v>0</v>
      </c>
      <c r="C96" s="98"/>
      <c r="D96" s="98" t="s">
        <v>203</v>
      </c>
      <c r="E96" s="98"/>
      <c r="F96" s="98"/>
      <c r="G96" s="98"/>
      <c r="H96" s="98"/>
      <c r="I96" s="98"/>
      <c r="J96" s="98"/>
      <c r="K96" s="98"/>
      <c r="L96" s="98"/>
      <c r="M96" s="100">
        <v>45787</v>
      </c>
      <c r="N96" s="99"/>
    </row>
    <row r="97" spans="2:14" ht="22.5" customHeight="1" x14ac:dyDescent="0.25">
      <c r="B97" s="135">
        <v>1</v>
      </c>
      <c r="C97" s="133"/>
      <c r="D97" s="133" t="s">
        <v>186</v>
      </c>
      <c r="E97" s="133"/>
      <c r="F97" s="133"/>
      <c r="G97" s="133"/>
      <c r="H97" s="133"/>
      <c r="I97" s="133"/>
      <c r="J97" s="133"/>
      <c r="K97" s="133"/>
      <c r="L97" s="133"/>
      <c r="M97" s="131">
        <v>45812</v>
      </c>
      <c r="N97" s="132"/>
    </row>
    <row r="98" spans="2:14" ht="36.75" customHeight="1" x14ac:dyDescent="0.25">
      <c r="B98" s="129">
        <v>2</v>
      </c>
      <c r="C98" s="130"/>
      <c r="D98" s="130" t="s">
        <v>189</v>
      </c>
      <c r="E98" s="130"/>
      <c r="F98" s="130"/>
      <c r="G98" s="130"/>
      <c r="H98" s="130"/>
      <c r="I98" s="130"/>
      <c r="J98" s="130"/>
      <c r="K98" s="130"/>
      <c r="L98" s="130"/>
      <c r="M98" s="131">
        <v>45818</v>
      </c>
      <c r="N98" s="132"/>
    </row>
    <row r="99" spans="2:14" ht="32.25" customHeight="1" x14ac:dyDescent="0.25">
      <c r="B99" s="129"/>
      <c r="C99" s="130"/>
      <c r="D99" s="133" t="s">
        <v>188</v>
      </c>
      <c r="E99" s="133"/>
      <c r="F99" s="133"/>
      <c r="G99" s="133"/>
      <c r="H99" s="133"/>
      <c r="I99" s="133"/>
      <c r="J99" s="133"/>
      <c r="K99" s="133"/>
      <c r="L99" s="133"/>
      <c r="M99" s="131">
        <v>45818</v>
      </c>
      <c r="N99" s="132"/>
    </row>
    <row r="100" spans="2:14" ht="26.25" customHeight="1" x14ac:dyDescent="0.25">
      <c r="B100" s="129">
        <v>3</v>
      </c>
      <c r="C100" s="130"/>
      <c r="D100" s="133" t="s">
        <v>201</v>
      </c>
      <c r="E100" s="133"/>
      <c r="F100" s="133"/>
      <c r="G100" s="133"/>
      <c r="H100" s="133"/>
      <c r="I100" s="133"/>
      <c r="J100" s="133"/>
      <c r="K100" s="133"/>
      <c r="L100" s="133"/>
      <c r="M100" s="131">
        <v>45854</v>
      </c>
      <c r="N100" s="132"/>
    </row>
    <row r="101" spans="2:14" ht="39.75" customHeight="1" x14ac:dyDescent="0.25">
      <c r="B101" s="129"/>
      <c r="C101" s="130"/>
      <c r="D101" s="130" t="s">
        <v>202</v>
      </c>
      <c r="E101" s="130"/>
      <c r="F101" s="130"/>
      <c r="G101" s="130"/>
      <c r="H101" s="130"/>
      <c r="I101" s="130"/>
      <c r="J101" s="130"/>
      <c r="K101" s="130"/>
      <c r="L101" s="130"/>
      <c r="M101" s="131">
        <v>45854</v>
      </c>
      <c r="N101" s="132"/>
    </row>
    <row r="102" spans="2:14" ht="48" customHeight="1" x14ac:dyDescent="0.25">
      <c r="B102" s="129">
        <v>4</v>
      </c>
      <c r="C102" s="130"/>
      <c r="D102" s="127" t="s">
        <v>205</v>
      </c>
      <c r="E102" s="127"/>
      <c r="F102" s="127"/>
      <c r="G102" s="127"/>
      <c r="H102" s="127"/>
      <c r="I102" s="127"/>
      <c r="J102" s="127"/>
      <c r="K102" s="127"/>
      <c r="L102" s="128"/>
      <c r="M102" s="125">
        <v>45862</v>
      </c>
      <c r="N102" s="126"/>
    </row>
    <row r="103" spans="2:14" ht="39.75" customHeight="1" x14ac:dyDescent="0.25">
      <c r="B103" s="129"/>
      <c r="C103" s="130"/>
      <c r="D103" s="127" t="s">
        <v>204</v>
      </c>
      <c r="E103" s="127"/>
      <c r="F103" s="127"/>
      <c r="G103" s="127"/>
      <c r="H103" s="127"/>
      <c r="I103" s="127"/>
      <c r="J103" s="127"/>
      <c r="K103" s="127"/>
      <c r="L103" s="128"/>
      <c r="M103" s="125">
        <v>45867</v>
      </c>
      <c r="N103" s="126"/>
    </row>
    <row r="104" spans="2:14" ht="39.75" customHeight="1" x14ac:dyDescent="0.25">
      <c r="B104" s="129"/>
      <c r="C104" s="130"/>
      <c r="D104" s="133" t="s">
        <v>206</v>
      </c>
      <c r="E104" s="133"/>
      <c r="F104" s="133"/>
      <c r="G104" s="133"/>
      <c r="H104" s="133"/>
      <c r="I104" s="133"/>
      <c r="J104" s="133"/>
      <c r="K104" s="133"/>
      <c r="L104" s="133"/>
      <c r="M104" s="125">
        <v>45873</v>
      </c>
      <c r="N104" s="126"/>
    </row>
    <row r="105" spans="2:14" ht="39.75" customHeight="1" x14ac:dyDescent="0.25">
      <c r="B105" s="134">
        <v>5</v>
      </c>
      <c r="C105" s="128"/>
      <c r="D105" s="133" t="s">
        <v>207</v>
      </c>
      <c r="E105" s="133"/>
      <c r="F105" s="133"/>
      <c r="G105" s="133"/>
      <c r="H105" s="133"/>
      <c r="I105" s="133"/>
      <c r="J105" s="133"/>
      <c r="K105" s="133"/>
      <c r="L105" s="133"/>
      <c r="M105" s="125">
        <v>45920</v>
      </c>
      <c r="N105" s="126"/>
    </row>
    <row r="106" spans="2:14" ht="39.75" customHeight="1" x14ac:dyDescent="0.25">
      <c r="B106" s="134">
        <v>6</v>
      </c>
      <c r="C106" s="128"/>
      <c r="D106" s="133" t="s">
        <v>208</v>
      </c>
      <c r="E106" s="133"/>
      <c r="F106" s="133"/>
      <c r="G106" s="133"/>
      <c r="H106" s="133"/>
      <c r="I106" s="133"/>
      <c r="J106" s="133"/>
      <c r="K106" s="133"/>
      <c r="L106" s="133"/>
      <c r="M106" s="125">
        <v>45937</v>
      </c>
      <c r="N106" s="126"/>
    </row>
    <row r="107" spans="2:14" ht="32.25" customHeight="1" thickBot="1" x14ac:dyDescent="0.3">
      <c r="B107" s="88" t="s">
        <v>200</v>
      </c>
      <c r="C107" s="89"/>
      <c r="D107" s="89"/>
      <c r="E107" s="89"/>
      <c r="F107" s="89"/>
      <c r="G107" s="89"/>
      <c r="H107" s="90"/>
      <c r="I107" s="91" t="s">
        <v>199</v>
      </c>
      <c r="J107" s="89"/>
      <c r="K107" s="90"/>
      <c r="L107" s="91" t="s">
        <v>198</v>
      </c>
      <c r="M107" s="89"/>
      <c r="N107" s="92"/>
    </row>
    <row r="108" spans="2:14" ht="15.75" x14ac:dyDescent="0.25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</sheetData>
  <sheetProtection password="DE0D" sheet="1" objects="1" scenarios="1"/>
  <mergeCells count="135">
    <mergeCell ref="B1:N1"/>
    <mergeCell ref="B2:N2"/>
    <mergeCell ref="B3:G3"/>
    <mergeCell ref="K3:L3"/>
    <mergeCell ref="M3:N3"/>
    <mergeCell ref="B4:G4"/>
    <mergeCell ref="K4:L4"/>
    <mergeCell ref="M4:N4"/>
    <mergeCell ref="D102:L102"/>
    <mergeCell ref="M102:N102"/>
    <mergeCell ref="D9:G9"/>
    <mergeCell ref="D10:G10"/>
    <mergeCell ref="D11:G11"/>
    <mergeCell ref="D12:G12"/>
    <mergeCell ref="B5:G5"/>
    <mergeCell ref="K5:L5"/>
    <mergeCell ref="M5:N5"/>
    <mergeCell ref="D6:G6"/>
    <mergeCell ref="D7:G7"/>
    <mergeCell ref="D8:G8"/>
    <mergeCell ref="D19:G19"/>
    <mergeCell ref="D20:G20"/>
    <mergeCell ref="D21:G21"/>
    <mergeCell ref="D22:G22"/>
    <mergeCell ref="D23:G23"/>
    <mergeCell ref="D24:G24"/>
    <mergeCell ref="D13:G13"/>
    <mergeCell ref="D14:G14"/>
    <mergeCell ref="D15:G15"/>
    <mergeCell ref="D16:G16"/>
    <mergeCell ref="D17:G17"/>
    <mergeCell ref="D18:G18"/>
    <mergeCell ref="D31:G31"/>
    <mergeCell ref="D32:G32"/>
    <mergeCell ref="D33:G33"/>
    <mergeCell ref="D34:G34"/>
    <mergeCell ref="D25:G25"/>
    <mergeCell ref="D26:G26"/>
    <mergeCell ref="D27:G27"/>
    <mergeCell ref="D28:G28"/>
    <mergeCell ref="D29:G29"/>
    <mergeCell ref="D30:G30"/>
    <mergeCell ref="D41:G41"/>
    <mergeCell ref="D42:G42"/>
    <mergeCell ref="D43:G43"/>
    <mergeCell ref="D44:G44"/>
    <mergeCell ref="D45:G45"/>
    <mergeCell ref="D46:G46"/>
    <mergeCell ref="D35:G35"/>
    <mergeCell ref="D36:G36"/>
    <mergeCell ref="D37:G37"/>
    <mergeCell ref="D38:G38"/>
    <mergeCell ref="D39:G39"/>
    <mergeCell ref="D40:G40"/>
    <mergeCell ref="D52:G52"/>
    <mergeCell ref="D53:G53"/>
    <mergeCell ref="D54:G54"/>
    <mergeCell ref="D55:G55"/>
    <mergeCell ref="D56:G56"/>
    <mergeCell ref="D57:G57"/>
    <mergeCell ref="D47:G47"/>
    <mergeCell ref="D48:G48"/>
    <mergeCell ref="D49:G49"/>
    <mergeCell ref="D50:G50"/>
    <mergeCell ref="D51:G51"/>
    <mergeCell ref="D62:G62"/>
    <mergeCell ref="D63:G63"/>
    <mergeCell ref="D64:G64"/>
    <mergeCell ref="D65:G65"/>
    <mergeCell ref="D66:G66"/>
    <mergeCell ref="D67:G67"/>
    <mergeCell ref="D58:G58"/>
    <mergeCell ref="D59:G59"/>
    <mergeCell ref="D60:G60"/>
    <mergeCell ref="D61:G61"/>
    <mergeCell ref="D74:G74"/>
    <mergeCell ref="D75:G75"/>
    <mergeCell ref="D76:G76"/>
    <mergeCell ref="D77:G77"/>
    <mergeCell ref="D78:G78"/>
    <mergeCell ref="D79:G79"/>
    <mergeCell ref="D68:G68"/>
    <mergeCell ref="D69:G69"/>
    <mergeCell ref="D70:G70"/>
    <mergeCell ref="D71:G71"/>
    <mergeCell ref="D72:G72"/>
    <mergeCell ref="D73:G73"/>
    <mergeCell ref="D86:G86"/>
    <mergeCell ref="D87:G87"/>
    <mergeCell ref="D88:G88"/>
    <mergeCell ref="D89:G89"/>
    <mergeCell ref="D80:G80"/>
    <mergeCell ref="D81:G81"/>
    <mergeCell ref="D82:G82"/>
    <mergeCell ref="D83:G83"/>
    <mergeCell ref="D84:G84"/>
    <mergeCell ref="D85:G85"/>
    <mergeCell ref="B96:C96"/>
    <mergeCell ref="D96:L96"/>
    <mergeCell ref="M96:N96"/>
    <mergeCell ref="B97:C97"/>
    <mergeCell ref="D97:L97"/>
    <mergeCell ref="M97:N97"/>
    <mergeCell ref="D90:G90"/>
    <mergeCell ref="D91:G91"/>
    <mergeCell ref="D92:G92"/>
    <mergeCell ref="D93:G93"/>
    <mergeCell ref="B94:N94"/>
    <mergeCell ref="B95:C95"/>
    <mergeCell ref="D95:L95"/>
    <mergeCell ref="M95:N95"/>
    <mergeCell ref="M103:N103"/>
    <mergeCell ref="D103:L103"/>
    <mergeCell ref="B107:H107"/>
    <mergeCell ref="I107:K107"/>
    <mergeCell ref="L107:N107"/>
    <mergeCell ref="B98:C99"/>
    <mergeCell ref="D98:L98"/>
    <mergeCell ref="M98:N98"/>
    <mergeCell ref="D99:L99"/>
    <mergeCell ref="M99:N99"/>
    <mergeCell ref="B100:C101"/>
    <mergeCell ref="D100:L100"/>
    <mergeCell ref="M100:N100"/>
    <mergeCell ref="D101:L101"/>
    <mergeCell ref="M101:N101"/>
    <mergeCell ref="D106:L106"/>
    <mergeCell ref="M106:N106"/>
    <mergeCell ref="D104:L104"/>
    <mergeCell ref="M104:N104"/>
    <mergeCell ref="B102:C104"/>
    <mergeCell ref="B106:C106"/>
    <mergeCell ref="B105:C105"/>
    <mergeCell ref="D105:L105"/>
    <mergeCell ref="M105:N105"/>
  </mergeCells>
  <printOptions horizontalCentered="1" verticalCentered="1"/>
  <pageMargins left="0" right="0" top="0" bottom="0" header="0" footer="0"/>
  <pageSetup paperSize="9" scale="68" orientation="landscape" r:id="rId1"/>
  <headerFooter scaleWithDoc="0" alignWithMargins="0">
    <firstFooter>&amp;RPage :1 of 2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REV-5 UPDATED  (2)</vt:lpstr>
      <vt:lpstr>Sheet1</vt:lpstr>
      <vt:lpstr>REVISION HISTORY</vt:lpstr>
      <vt:lpstr>REV-5 UPDATED </vt:lpstr>
      <vt:lpstr>'REV-5 UPDATED '!Print_Area</vt:lpstr>
      <vt:lpstr>'REV-5 UPDATED  (2)'!Print_Area</vt:lpstr>
      <vt:lpstr>'REV-5 UPDATED '!Print_Titles</vt:lpstr>
      <vt:lpstr>'REV-5 UPDATED  (2)'!Print_Titles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Chander Mohan</cp:lastModifiedBy>
  <cp:lastPrinted>2025-11-27T09:21:11Z</cp:lastPrinted>
  <dcterms:created xsi:type="dcterms:W3CDTF">2022-06-15T04:51:40Z</dcterms:created>
  <dcterms:modified xsi:type="dcterms:W3CDTF">2025-12-15T07:14:27Z</dcterms:modified>
</cp:coreProperties>
</file>