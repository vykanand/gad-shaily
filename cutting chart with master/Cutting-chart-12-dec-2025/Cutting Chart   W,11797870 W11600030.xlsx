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ownloads\"/>
    </mc:Choice>
  </mc:AlternateContent>
  <bookViews>
    <workbookView xWindow="0" yWindow="0" windowWidth="20490" windowHeight="7350" activeTab="1"/>
  </bookViews>
  <sheets>
    <sheet name=" W11600030 " sheetId="1" r:id="rId1"/>
    <sheet name=" W11600030  (2)" sheetId="2" r:id="rId2"/>
  </sheets>
  <definedNames>
    <definedName name="_xlnm._FilterDatabase" localSheetId="0" hidden="1">' W11600030 '!$B$7:$M$37</definedName>
    <definedName name="_xlnm._FilterDatabase" localSheetId="1" hidden="1">' W11600030  (2)'!$B$7:$T$35</definedName>
    <definedName name="_xlnm.Print_Area" localSheetId="0">' W11600030 '!$B$1:$N$39</definedName>
    <definedName name="_xlnm.Print_Area" localSheetId="1">' W11600030  (2)'!$B$1:$N$39</definedName>
    <definedName name="_xlnm.Print_Titles" localSheetId="0">' W11600030 '!$B:$M,' W11600030 '!$1:$7</definedName>
    <definedName name="_xlnm.Print_Titles" localSheetId="1">' W11600030  (2)'!$B:$M,' W11600030  (2)'!$1:$7</definedName>
  </definedNames>
  <calcPr calcId="162913"/>
</workbook>
</file>

<file path=xl/calcChain.xml><?xml version="1.0" encoding="utf-8"?>
<calcChain xmlns="http://schemas.openxmlformats.org/spreadsheetml/2006/main">
  <c r="I27" i="2" l="1"/>
  <c r="I26" i="2"/>
  <c r="I23" i="2"/>
  <c r="I22" i="2"/>
  <c r="I21" i="2"/>
  <c r="I15" i="2"/>
  <c r="I13" i="2"/>
  <c r="I11" i="2"/>
  <c r="I27" i="1" l="1"/>
  <c r="I26" i="1"/>
  <c r="I23" i="1"/>
  <c r="I22" i="1"/>
  <c r="I21" i="1"/>
  <c r="I15" i="1"/>
  <c r="I13" i="1"/>
  <c r="I11" i="1"/>
</calcChain>
</file>

<file path=xl/sharedStrings.xml><?xml version="1.0" encoding="utf-8"?>
<sst xmlns="http://schemas.openxmlformats.org/spreadsheetml/2006/main" count="392" uniqueCount="102">
  <si>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</si>
  <si>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</si>
  <si>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</si>
  <si>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</si>
  <si>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</si>
  <si>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</si>
  <si>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</si>
  <si>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</si>
  <si>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</si>
  <si>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</si>
  <si>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</si>
  <si>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</si>
  <si>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</si>
  <si>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</si>
  <si>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</si>
  <si>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Blue</t>
  </si>
  <si>
    <t>Prepared By:</t>
  </si>
  <si>
    <t>Checked By:</t>
  </si>
  <si>
    <t>Approved By:</t>
  </si>
  <si>
    <t>Ref</t>
  </si>
  <si>
    <t>UL 1569 # 22</t>
  </si>
  <si>
    <t>172718-5121</t>
  </si>
  <si>
    <t xml:space="preserve">17 , 0.160 , 1.60 </t>
  </si>
  <si>
    <t>Red - Blue</t>
  </si>
  <si>
    <t>Red - Black</t>
  </si>
  <si>
    <t>Violet</t>
  </si>
  <si>
    <t>SPL-PS
63130-2 …A</t>
  </si>
  <si>
    <t>SPL-PS
63130-2 …B</t>
  </si>
  <si>
    <t xml:space="preserve"> 43030-0001</t>
  </si>
  <si>
    <t>UL 1015 # 20</t>
  </si>
  <si>
    <t>26 , 0.160 , 2.50</t>
  </si>
  <si>
    <t>White</t>
  </si>
  <si>
    <t>172718-4121</t>
  </si>
  <si>
    <t>350851-1</t>
  </si>
  <si>
    <t>Red / White</t>
  </si>
  <si>
    <t>Black</t>
  </si>
  <si>
    <t>2350223-1</t>
  </si>
  <si>
    <t>Green</t>
  </si>
  <si>
    <t>SPL-WIDE-2
63130-2 …B</t>
  </si>
  <si>
    <t>SPL-WIDE-2
63130-2 …A</t>
  </si>
  <si>
    <t>43030-0001</t>
  </si>
  <si>
    <t>SPL-A40
63130-2 … A</t>
  </si>
  <si>
    <t>SPL-A40
63130-2 … B</t>
  </si>
  <si>
    <t>Yellow</t>
  </si>
  <si>
    <t>Brown</t>
  </si>
  <si>
    <t>UL 1015 # 16</t>
  </si>
  <si>
    <t>65 , 0.160 , 3.10</t>
  </si>
  <si>
    <t>Green / Yellow</t>
  </si>
  <si>
    <t>172718-2121</t>
  </si>
  <si>
    <t>Splice- 10
485043-1 …... A</t>
  </si>
  <si>
    <t>61795-1</t>
  </si>
  <si>
    <t>Splice-10
485043-1 ….. A</t>
  </si>
  <si>
    <t>4006-2003</t>
  </si>
  <si>
    <t>Splice-10
485043-1 …....B</t>
  </si>
  <si>
    <t>Sky Blue</t>
  </si>
  <si>
    <t>Pink</t>
  </si>
  <si>
    <t>TAN
Light Brown</t>
  </si>
  <si>
    <t>SPL-FT-1
63130-2 …A 
( Heater-W11560436)</t>
  </si>
  <si>
    <t>SPL-FT-2
63130-2 …A 
( Heater-W11560436)</t>
  </si>
  <si>
    <t>Heater(W11561252)
63130-2</t>
  </si>
  <si>
    <t>Heater
63130-2(W11561252)</t>
  </si>
  <si>
    <t xml:space="preserve">W11660635
W11797870
 W11600030 </t>
  </si>
  <si>
    <t>Formate No.</t>
  </si>
  <si>
    <t>Cutting Chart No.</t>
  </si>
  <si>
    <t>Ref. Drawing Rev. No.</t>
  </si>
  <si>
    <t>Cutting Chart Rev.No.</t>
  </si>
  <si>
    <t>Cutting Chart Issue Date</t>
  </si>
  <si>
    <t>F</t>
  </si>
  <si>
    <t>GAD/BM-16/CC/028</t>
  </si>
  <si>
    <t>WCC/WHP/01</t>
  </si>
  <si>
    <t>CODE</t>
  </si>
  <si>
    <t>DESCRIPTION</t>
  </si>
  <si>
    <t>UL1569AWG22TANBROWN(BARE)</t>
  </si>
  <si>
    <t>UL1569AWG22RED/BLACK(BARE)</t>
  </si>
  <si>
    <t>UL1569AWG22RED/BLUE(BARE)</t>
  </si>
  <si>
    <t>UL1569AWG22VOILET(BARE)</t>
  </si>
  <si>
    <t>SFG00391</t>
  </si>
  <si>
    <t>UL1015AWG20White(BARE)</t>
  </si>
  <si>
    <t>SFG00965</t>
  </si>
  <si>
    <t>UL1015AWG20Red/White(BARE)</t>
  </si>
  <si>
    <t>SFG00490</t>
  </si>
  <si>
    <t>UL1569AWG22Black(BARE)</t>
  </si>
  <si>
    <t>SFG00496</t>
  </si>
  <si>
    <t>UL1569AWG22Green(BARE)</t>
  </si>
  <si>
    <t>SFG00503</t>
  </si>
  <si>
    <t>UL1569AWG22Blue(BARE)</t>
  </si>
  <si>
    <t>SFG00494</t>
  </si>
  <si>
    <t>UL1569AWG22Yellow(BARE)</t>
  </si>
  <si>
    <t>SFG00492</t>
  </si>
  <si>
    <t>UL1569AWG22Brown(BARE)</t>
  </si>
  <si>
    <t>SFG00441</t>
  </si>
  <si>
    <t>UL1015AWG16Green/Yellow(BARE)</t>
  </si>
  <si>
    <t>SFG00956</t>
  </si>
  <si>
    <t>UL1569AWG22SkyBlue(BARE)</t>
  </si>
  <si>
    <t>SFG00505</t>
  </si>
  <si>
    <t>UL1569AWG22Pink(BARE)</t>
  </si>
  <si>
    <t>SFG00495</t>
  </si>
  <si>
    <t>UL1569AWG22White(BARE)</t>
  </si>
  <si>
    <t>SFG00953</t>
  </si>
  <si>
    <t>SFG00952</t>
  </si>
  <si>
    <t>SFG00957</t>
  </si>
  <si>
    <t>SFG00497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</si>
</sst>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0" borderId="0"/>
    <xf numFmtId="0" fontId="1" fillId="0" borderId="0"/>
    <xf numFmtId="0" fontId="7" fillId="0" borderId="0"/>
    <xf numFmtId="9" fontId="9" fillId="0" borderId="0" applyFont="0" applyFill="0" applyBorder="0" applyAlignment="0" applyProtection="0"/>
  </cellStyleXfs>
  <cellXfs count="79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23" xfId="0" applyFont="1" applyBorder="1"/>
    <xf numFmtId="0" fontId="7" fillId="0" borderId="24" xfId="0" applyFont="1" applyBorder="1"/>
    <xf numFmtId="0" fontId="4" fillId="0" borderId="7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7" fillId="0" borderId="0" xfId="0" applyFont="1"/>
    <xf numFmtId="0" fontId="4" fillId="3" borderId="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2" fontId="4" fillId="3" borderId="6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2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0" fillId="0" borderId="0" xfId="0" applyFill="1" applyBorder="1"/>
    <xf numFmtId="0" fontId="4" fillId="0" borderId="6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2" fontId="4" fillId="4" borderId="6" xfId="0" applyNumberFormat="1" applyFont="1" applyFill="1" applyBorder="1" applyAlignment="1">
      <alignment horizontal="center" vertical="center"/>
    </xf>
    <xf numFmtId="2" fontId="4" fillId="0" borderId="6" xfId="0" applyNumberFormat="1" applyFont="1" applyFill="1" applyBorder="1" applyAlignment="1">
      <alignment horizontal="center" vertical="center"/>
    </xf>
    <xf numFmtId="2" fontId="10" fillId="0" borderId="6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0" fillId="0" borderId="6" xfId="0" applyBorder="1"/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V39"/>
  <sheetViews>
    <sheetView zoomScale="85" zoomScaleNormal="85" workbookViewId="0">
      <selection activeCell="L11" sqref="L11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9.85546875" customWidth="1"/>
    <col min="7" max="7" width="26" customWidth="1"/>
    <col min="8" max="8" width="25.7109375" bestFit="1" customWidth="1"/>
    <col min="9" max="9" width="14.85546875" customWidth="1"/>
    <col min="10" max="10" width="11.5703125" customWidth="1"/>
    <col min="11" max="11" width="27.140625" customWidth="1"/>
    <col min="12" max="12" width="11.5703125" customWidth="1"/>
    <col min="13" max="13" width="27.42578125" customWidth="1"/>
    <col min="14" max="14" width="23" hidden="1" customWidth="1"/>
  </cols>
  <sheetData>
    <row r="1" spans="2:22" ht="55.5" customHeight="1" thickBot="1" x14ac:dyDescent="0.4">
      <c r="B1" s="41" t="s">
        <v>0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3"/>
    </row>
    <row r="2" spans="2:22" ht="28.35" customHeight="1" x14ac:dyDescent="0.25">
      <c r="B2" s="44" t="s">
        <v>1</v>
      </c>
      <c r="C2" s="45"/>
      <c r="D2" s="45"/>
      <c r="E2" s="45"/>
      <c r="F2" s="46"/>
      <c r="G2" s="46"/>
      <c r="H2" s="46"/>
      <c r="I2" s="46"/>
      <c r="J2" s="46"/>
      <c r="K2" s="46"/>
      <c r="L2" s="46"/>
      <c r="M2" s="47"/>
    </row>
    <row r="3" spans="2:22" ht="32.25" customHeight="1" x14ac:dyDescent="0.25">
      <c r="B3" s="48" t="s">
        <v>2</v>
      </c>
      <c r="C3" s="49"/>
      <c r="D3" s="49"/>
      <c r="E3" s="49"/>
      <c r="F3" s="50"/>
      <c r="G3" s="54" t="s">
        <v>61</v>
      </c>
      <c r="H3" s="35" t="s">
        <v>64</v>
      </c>
      <c r="I3" s="26" t="s">
        <v>67</v>
      </c>
      <c r="J3" s="56" t="s">
        <v>62</v>
      </c>
      <c r="K3" s="77"/>
      <c r="L3" s="39" t="s">
        <v>68</v>
      </c>
      <c r="M3" s="39"/>
    </row>
    <row r="4" spans="2:22" ht="39.950000000000003" customHeight="1" x14ac:dyDescent="0.25">
      <c r="B4" s="51"/>
      <c r="C4" s="52"/>
      <c r="D4" s="52"/>
      <c r="E4" s="52"/>
      <c r="F4" s="53"/>
      <c r="G4" s="55"/>
      <c r="H4" s="35" t="s">
        <v>65</v>
      </c>
      <c r="I4" s="26">
        <v>1</v>
      </c>
      <c r="J4" s="56" t="s">
        <v>63</v>
      </c>
      <c r="K4" s="57"/>
      <c r="L4" s="39" t="s">
        <v>69</v>
      </c>
      <c r="M4" s="58"/>
    </row>
    <row r="5" spans="2:22" ht="21" customHeight="1" x14ac:dyDescent="0.25">
      <c r="B5" s="59" t="s">
        <v>3</v>
      </c>
      <c r="C5" s="57"/>
      <c r="D5" s="57"/>
      <c r="E5" s="57"/>
      <c r="F5" s="39"/>
      <c r="G5" s="1" t="s">
        <v>4</v>
      </c>
      <c r="H5" s="39" t="s">
        <v>66</v>
      </c>
      <c r="I5" s="40">
        <v>45973</v>
      </c>
      <c r="J5" s="56"/>
      <c r="K5" s="57"/>
      <c r="L5" s="39"/>
      <c r="M5" s="58"/>
    </row>
    <row r="6" spans="2:22" ht="21" customHeight="1" thickBot="1" x14ac:dyDescent="0.3">
      <c r="B6" s="60" t="s">
        <v>5</v>
      </c>
      <c r="C6" s="50"/>
      <c r="D6" s="50"/>
      <c r="E6" s="50"/>
      <c r="F6" s="61"/>
      <c r="G6" s="2" t="s">
        <v>19</v>
      </c>
      <c r="H6" s="39"/>
      <c r="I6" s="39"/>
      <c r="J6" s="62" t="s">
        <v>6</v>
      </c>
      <c r="K6" s="63"/>
      <c r="L6" s="64" t="s">
        <v>7</v>
      </c>
      <c r="M6" s="65"/>
    </row>
    <row r="7" spans="2:22" ht="56.25" customHeight="1" x14ac:dyDescent="0.25">
      <c r="B7" s="23" t="s">
        <v>8</v>
      </c>
      <c r="C7" s="67" t="s">
        <v>9</v>
      </c>
      <c r="D7" s="67"/>
      <c r="E7" s="67"/>
      <c r="F7" s="67"/>
      <c r="G7" s="24" t="s">
        <v>10</v>
      </c>
      <c r="H7" s="33" t="s">
        <v>11</v>
      </c>
      <c r="I7" s="34" t="s">
        <v>12</v>
      </c>
      <c r="J7" s="24" t="s">
        <v>13</v>
      </c>
      <c r="K7" s="24" t="s">
        <v>14</v>
      </c>
      <c r="L7" s="24" t="s">
        <v>13</v>
      </c>
      <c r="M7" s="25" t="s">
        <v>14</v>
      </c>
      <c r="R7" s="27"/>
      <c r="S7" s="27"/>
      <c r="T7" s="27"/>
      <c r="U7" s="27"/>
      <c r="V7" s="27"/>
    </row>
    <row r="8" spans="2:22" ht="35.1" customHeight="1" x14ac:dyDescent="0.25">
      <c r="B8" s="3">
        <v>1</v>
      </c>
      <c r="C8" s="66" t="s">
        <v>29</v>
      </c>
      <c r="D8" s="66"/>
      <c r="E8" s="66"/>
      <c r="F8" s="66"/>
      <c r="G8" s="13" t="s">
        <v>30</v>
      </c>
      <c r="H8" s="13" t="s">
        <v>31</v>
      </c>
      <c r="I8" s="13">
        <v>1470</v>
      </c>
      <c r="J8" s="16">
        <v>3</v>
      </c>
      <c r="K8" s="13" t="s">
        <v>32</v>
      </c>
      <c r="L8" s="16">
        <v>4.8</v>
      </c>
      <c r="M8" s="17" t="s">
        <v>33</v>
      </c>
      <c r="R8" s="27"/>
      <c r="S8" s="76"/>
      <c r="T8" s="76"/>
      <c r="U8" s="76"/>
      <c r="V8" s="76"/>
    </row>
    <row r="9" spans="2:22" ht="35.1" customHeight="1" x14ac:dyDescent="0.25">
      <c r="B9" s="3">
        <v>2</v>
      </c>
      <c r="C9" s="66" t="s">
        <v>29</v>
      </c>
      <c r="D9" s="66"/>
      <c r="E9" s="66"/>
      <c r="F9" s="66"/>
      <c r="G9" s="13" t="s">
        <v>30</v>
      </c>
      <c r="H9" s="13" t="s">
        <v>34</v>
      </c>
      <c r="I9" s="13">
        <v>1470</v>
      </c>
      <c r="J9" s="16">
        <v>3</v>
      </c>
      <c r="K9" s="13" t="s">
        <v>32</v>
      </c>
      <c r="L9" s="16">
        <v>4.8</v>
      </c>
      <c r="M9" s="17" t="s">
        <v>33</v>
      </c>
      <c r="R9" s="27"/>
      <c r="S9" s="76"/>
      <c r="T9" s="76"/>
      <c r="U9" s="76"/>
      <c r="V9" s="76"/>
    </row>
    <row r="10" spans="2:22" ht="35.1" customHeight="1" x14ac:dyDescent="0.35">
      <c r="B10" s="3">
        <v>3</v>
      </c>
      <c r="C10" s="66" t="s">
        <v>20</v>
      </c>
      <c r="D10" s="66"/>
      <c r="E10" s="66"/>
      <c r="F10" s="66"/>
      <c r="G10" s="13" t="s">
        <v>22</v>
      </c>
      <c r="H10" s="13" t="s">
        <v>35</v>
      </c>
      <c r="I10" s="13">
        <v>1035</v>
      </c>
      <c r="J10" s="16">
        <v>2</v>
      </c>
      <c r="K10" s="13" t="s">
        <v>36</v>
      </c>
      <c r="L10" s="16">
        <v>3.5</v>
      </c>
      <c r="M10" s="17" t="s">
        <v>21</v>
      </c>
      <c r="R10" s="27"/>
      <c r="S10" s="27"/>
      <c r="T10" s="27"/>
      <c r="U10" s="27"/>
      <c r="V10" s="27"/>
    </row>
    <row r="11" spans="2:22" ht="35.1" customHeight="1" x14ac:dyDescent="0.25">
      <c r="B11" s="3">
        <v>4</v>
      </c>
      <c r="C11" s="66" t="s">
        <v>20</v>
      </c>
      <c r="D11" s="66"/>
      <c r="E11" s="66"/>
      <c r="F11" s="66"/>
      <c r="G11" s="13" t="s">
        <v>22</v>
      </c>
      <c r="H11" s="13" t="s">
        <v>37</v>
      </c>
      <c r="I11" s="13">
        <f>390+100</f>
        <v>490</v>
      </c>
      <c r="J11" s="16">
        <v>2</v>
      </c>
      <c r="K11" s="13" t="s">
        <v>36</v>
      </c>
      <c r="L11" s="16">
        <v>6</v>
      </c>
      <c r="M11" s="18" t="s">
        <v>38</v>
      </c>
      <c r="R11" s="27"/>
      <c r="S11" s="27"/>
      <c r="T11" s="27"/>
      <c r="U11" s="27"/>
      <c r="V11" s="27"/>
    </row>
    <row r="12" spans="2:22" ht="35.1" customHeight="1" x14ac:dyDescent="0.25">
      <c r="B12" s="3">
        <v>5</v>
      </c>
      <c r="C12" s="66" t="s">
        <v>20</v>
      </c>
      <c r="D12" s="66"/>
      <c r="E12" s="66"/>
      <c r="F12" s="66"/>
      <c r="G12" s="13" t="s">
        <v>22</v>
      </c>
      <c r="H12" s="13" t="s">
        <v>37</v>
      </c>
      <c r="I12" s="13">
        <v>560</v>
      </c>
      <c r="J12" s="16">
        <v>3.5</v>
      </c>
      <c r="K12" s="13" t="s">
        <v>21</v>
      </c>
      <c r="L12" s="16">
        <v>6</v>
      </c>
      <c r="M12" s="18" t="s">
        <v>39</v>
      </c>
    </row>
    <row r="13" spans="2:22" ht="35.1" customHeight="1" x14ac:dyDescent="0.25">
      <c r="B13" s="3">
        <v>6</v>
      </c>
      <c r="C13" s="66" t="s">
        <v>20</v>
      </c>
      <c r="D13" s="66"/>
      <c r="E13" s="66"/>
      <c r="F13" s="66"/>
      <c r="G13" s="13" t="s">
        <v>22</v>
      </c>
      <c r="H13" s="13" t="s">
        <v>37</v>
      </c>
      <c r="I13" s="13">
        <f>285+15+100</f>
        <v>400</v>
      </c>
      <c r="J13" s="16">
        <v>2.8</v>
      </c>
      <c r="K13" s="13" t="s">
        <v>40</v>
      </c>
      <c r="L13" s="16">
        <v>6</v>
      </c>
      <c r="M13" s="18" t="s">
        <v>38</v>
      </c>
    </row>
    <row r="14" spans="2:22" ht="35.1" customHeight="1" x14ac:dyDescent="0.25">
      <c r="B14" s="3">
        <v>7</v>
      </c>
      <c r="C14" s="66" t="s">
        <v>20</v>
      </c>
      <c r="D14" s="66"/>
      <c r="E14" s="66"/>
      <c r="F14" s="66"/>
      <c r="G14" s="13" t="s">
        <v>22</v>
      </c>
      <c r="H14" s="13" t="s">
        <v>15</v>
      </c>
      <c r="I14" s="13">
        <v>625</v>
      </c>
      <c r="J14" s="16">
        <v>3.5</v>
      </c>
      <c r="K14" s="13" t="s">
        <v>21</v>
      </c>
      <c r="L14" s="16">
        <v>6</v>
      </c>
      <c r="M14" s="18" t="s">
        <v>41</v>
      </c>
    </row>
    <row r="15" spans="2:22" ht="35.1" customHeight="1" x14ac:dyDescent="0.25">
      <c r="B15" s="3">
        <v>8</v>
      </c>
      <c r="C15" s="66" t="s">
        <v>20</v>
      </c>
      <c r="D15" s="66"/>
      <c r="E15" s="66"/>
      <c r="F15" s="66"/>
      <c r="G15" s="13" t="s">
        <v>22</v>
      </c>
      <c r="H15" s="13" t="s">
        <v>15</v>
      </c>
      <c r="I15" s="13">
        <f>230+100</f>
        <v>330</v>
      </c>
      <c r="J15" s="16">
        <v>2.8</v>
      </c>
      <c r="K15" s="13" t="s">
        <v>40</v>
      </c>
      <c r="L15" s="16">
        <v>6</v>
      </c>
      <c r="M15" s="18" t="s">
        <v>42</v>
      </c>
    </row>
    <row r="16" spans="2:22" ht="35.1" customHeight="1" x14ac:dyDescent="0.25">
      <c r="B16" s="3">
        <v>9</v>
      </c>
      <c r="C16" s="66" t="s">
        <v>20</v>
      </c>
      <c r="D16" s="66"/>
      <c r="E16" s="66"/>
      <c r="F16" s="66"/>
      <c r="G16" s="13" t="s">
        <v>22</v>
      </c>
      <c r="H16" s="13" t="s">
        <v>15</v>
      </c>
      <c r="I16" s="13">
        <v>415</v>
      </c>
      <c r="J16" s="16">
        <v>2</v>
      </c>
      <c r="K16" s="13" t="s">
        <v>36</v>
      </c>
      <c r="L16" s="16">
        <v>6</v>
      </c>
      <c r="M16" s="18" t="s">
        <v>42</v>
      </c>
    </row>
    <row r="17" spans="2:13" ht="35.1" customHeight="1" x14ac:dyDescent="0.25">
      <c r="B17" s="3">
        <v>10</v>
      </c>
      <c r="C17" s="66" t="s">
        <v>20</v>
      </c>
      <c r="D17" s="66"/>
      <c r="E17" s="66"/>
      <c r="F17" s="66"/>
      <c r="G17" s="13" t="s">
        <v>22</v>
      </c>
      <c r="H17" s="13" t="s">
        <v>43</v>
      </c>
      <c r="I17" s="13">
        <v>185</v>
      </c>
      <c r="J17" s="16">
        <v>2.8</v>
      </c>
      <c r="K17" s="13" t="s">
        <v>40</v>
      </c>
      <c r="L17" s="16">
        <v>3.5</v>
      </c>
      <c r="M17" s="17" t="s">
        <v>21</v>
      </c>
    </row>
    <row r="18" spans="2:13" ht="35.1" customHeight="1" x14ac:dyDescent="0.25">
      <c r="B18" s="3">
        <v>11</v>
      </c>
      <c r="C18" s="66" t="s">
        <v>20</v>
      </c>
      <c r="D18" s="66"/>
      <c r="E18" s="66"/>
      <c r="F18" s="66"/>
      <c r="G18" s="13" t="s">
        <v>22</v>
      </c>
      <c r="H18" s="13" t="s">
        <v>44</v>
      </c>
      <c r="I18" s="13">
        <v>185</v>
      </c>
      <c r="J18" s="16">
        <v>3</v>
      </c>
      <c r="K18" s="13" t="s">
        <v>21</v>
      </c>
      <c r="L18" s="16">
        <v>2.8</v>
      </c>
      <c r="M18" s="17" t="s">
        <v>40</v>
      </c>
    </row>
    <row r="19" spans="2:13" ht="35.1" customHeight="1" x14ac:dyDescent="0.25">
      <c r="B19" s="3">
        <v>12</v>
      </c>
      <c r="C19" s="66" t="s">
        <v>45</v>
      </c>
      <c r="D19" s="66"/>
      <c r="E19" s="66"/>
      <c r="F19" s="66"/>
      <c r="G19" s="13" t="s">
        <v>46</v>
      </c>
      <c r="H19" s="13" t="s">
        <v>47</v>
      </c>
      <c r="I19" s="13">
        <v>480</v>
      </c>
      <c r="J19" s="16">
        <v>3</v>
      </c>
      <c r="K19" s="13" t="s">
        <v>48</v>
      </c>
      <c r="L19" s="16">
        <v>8.5</v>
      </c>
      <c r="M19" s="18" t="s">
        <v>49</v>
      </c>
    </row>
    <row r="20" spans="2:13" ht="35.1" customHeight="1" x14ac:dyDescent="0.25">
      <c r="B20" s="3">
        <v>13</v>
      </c>
      <c r="C20" s="66" t="s">
        <v>45</v>
      </c>
      <c r="D20" s="66"/>
      <c r="E20" s="66"/>
      <c r="F20" s="66"/>
      <c r="G20" s="13" t="s">
        <v>46</v>
      </c>
      <c r="H20" s="13" t="s">
        <v>47</v>
      </c>
      <c r="I20" s="13">
        <v>310</v>
      </c>
      <c r="J20" s="16">
        <v>7</v>
      </c>
      <c r="K20" s="13" t="s">
        <v>50</v>
      </c>
      <c r="L20" s="16">
        <v>8.5</v>
      </c>
      <c r="M20" s="18" t="s">
        <v>51</v>
      </c>
    </row>
    <row r="21" spans="2:13" ht="35.1" customHeight="1" x14ac:dyDescent="0.25">
      <c r="B21" s="3">
        <v>14</v>
      </c>
      <c r="C21" s="66" t="s">
        <v>45</v>
      </c>
      <c r="D21" s="66"/>
      <c r="E21" s="66"/>
      <c r="F21" s="66"/>
      <c r="G21" s="13" t="s">
        <v>46</v>
      </c>
      <c r="H21" s="13" t="s">
        <v>47</v>
      </c>
      <c r="I21" s="13">
        <f>425+100</f>
        <v>525</v>
      </c>
      <c r="J21" s="16">
        <v>5</v>
      </c>
      <c r="K21" s="13" t="s">
        <v>52</v>
      </c>
      <c r="L21" s="16">
        <v>8.5</v>
      </c>
      <c r="M21" s="18" t="s">
        <v>53</v>
      </c>
    </row>
    <row r="22" spans="2:13" ht="47.25" x14ac:dyDescent="0.25">
      <c r="B22" s="3">
        <v>15</v>
      </c>
      <c r="C22" s="66" t="s">
        <v>20</v>
      </c>
      <c r="D22" s="66"/>
      <c r="E22" s="66"/>
      <c r="F22" s="66"/>
      <c r="G22" s="13" t="s">
        <v>22</v>
      </c>
      <c r="H22" s="13" t="s">
        <v>54</v>
      </c>
      <c r="I22" s="13">
        <f>730+100</f>
        <v>830</v>
      </c>
      <c r="J22" s="16">
        <v>2</v>
      </c>
      <c r="K22" s="13" t="s">
        <v>36</v>
      </c>
      <c r="L22" s="16">
        <v>6</v>
      </c>
      <c r="M22" s="18" t="s">
        <v>57</v>
      </c>
    </row>
    <row r="23" spans="2:13" ht="47.25" x14ac:dyDescent="0.25">
      <c r="B23" s="3">
        <v>16</v>
      </c>
      <c r="C23" s="66" t="s">
        <v>20</v>
      </c>
      <c r="D23" s="66"/>
      <c r="E23" s="66"/>
      <c r="F23" s="66"/>
      <c r="G23" s="13" t="s">
        <v>22</v>
      </c>
      <c r="H23" s="13" t="s">
        <v>35</v>
      </c>
      <c r="I23" s="13">
        <f>730+100</f>
        <v>830</v>
      </c>
      <c r="J23" s="16">
        <v>2</v>
      </c>
      <c r="K23" s="13" t="s">
        <v>36</v>
      </c>
      <c r="L23" s="16">
        <v>6</v>
      </c>
      <c r="M23" s="18" t="s">
        <v>58</v>
      </c>
    </row>
    <row r="24" spans="2:13" ht="35.1" customHeight="1" x14ac:dyDescent="0.25">
      <c r="B24" s="3">
        <v>17</v>
      </c>
      <c r="C24" s="66" t="s">
        <v>20</v>
      </c>
      <c r="D24" s="66"/>
      <c r="E24" s="66"/>
      <c r="F24" s="66"/>
      <c r="G24" s="13" t="s">
        <v>22</v>
      </c>
      <c r="H24" s="14" t="s">
        <v>44</v>
      </c>
      <c r="I24" s="14">
        <v>190</v>
      </c>
      <c r="J24" s="16">
        <v>2</v>
      </c>
      <c r="K24" s="14" t="s">
        <v>36</v>
      </c>
      <c r="L24" s="19">
        <v>2.8</v>
      </c>
      <c r="M24" s="20" t="s">
        <v>40</v>
      </c>
    </row>
    <row r="25" spans="2:13" ht="35.1" customHeight="1" x14ac:dyDescent="0.25">
      <c r="B25" s="3">
        <v>18</v>
      </c>
      <c r="C25" s="66" t="s">
        <v>20</v>
      </c>
      <c r="D25" s="66"/>
      <c r="E25" s="66"/>
      <c r="F25" s="66"/>
      <c r="G25" s="13" t="s">
        <v>22</v>
      </c>
      <c r="H25" s="14" t="s">
        <v>55</v>
      </c>
      <c r="I25" s="14">
        <v>190</v>
      </c>
      <c r="J25" s="16">
        <v>2</v>
      </c>
      <c r="K25" s="14" t="s">
        <v>36</v>
      </c>
      <c r="L25" s="19">
        <v>2.8</v>
      </c>
      <c r="M25" s="20" t="s">
        <v>40</v>
      </c>
    </row>
    <row r="26" spans="2:13" ht="35.1" customHeight="1" x14ac:dyDescent="0.25">
      <c r="B26" s="3">
        <v>19</v>
      </c>
      <c r="C26" s="66" t="s">
        <v>20</v>
      </c>
      <c r="D26" s="66"/>
      <c r="E26" s="66"/>
      <c r="F26" s="66"/>
      <c r="G26" s="13" t="s">
        <v>22</v>
      </c>
      <c r="H26" s="13" t="s">
        <v>31</v>
      </c>
      <c r="I26" s="13">
        <f>1130+100</f>
        <v>1230</v>
      </c>
      <c r="J26" s="16">
        <v>3.5</v>
      </c>
      <c r="K26" s="13" t="s">
        <v>21</v>
      </c>
      <c r="L26" s="16">
        <v>6</v>
      </c>
      <c r="M26" s="18" t="s">
        <v>59</v>
      </c>
    </row>
    <row r="27" spans="2:13" ht="35.1" customHeight="1" x14ac:dyDescent="0.25">
      <c r="B27" s="3">
        <v>20</v>
      </c>
      <c r="C27" s="66" t="s">
        <v>20</v>
      </c>
      <c r="D27" s="66"/>
      <c r="E27" s="66"/>
      <c r="F27" s="66"/>
      <c r="G27" s="13" t="s">
        <v>22</v>
      </c>
      <c r="H27" s="13" t="s">
        <v>55</v>
      </c>
      <c r="I27" s="13">
        <f>1130+100</f>
        <v>1230</v>
      </c>
      <c r="J27" s="16">
        <v>3.5</v>
      </c>
      <c r="K27" s="13" t="s">
        <v>21</v>
      </c>
      <c r="L27" s="16">
        <v>6</v>
      </c>
      <c r="M27" s="18" t="s">
        <v>60</v>
      </c>
    </row>
    <row r="28" spans="2:13" ht="35.1" customHeight="1" x14ac:dyDescent="0.25">
      <c r="B28" s="3">
        <v>21</v>
      </c>
      <c r="C28" s="66" t="s">
        <v>20</v>
      </c>
      <c r="D28" s="66"/>
      <c r="E28" s="66"/>
      <c r="F28" s="66"/>
      <c r="G28" s="13" t="s">
        <v>22</v>
      </c>
      <c r="H28" s="21" t="s">
        <v>56</v>
      </c>
      <c r="I28" s="13">
        <v>220</v>
      </c>
      <c r="J28" s="16">
        <v>2</v>
      </c>
      <c r="K28" s="13" t="s">
        <v>36</v>
      </c>
      <c r="L28" s="16">
        <v>2.8</v>
      </c>
      <c r="M28" s="17" t="s">
        <v>40</v>
      </c>
    </row>
    <row r="29" spans="2:13" ht="35.1" customHeight="1" x14ac:dyDescent="0.25">
      <c r="B29" s="3">
        <v>23</v>
      </c>
      <c r="C29" s="66" t="s">
        <v>20</v>
      </c>
      <c r="D29" s="66"/>
      <c r="E29" s="66"/>
      <c r="F29" s="66"/>
      <c r="G29" s="13" t="s">
        <v>22</v>
      </c>
      <c r="H29" s="13" t="s">
        <v>43</v>
      </c>
      <c r="I29" s="13">
        <v>220</v>
      </c>
      <c r="J29" s="16">
        <v>2</v>
      </c>
      <c r="K29" s="13" t="s">
        <v>36</v>
      </c>
      <c r="L29" s="16">
        <v>2.8</v>
      </c>
      <c r="M29" s="17" t="s">
        <v>40</v>
      </c>
    </row>
    <row r="30" spans="2:13" ht="35.1" customHeight="1" x14ac:dyDescent="0.25">
      <c r="B30" s="3">
        <v>24</v>
      </c>
      <c r="C30" s="39" t="s">
        <v>20</v>
      </c>
      <c r="D30" s="39"/>
      <c r="E30" s="39"/>
      <c r="F30" s="39"/>
      <c r="G30" s="1" t="s">
        <v>22</v>
      </c>
      <c r="H30" s="1" t="s">
        <v>24</v>
      </c>
      <c r="I30" s="13">
        <v>1045</v>
      </c>
      <c r="J30" s="8">
        <v>3.5</v>
      </c>
      <c r="K30" s="1" t="s">
        <v>21</v>
      </c>
      <c r="L30" s="8">
        <v>3</v>
      </c>
      <c r="M30" s="4">
        <v>561349001</v>
      </c>
    </row>
    <row r="31" spans="2:13" ht="35.1" customHeight="1" x14ac:dyDescent="0.25">
      <c r="B31" s="3">
        <v>25</v>
      </c>
      <c r="C31" s="39" t="s">
        <v>20</v>
      </c>
      <c r="D31" s="39"/>
      <c r="E31" s="39"/>
      <c r="F31" s="39"/>
      <c r="G31" s="1" t="s">
        <v>22</v>
      </c>
      <c r="H31" s="1" t="s">
        <v>23</v>
      </c>
      <c r="I31" s="13">
        <v>1045</v>
      </c>
      <c r="J31" s="8">
        <v>3.5</v>
      </c>
      <c r="K31" s="1" t="s">
        <v>21</v>
      </c>
      <c r="L31" s="8">
        <v>3</v>
      </c>
      <c r="M31" s="4">
        <v>561349001</v>
      </c>
    </row>
    <row r="32" spans="2:13" ht="35.1" customHeight="1" x14ac:dyDescent="0.25">
      <c r="B32" s="3">
        <v>26</v>
      </c>
      <c r="C32" s="39" t="s">
        <v>20</v>
      </c>
      <c r="D32" s="39"/>
      <c r="E32" s="39"/>
      <c r="F32" s="39"/>
      <c r="G32" s="1" t="s">
        <v>22</v>
      </c>
      <c r="H32" s="1" t="s">
        <v>25</v>
      </c>
      <c r="I32" s="13">
        <v>670</v>
      </c>
      <c r="J32" s="8">
        <v>3.5</v>
      </c>
      <c r="K32" s="1" t="s">
        <v>21</v>
      </c>
      <c r="L32" s="8">
        <v>7</v>
      </c>
      <c r="M32" s="7" t="s">
        <v>26</v>
      </c>
    </row>
    <row r="33" spans="2:13" ht="35.1" customHeight="1" x14ac:dyDescent="0.25">
      <c r="B33" s="3">
        <v>27</v>
      </c>
      <c r="C33" s="39" t="s">
        <v>20</v>
      </c>
      <c r="D33" s="39"/>
      <c r="E33" s="39"/>
      <c r="F33" s="39"/>
      <c r="G33" s="1" t="s">
        <v>22</v>
      </c>
      <c r="H33" s="1" t="s">
        <v>15</v>
      </c>
      <c r="I33" s="13">
        <v>370</v>
      </c>
      <c r="J33" s="8">
        <v>3</v>
      </c>
      <c r="K33" s="1">
        <v>561349001</v>
      </c>
      <c r="L33" s="8">
        <v>7</v>
      </c>
      <c r="M33" s="7" t="s">
        <v>27</v>
      </c>
    </row>
    <row r="34" spans="2:13" ht="35.1" customHeight="1" x14ac:dyDescent="0.25">
      <c r="B34" s="3">
        <v>28</v>
      </c>
      <c r="C34" s="39" t="s">
        <v>20</v>
      </c>
      <c r="D34" s="39"/>
      <c r="E34" s="39"/>
      <c r="F34" s="39"/>
      <c r="G34" s="1" t="s">
        <v>22</v>
      </c>
      <c r="H34" s="1" t="s">
        <v>25</v>
      </c>
      <c r="I34" s="13">
        <v>285</v>
      </c>
      <c r="J34" s="15">
        <v>2.8</v>
      </c>
      <c r="K34" s="1" t="s">
        <v>28</v>
      </c>
      <c r="L34" s="8">
        <v>7</v>
      </c>
      <c r="M34" s="7" t="s">
        <v>27</v>
      </c>
    </row>
    <row r="35" spans="2:13" ht="35.1" customHeight="1" x14ac:dyDescent="0.25">
      <c r="B35" s="3">
        <v>29</v>
      </c>
      <c r="C35" s="39" t="s">
        <v>20</v>
      </c>
      <c r="D35" s="39"/>
      <c r="E35" s="39"/>
      <c r="F35" s="39"/>
      <c r="G35" s="1" t="s">
        <v>22</v>
      </c>
      <c r="H35" s="22" t="s">
        <v>56</v>
      </c>
      <c r="I35" s="13">
        <v>950</v>
      </c>
      <c r="J35" s="15">
        <v>2.8</v>
      </c>
      <c r="K35" s="1" t="s">
        <v>28</v>
      </c>
      <c r="L35" s="8">
        <v>3.5</v>
      </c>
      <c r="M35" s="4" t="s">
        <v>21</v>
      </c>
    </row>
    <row r="36" spans="2:13" ht="35.450000000000003" customHeight="1" thickBot="1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2"/>
    </row>
    <row r="37" spans="2:13" ht="31.35" customHeight="1" x14ac:dyDescent="0.25">
      <c r="B37" s="73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5"/>
    </row>
    <row r="38" spans="2:13" ht="9.75" hidden="1" customHeight="1" x14ac:dyDescent="0.35">
      <c r="B38" s="5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6"/>
    </row>
    <row r="39" spans="2:13" ht="21" customHeight="1" thickBot="1" x14ac:dyDescent="0.3">
      <c r="B39" s="68" t="s">
        <v>16</v>
      </c>
      <c r="C39" s="69"/>
      <c r="D39" s="69"/>
      <c r="E39" s="69"/>
      <c r="F39" s="69"/>
      <c r="G39" s="9"/>
      <c r="H39" s="69" t="s">
        <v>17</v>
      </c>
      <c r="I39" s="69"/>
      <c r="J39" s="9"/>
      <c r="K39" s="9"/>
      <c r="L39" s="10" t="s">
        <v>18</v>
      </c>
      <c r="M39" s="11"/>
    </row>
  </sheetData>
  <sheetProtection password="DE0D" sheet="1" objects="1" scenarios="1"/>
  <autoFilter ref="B7:M37">
    <filterColumn colId="1" showButton="0"/>
    <filterColumn colId="2" showButton="0"/>
    <filterColumn colId="3" showButton="0"/>
  </autoFilter>
  <mergeCells count="53">
    <mergeCell ref="S8:T8"/>
    <mergeCell ref="U8:V8"/>
    <mergeCell ref="S9:T9"/>
    <mergeCell ref="U9:V9"/>
    <mergeCell ref="J3:K3"/>
    <mergeCell ref="L3:M3"/>
    <mergeCell ref="B39:F39"/>
    <mergeCell ref="H39:I39"/>
    <mergeCell ref="C27:F27"/>
    <mergeCell ref="C28:F28"/>
    <mergeCell ref="C35:F35"/>
    <mergeCell ref="B36:M36"/>
    <mergeCell ref="B37:M37"/>
    <mergeCell ref="C29:F29"/>
    <mergeCell ref="C30:F30"/>
    <mergeCell ref="C31:F31"/>
    <mergeCell ref="C32:F32"/>
    <mergeCell ref="C33:F33"/>
    <mergeCell ref="C34:F34"/>
    <mergeCell ref="C7:F7"/>
    <mergeCell ref="C21:F21"/>
    <mergeCell ref="C22:F22"/>
    <mergeCell ref="C23:F23"/>
    <mergeCell ref="C24:F24"/>
    <mergeCell ref="C8:F8"/>
    <mergeCell ref="C9:F9"/>
    <mergeCell ref="C14:F14"/>
    <mergeCell ref="C15:F15"/>
    <mergeCell ref="C17:F17"/>
    <mergeCell ref="C10:F10"/>
    <mergeCell ref="C11:F11"/>
    <mergeCell ref="C12:F12"/>
    <mergeCell ref="C13:F13"/>
    <mergeCell ref="C16:F16"/>
    <mergeCell ref="C25:F25"/>
    <mergeCell ref="C26:F26"/>
    <mergeCell ref="C18:F18"/>
    <mergeCell ref="C19:F19"/>
    <mergeCell ref="C20:F20"/>
    <mergeCell ref="H5:H6"/>
    <mergeCell ref="I5:I6"/>
    <mergeCell ref="B1:M1"/>
    <mergeCell ref="B2:M2"/>
    <mergeCell ref="B3:F4"/>
    <mergeCell ref="G3:G4"/>
    <mergeCell ref="J4:K4"/>
    <mergeCell ref="L4:M4"/>
    <mergeCell ref="B5:F5"/>
    <mergeCell ref="J5:K5"/>
    <mergeCell ref="L5:M5"/>
    <mergeCell ref="B6:F6"/>
    <mergeCell ref="J6:K6"/>
    <mergeCell ref="L6:M6"/>
  </mergeCells>
  <printOptions horizontalCentered="1" verticalCentered="1"/>
  <pageMargins left="0.27559055118110237" right="0.23622047244094491" top="0.23622047244094491" bottom="0.23622047244094491" header="0.19685039370078741" footer="0.31496062992125984"/>
  <pageSetup paperSize="9" scale="80" orientation="landscape" r:id="rId1"/>
  <headerFooter scaleWithDoc="0" alignWithMargins="0">
    <firstFooter>&amp;RPage :1 of 2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T39"/>
  <sheetViews>
    <sheetView tabSelected="1" topLeftCell="B2" zoomScale="85" zoomScaleNormal="85" workbookViewId="0">
      <selection activeCell="O7" sqref="O7:P35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9.85546875" customWidth="1"/>
    <col min="7" max="7" width="26" customWidth="1"/>
    <col min="8" max="8" width="25.7109375" bestFit="1" customWidth="1"/>
    <col min="9" max="9" width="14.85546875" customWidth="1"/>
    <col min="10" max="10" width="11.5703125" customWidth="1"/>
    <col min="11" max="11" width="21.140625" customWidth="1"/>
    <col min="12" max="12" width="11.5703125" customWidth="1"/>
    <col min="13" max="13" width="20.42578125" customWidth="1"/>
    <col min="14" max="14" width="23" hidden="1" customWidth="1"/>
    <col min="16" max="16" width="33.140625" bestFit="1" customWidth="1"/>
  </cols>
  <sheetData>
    <row r="1" spans="2:20" ht="55.5" customHeight="1" thickBot="1" x14ac:dyDescent="0.3">
      <c r="B1" s="41" t="s">
        <v>0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3"/>
    </row>
    <row r="2" spans="2:20" ht="28.35" customHeight="1" x14ac:dyDescent="0.25">
      <c r="B2" s="44" t="s">
        <v>1</v>
      </c>
      <c r="C2" s="45"/>
      <c r="D2" s="45"/>
      <c r="E2" s="45"/>
      <c r="F2" s="46"/>
      <c r="G2" s="46"/>
      <c r="H2" s="46"/>
      <c r="I2" s="46"/>
      <c r="J2" s="46"/>
      <c r="K2" s="46"/>
      <c r="L2" s="46"/>
      <c r="M2" s="47"/>
    </row>
    <row r="3" spans="2:20" ht="32.25" customHeight="1" x14ac:dyDescent="0.25">
      <c r="B3" s="48" t="s">
        <v>2</v>
      </c>
      <c r="C3" s="49"/>
      <c r="D3" s="49"/>
      <c r="E3" s="49"/>
      <c r="F3" s="50"/>
      <c r="G3" s="54" t="s">
        <v>61</v>
      </c>
      <c r="H3" s="35" t="s">
        <v>64</v>
      </c>
      <c r="I3" s="28" t="s">
        <v>67</v>
      </c>
      <c r="J3" s="56" t="s">
        <v>62</v>
      </c>
      <c r="K3" s="77"/>
      <c r="L3" s="39" t="s">
        <v>68</v>
      </c>
      <c r="M3" s="39"/>
    </row>
    <row r="4" spans="2:20" ht="39.950000000000003" customHeight="1" x14ac:dyDescent="0.25">
      <c r="B4" s="51"/>
      <c r="C4" s="52"/>
      <c r="D4" s="52"/>
      <c r="E4" s="52"/>
      <c r="F4" s="53"/>
      <c r="G4" s="55"/>
      <c r="H4" s="35" t="s">
        <v>65</v>
      </c>
      <c r="I4" s="28">
        <v>1</v>
      </c>
      <c r="J4" s="56" t="s">
        <v>63</v>
      </c>
      <c r="K4" s="57"/>
      <c r="L4" s="39" t="s">
        <v>69</v>
      </c>
      <c r="M4" s="58"/>
    </row>
    <row r="5" spans="2:20" ht="21" customHeight="1" x14ac:dyDescent="0.25">
      <c r="B5" s="59" t="s">
        <v>3</v>
      </c>
      <c r="C5" s="57"/>
      <c r="D5" s="57"/>
      <c r="E5" s="57"/>
      <c r="F5" s="39"/>
      <c r="G5" s="28" t="s">
        <v>4</v>
      </c>
      <c r="H5" s="39" t="s">
        <v>66</v>
      </c>
      <c r="I5" s="40">
        <v>45973</v>
      </c>
      <c r="J5" s="56"/>
      <c r="K5" s="57"/>
      <c r="L5" s="39"/>
      <c r="M5" s="58"/>
    </row>
    <row r="6" spans="2:20" ht="21" customHeight="1" thickBot="1" x14ac:dyDescent="0.3">
      <c r="B6" s="60" t="s">
        <v>5</v>
      </c>
      <c r="C6" s="50"/>
      <c r="D6" s="50"/>
      <c r="E6" s="50"/>
      <c r="F6" s="61"/>
      <c r="G6" s="32" t="s">
        <v>19</v>
      </c>
      <c r="H6" s="39"/>
      <c r="I6" s="39"/>
      <c r="J6" s="62" t="s">
        <v>6</v>
      </c>
      <c r="K6" s="63"/>
      <c r="L6" s="64" t="s">
        <v>7</v>
      </c>
      <c r="M6" s="65"/>
    </row>
    <row r="7" spans="2:20" ht="56.25" customHeight="1" x14ac:dyDescent="0.25">
      <c r="B7" s="23" t="s">
        <v>8</v>
      </c>
      <c r="C7" s="67" t="s">
        <v>9</v>
      </c>
      <c r="D7" s="67"/>
      <c r="E7" s="67"/>
      <c r="F7" s="67"/>
      <c r="G7" s="24" t="s">
        <v>10</v>
      </c>
      <c r="H7" s="33" t="s">
        <v>11</v>
      </c>
      <c r="I7" s="34" t="s">
        <v>12</v>
      </c>
      <c r="J7" s="24" t="s">
        <v>13</v>
      </c>
      <c r="K7" s="24" t="s">
        <v>14</v>
      </c>
      <c r="L7" s="24" t="s">
        <v>13</v>
      </c>
      <c r="M7" s="25" t="s">
        <v>14</v>
      </c>
      <c r="O7" s="78" t="s">
        <v>70</v>
      </c>
      <c r="P7" s="78" t="s">
        <v>71</v>
      </c>
      <c r="Q7" s="27"/>
      <c r="R7" s="27"/>
      <c r="S7" s="27"/>
      <c r="T7" s="27"/>
    </row>
    <row r="8" spans="2:20" ht="35.1" customHeight="1" x14ac:dyDescent="0.25">
      <c r="B8" s="31">
        <v>1</v>
      </c>
      <c r="C8" s="66" t="s">
        <v>29</v>
      </c>
      <c r="D8" s="66"/>
      <c r="E8" s="66"/>
      <c r="F8" s="66"/>
      <c r="G8" s="29" t="s">
        <v>30</v>
      </c>
      <c r="H8" s="29" t="s">
        <v>31</v>
      </c>
      <c r="I8" s="29">
        <v>1470</v>
      </c>
      <c r="J8" s="16">
        <v>3</v>
      </c>
      <c r="K8" s="29" t="s">
        <v>32</v>
      </c>
      <c r="L8" s="16">
        <v>4.8</v>
      </c>
      <c r="M8" s="17" t="s">
        <v>33</v>
      </c>
      <c r="O8" s="78" t="s">
        <v>76</v>
      </c>
      <c r="P8" s="78" t="s">
        <v>77</v>
      </c>
      <c r="Q8" s="76"/>
      <c r="R8" s="76"/>
      <c r="S8" s="76"/>
      <c r="T8" s="76"/>
    </row>
    <row r="9" spans="2:20" ht="35.1" customHeight="1" x14ac:dyDescent="0.25">
      <c r="B9" s="31">
        <v>2</v>
      </c>
      <c r="C9" s="66" t="s">
        <v>29</v>
      </c>
      <c r="D9" s="66"/>
      <c r="E9" s="66"/>
      <c r="F9" s="66"/>
      <c r="G9" s="29" t="s">
        <v>30</v>
      </c>
      <c r="H9" s="29" t="s">
        <v>34</v>
      </c>
      <c r="I9" s="29">
        <v>1470</v>
      </c>
      <c r="J9" s="16">
        <v>3</v>
      </c>
      <c r="K9" s="29" t="s">
        <v>32</v>
      </c>
      <c r="L9" s="16">
        <v>4.8</v>
      </c>
      <c r="M9" s="17" t="s">
        <v>33</v>
      </c>
      <c r="O9" s="78" t="s">
        <v>78</v>
      </c>
      <c r="P9" s="78" t="s">
        <v>79</v>
      </c>
      <c r="Q9" s="76"/>
      <c r="R9" s="76"/>
      <c r="S9" s="76"/>
      <c r="T9" s="76"/>
    </row>
    <row r="10" spans="2:20" ht="35.1" customHeight="1" x14ac:dyDescent="0.25">
      <c r="B10" s="31">
        <v>3</v>
      </c>
      <c r="C10" s="66" t="s">
        <v>20</v>
      </c>
      <c r="D10" s="66"/>
      <c r="E10" s="66"/>
      <c r="F10" s="66"/>
      <c r="G10" s="29" t="s">
        <v>22</v>
      </c>
      <c r="H10" s="29" t="s">
        <v>35</v>
      </c>
      <c r="I10" s="29">
        <v>1035</v>
      </c>
      <c r="J10" s="16">
        <v>2</v>
      </c>
      <c r="K10" s="29" t="s">
        <v>36</v>
      </c>
      <c r="L10" s="16">
        <v>3.5</v>
      </c>
      <c r="M10" s="17" t="s">
        <v>21</v>
      </c>
      <c r="O10" s="78" t="s">
        <v>80</v>
      </c>
      <c r="P10" s="78" t="s">
        <v>81</v>
      </c>
      <c r="Q10" s="27"/>
      <c r="R10" s="27"/>
      <c r="S10" s="27"/>
      <c r="T10" s="27"/>
    </row>
    <row r="11" spans="2:20" ht="35.1" customHeight="1" x14ac:dyDescent="0.25">
      <c r="B11" s="31">
        <v>4</v>
      </c>
      <c r="C11" s="66" t="s">
        <v>20</v>
      </c>
      <c r="D11" s="66"/>
      <c r="E11" s="66"/>
      <c r="F11" s="66"/>
      <c r="G11" s="29" t="s">
        <v>22</v>
      </c>
      <c r="H11" s="29" t="s">
        <v>37</v>
      </c>
      <c r="I11" s="29">
        <f>390+100</f>
        <v>490</v>
      </c>
      <c r="J11" s="16">
        <v>2</v>
      </c>
      <c r="K11" s="29" t="s">
        <v>36</v>
      </c>
      <c r="L11" s="36">
        <v>7</v>
      </c>
      <c r="M11" s="18" t="s">
        <v>38</v>
      </c>
      <c r="O11" s="78" t="s">
        <v>82</v>
      </c>
      <c r="P11" s="78" t="s">
        <v>83</v>
      </c>
      <c r="Q11" s="27"/>
      <c r="R11" s="27"/>
      <c r="S11" s="27"/>
      <c r="T11" s="27"/>
    </row>
    <row r="12" spans="2:20" ht="35.1" customHeight="1" x14ac:dyDescent="0.25">
      <c r="B12" s="31">
        <v>5</v>
      </c>
      <c r="C12" s="66" t="s">
        <v>20</v>
      </c>
      <c r="D12" s="66"/>
      <c r="E12" s="66"/>
      <c r="F12" s="66"/>
      <c r="G12" s="29" t="s">
        <v>22</v>
      </c>
      <c r="H12" s="29" t="s">
        <v>37</v>
      </c>
      <c r="I12" s="29">
        <v>560</v>
      </c>
      <c r="J12" s="16">
        <v>3.5</v>
      </c>
      <c r="K12" s="29" t="s">
        <v>21</v>
      </c>
      <c r="L12" s="36">
        <v>7</v>
      </c>
      <c r="M12" s="18" t="s">
        <v>39</v>
      </c>
      <c r="O12" s="78" t="s">
        <v>82</v>
      </c>
      <c r="P12" s="78" t="s">
        <v>83</v>
      </c>
    </row>
    <row r="13" spans="2:20" ht="35.1" customHeight="1" x14ac:dyDescent="0.25">
      <c r="B13" s="31">
        <v>6</v>
      </c>
      <c r="C13" s="66" t="s">
        <v>20</v>
      </c>
      <c r="D13" s="66"/>
      <c r="E13" s="66"/>
      <c r="F13" s="66"/>
      <c r="G13" s="29" t="s">
        <v>22</v>
      </c>
      <c r="H13" s="29" t="s">
        <v>37</v>
      </c>
      <c r="I13" s="29">
        <f>285+15+100</f>
        <v>400</v>
      </c>
      <c r="J13" s="16">
        <v>3</v>
      </c>
      <c r="K13" s="29" t="s">
        <v>40</v>
      </c>
      <c r="L13" s="36">
        <v>7</v>
      </c>
      <c r="M13" s="18" t="s">
        <v>38</v>
      </c>
      <c r="O13" s="78" t="s">
        <v>82</v>
      </c>
      <c r="P13" s="78" t="s">
        <v>83</v>
      </c>
    </row>
    <row r="14" spans="2:20" ht="35.1" customHeight="1" x14ac:dyDescent="0.25">
      <c r="B14" s="31">
        <v>7</v>
      </c>
      <c r="C14" s="66" t="s">
        <v>20</v>
      </c>
      <c r="D14" s="66"/>
      <c r="E14" s="66"/>
      <c r="F14" s="66"/>
      <c r="G14" s="29" t="s">
        <v>22</v>
      </c>
      <c r="H14" s="29" t="s">
        <v>15</v>
      </c>
      <c r="I14" s="29">
        <v>625</v>
      </c>
      <c r="J14" s="16">
        <v>3.5</v>
      </c>
      <c r="K14" s="29" t="s">
        <v>21</v>
      </c>
      <c r="L14" s="36">
        <v>7</v>
      </c>
      <c r="M14" s="18" t="s">
        <v>41</v>
      </c>
      <c r="O14" s="78" t="s">
        <v>84</v>
      </c>
      <c r="P14" s="78" t="s">
        <v>85</v>
      </c>
    </row>
    <row r="15" spans="2:20" ht="35.1" customHeight="1" x14ac:dyDescent="0.25">
      <c r="B15" s="31">
        <v>8</v>
      </c>
      <c r="C15" s="66" t="s">
        <v>20</v>
      </c>
      <c r="D15" s="66"/>
      <c r="E15" s="66"/>
      <c r="F15" s="66"/>
      <c r="G15" s="29" t="s">
        <v>22</v>
      </c>
      <c r="H15" s="29" t="s">
        <v>15</v>
      </c>
      <c r="I15" s="29">
        <f>230+100</f>
        <v>330</v>
      </c>
      <c r="J15" s="16">
        <v>3</v>
      </c>
      <c r="K15" s="29" t="s">
        <v>40</v>
      </c>
      <c r="L15" s="36">
        <v>7</v>
      </c>
      <c r="M15" s="18" t="s">
        <v>42</v>
      </c>
      <c r="O15" s="78" t="s">
        <v>84</v>
      </c>
      <c r="P15" s="78" t="s">
        <v>85</v>
      </c>
    </row>
    <row r="16" spans="2:20" ht="35.1" customHeight="1" x14ac:dyDescent="0.25">
      <c r="B16" s="31">
        <v>9</v>
      </c>
      <c r="C16" s="66" t="s">
        <v>20</v>
      </c>
      <c r="D16" s="66"/>
      <c r="E16" s="66"/>
      <c r="F16" s="66"/>
      <c r="G16" s="29" t="s">
        <v>22</v>
      </c>
      <c r="H16" s="29" t="s">
        <v>15</v>
      </c>
      <c r="I16" s="29">
        <v>415</v>
      </c>
      <c r="J16" s="16">
        <v>2</v>
      </c>
      <c r="K16" s="29" t="s">
        <v>36</v>
      </c>
      <c r="L16" s="36">
        <v>7</v>
      </c>
      <c r="M16" s="18" t="s">
        <v>42</v>
      </c>
      <c r="O16" s="78" t="s">
        <v>84</v>
      </c>
      <c r="P16" s="78" t="s">
        <v>85</v>
      </c>
    </row>
    <row r="17" spans="2:16" ht="35.1" customHeight="1" x14ac:dyDescent="0.25">
      <c r="B17" s="31">
        <v>10</v>
      </c>
      <c r="C17" s="66" t="s">
        <v>20</v>
      </c>
      <c r="D17" s="66"/>
      <c r="E17" s="66"/>
      <c r="F17" s="66"/>
      <c r="G17" s="29" t="s">
        <v>22</v>
      </c>
      <c r="H17" s="29" t="s">
        <v>43</v>
      </c>
      <c r="I17" s="29">
        <v>185</v>
      </c>
      <c r="J17" s="16">
        <v>3</v>
      </c>
      <c r="K17" s="29" t="s">
        <v>40</v>
      </c>
      <c r="L17" s="16">
        <v>3.5</v>
      </c>
      <c r="M17" s="17" t="s">
        <v>21</v>
      </c>
      <c r="O17" s="78" t="s">
        <v>86</v>
      </c>
      <c r="P17" s="78" t="s">
        <v>87</v>
      </c>
    </row>
    <row r="18" spans="2:16" ht="35.1" customHeight="1" x14ac:dyDescent="0.25">
      <c r="B18" s="31">
        <v>11</v>
      </c>
      <c r="C18" s="66" t="s">
        <v>20</v>
      </c>
      <c r="D18" s="66"/>
      <c r="E18" s="66"/>
      <c r="F18" s="66"/>
      <c r="G18" s="29" t="s">
        <v>22</v>
      </c>
      <c r="H18" s="29" t="s">
        <v>44</v>
      </c>
      <c r="I18" s="29">
        <v>185</v>
      </c>
      <c r="J18" s="16">
        <v>3.5</v>
      </c>
      <c r="K18" s="29" t="s">
        <v>21</v>
      </c>
      <c r="L18" s="16">
        <v>3</v>
      </c>
      <c r="M18" s="17" t="s">
        <v>40</v>
      </c>
      <c r="O18" s="78" t="s">
        <v>88</v>
      </c>
      <c r="P18" s="78" t="s">
        <v>89</v>
      </c>
    </row>
    <row r="19" spans="2:16" ht="35.1" customHeight="1" x14ac:dyDescent="0.25">
      <c r="B19" s="31">
        <v>12</v>
      </c>
      <c r="C19" s="66" t="s">
        <v>45</v>
      </c>
      <c r="D19" s="66"/>
      <c r="E19" s="66"/>
      <c r="F19" s="66"/>
      <c r="G19" s="29" t="s">
        <v>46</v>
      </c>
      <c r="H19" s="29" t="s">
        <v>47</v>
      </c>
      <c r="I19" s="29">
        <v>480</v>
      </c>
      <c r="J19" s="16">
        <v>3</v>
      </c>
      <c r="K19" s="29" t="s">
        <v>48</v>
      </c>
      <c r="L19" s="36">
        <v>11</v>
      </c>
      <c r="M19" s="18" t="s">
        <v>49</v>
      </c>
      <c r="O19" s="78" t="s">
        <v>90</v>
      </c>
      <c r="P19" s="78" t="s">
        <v>91</v>
      </c>
    </row>
    <row r="20" spans="2:16" ht="35.1" customHeight="1" x14ac:dyDescent="0.25">
      <c r="B20" s="31">
        <v>13</v>
      </c>
      <c r="C20" s="66" t="s">
        <v>45</v>
      </c>
      <c r="D20" s="66"/>
      <c r="E20" s="66"/>
      <c r="F20" s="66"/>
      <c r="G20" s="29" t="s">
        <v>46</v>
      </c>
      <c r="H20" s="29" t="s">
        <v>47</v>
      </c>
      <c r="I20" s="29">
        <v>310</v>
      </c>
      <c r="J20" s="16">
        <v>7</v>
      </c>
      <c r="K20" s="29" t="s">
        <v>50</v>
      </c>
      <c r="L20" s="36">
        <v>11</v>
      </c>
      <c r="M20" s="18" t="s">
        <v>51</v>
      </c>
      <c r="O20" s="78" t="s">
        <v>90</v>
      </c>
      <c r="P20" s="78" t="s">
        <v>91</v>
      </c>
    </row>
    <row r="21" spans="2:16" ht="35.1" customHeight="1" x14ac:dyDescent="0.25">
      <c r="B21" s="31">
        <v>14</v>
      </c>
      <c r="C21" s="66" t="s">
        <v>45</v>
      </c>
      <c r="D21" s="66"/>
      <c r="E21" s="66"/>
      <c r="F21" s="66"/>
      <c r="G21" s="29" t="s">
        <v>46</v>
      </c>
      <c r="H21" s="29" t="s">
        <v>47</v>
      </c>
      <c r="I21" s="29">
        <f>425+100</f>
        <v>525</v>
      </c>
      <c r="J21" s="16">
        <v>5</v>
      </c>
      <c r="K21" s="29" t="s">
        <v>52</v>
      </c>
      <c r="L21" s="36">
        <v>11</v>
      </c>
      <c r="M21" s="18" t="s">
        <v>53</v>
      </c>
      <c r="O21" s="78" t="s">
        <v>90</v>
      </c>
      <c r="P21" s="78" t="s">
        <v>91</v>
      </c>
    </row>
    <row r="22" spans="2:16" ht="63" x14ac:dyDescent="0.25">
      <c r="B22" s="31">
        <v>15</v>
      </c>
      <c r="C22" s="66" t="s">
        <v>20</v>
      </c>
      <c r="D22" s="66"/>
      <c r="E22" s="66"/>
      <c r="F22" s="66"/>
      <c r="G22" s="29" t="s">
        <v>22</v>
      </c>
      <c r="H22" s="29" t="s">
        <v>54</v>
      </c>
      <c r="I22" s="29">
        <f>730+100</f>
        <v>830</v>
      </c>
      <c r="J22" s="16">
        <v>2</v>
      </c>
      <c r="K22" s="29" t="s">
        <v>36</v>
      </c>
      <c r="L22" s="36">
        <v>7</v>
      </c>
      <c r="M22" s="18" t="s">
        <v>57</v>
      </c>
      <c r="O22" s="78" t="s">
        <v>92</v>
      </c>
      <c r="P22" s="78" t="s">
        <v>93</v>
      </c>
    </row>
    <row r="23" spans="2:16" ht="63" x14ac:dyDescent="0.25">
      <c r="B23" s="31">
        <v>16</v>
      </c>
      <c r="C23" s="66" t="s">
        <v>20</v>
      </c>
      <c r="D23" s="66"/>
      <c r="E23" s="66"/>
      <c r="F23" s="66"/>
      <c r="G23" s="29" t="s">
        <v>22</v>
      </c>
      <c r="H23" s="29" t="s">
        <v>35</v>
      </c>
      <c r="I23" s="29">
        <f>730+100</f>
        <v>830</v>
      </c>
      <c r="J23" s="16">
        <v>2</v>
      </c>
      <c r="K23" s="29" t="s">
        <v>36</v>
      </c>
      <c r="L23" s="36">
        <v>7</v>
      </c>
      <c r="M23" s="18" t="s">
        <v>58</v>
      </c>
      <c r="O23" s="78" t="s">
        <v>80</v>
      </c>
      <c r="P23" s="78" t="s">
        <v>81</v>
      </c>
    </row>
    <row r="24" spans="2:16" ht="35.1" customHeight="1" x14ac:dyDescent="0.25">
      <c r="B24" s="31">
        <v>17</v>
      </c>
      <c r="C24" s="66" t="s">
        <v>20</v>
      </c>
      <c r="D24" s="66"/>
      <c r="E24" s="66"/>
      <c r="F24" s="66"/>
      <c r="G24" s="29" t="s">
        <v>22</v>
      </c>
      <c r="H24" s="14" t="s">
        <v>44</v>
      </c>
      <c r="I24" s="14">
        <v>190</v>
      </c>
      <c r="J24" s="16">
        <v>2</v>
      </c>
      <c r="K24" s="14" t="s">
        <v>36</v>
      </c>
      <c r="L24" s="38">
        <v>3</v>
      </c>
      <c r="M24" s="20" t="s">
        <v>40</v>
      </c>
      <c r="O24" s="78" t="s">
        <v>88</v>
      </c>
      <c r="P24" s="78" t="s">
        <v>89</v>
      </c>
    </row>
    <row r="25" spans="2:16" ht="35.1" customHeight="1" x14ac:dyDescent="0.25">
      <c r="B25" s="31">
        <v>18</v>
      </c>
      <c r="C25" s="66" t="s">
        <v>20</v>
      </c>
      <c r="D25" s="66"/>
      <c r="E25" s="66"/>
      <c r="F25" s="66"/>
      <c r="G25" s="29" t="s">
        <v>22</v>
      </c>
      <c r="H25" s="14" t="s">
        <v>55</v>
      </c>
      <c r="I25" s="14">
        <v>190</v>
      </c>
      <c r="J25" s="16">
        <v>2</v>
      </c>
      <c r="K25" s="14" t="s">
        <v>36</v>
      </c>
      <c r="L25" s="38">
        <v>3</v>
      </c>
      <c r="M25" s="20" t="s">
        <v>40</v>
      </c>
      <c r="O25" s="78" t="s">
        <v>94</v>
      </c>
      <c r="P25" s="78" t="s">
        <v>95</v>
      </c>
    </row>
    <row r="26" spans="2:16" ht="35.1" customHeight="1" x14ac:dyDescent="0.25">
      <c r="B26" s="31">
        <v>19</v>
      </c>
      <c r="C26" s="66" t="s">
        <v>20</v>
      </c>
      <c r="D26" s="66"/>
      <c r="E26" s="66"/>
      <c r="F26" s="66"/>
      <c r="G26" s="29" t="s">
        <v>22</v>
      </c>
      <c r="H26" s="29" t="s">
        <v>31</v>
      </c>
      <c r="I26" s="29">
        <f>1130+100</f>
        <v>1230</v>
      </c>
      <c r="J26" s="16">
        <v>3.5</v>
      </c>
      <c r="K26" s="29" t="s">
        <v>21</v>
      </c>
      <c r="L26" s="36">
        <v>7</v>
      </c>
      <c r="M26" s="18" t="s">
        <v>59</v>
      </c>
      <c r="O26" s="78" t="s">
        <v>96</v>
      </c>
      <c r="P26" s="78" t="s">
        <v>97</v>
      </c>
    </row>
    <row r="27" spans="2:16" ht="35.1" customHeight="1" x14ac:dyDescent="0.25">
      <c r="B27" s="31">
        <v>20</v>
      </c>
      <c r="C27" s="66" t="s">
        <v>20</v>
      </c>
      <c r="D27" s="66"/>
      <c r="E27" s="66"/>
      <c r="F27" s="66"/>
      <c r="G27" s="29" t="s">
        <v>22</v>
      </c>
      <c r="H27" s="29" t="s">
        <v>55</v>
      </c>
      <c r="I27" s="29">
        <f>1130+100</f>
        <v>1230</v>
      </c>
      <c r="J27" s="16">
        <v>3.5</v>
      </c>
      <c r="K27" s="29" t="s">
        <v>21</v>
      </c>
      <c r="L27" s="36">
        <v>7</v>
      </c>
      <c r="M27" s="18" t="s">
        <v>60</v>
      </c>
      <c r="O27" s="78" t="s">
        <v>94</v>
      </c>
      <c r="P27" s="78" t="s">
        <v>95</v>
      </c>
    </row>
    <row r="28" spans="2:16" ht="35.1" customHeight="1" x14ac:dyDescent="0.25">
      <c r="B28" s="31">
        <v>21</v>
      </c>
      <c r="C28" s="66" t="s">
        <v>20</v>
      </c>
      <c r="D28" s="66"/>
      <c r="E28" s="66"/>
      <c r="F28" s="66"/>
      <c r="G28" s="29" t="s">
        <v>22</v>
      </c>
      <c r="H28" s="21" t="s">
        <v>56</v>
      </c>
      <c r="I28" s="29">
        <v>220</v>
      </c>
      <c r="J28" s="16">
        <v>2</v>
      </c>
      <c r="K28" s="29" t="s">
        <v>36</v>
      </c>
      <c r="L28" s="37">
        <v>3</v>
      </c>
      <c r="M28" s="17" t="s">
        <v>40</v>
      </c>
      <c r="O28" s="78" t="s">
        <v>98</v>
      </c>
      <c r="P28" s="78" t="s">
        <v>72</v>
      </c>
    </row>
    <row r="29" spans="2:16" ht="35.1" customHeight="1" x14ac:dyDescent="0.25">
      <c r="B29" s="31">
        <v>23</v>
      </c>
      <c r="C29" s="66" t="s">
        <v>20</v>
      </c>
      <c r="D29" s="66"/>
      <c r="E29" s="66"/>
      <c r="F29" s="66"/>
      <c r="G29" s="29" t="s">
        <v>22</v>
      </c>
      <c r="H29" s="29" t="s">
        <v>43</v>
      </c>
      <c r="I29" s="29">
        <v>220</v>
      </c>
      <c r="J29" s="16">
        <v>2</v>
      </c>
      <c r="K29" s="29" t="s">
        <v>36</v>
      </c>
      <c r="L29" s="37">
        <v>3</v>
      </c>
      <c r="M29" s="17" t="s">
        <v>40</v>
      </c>
      <c r="O29" s="78" t="s">
        <v>86</v>
      </c>
      <c r="P29" s="78" t="s">
        <v>87</v>
      </c>
    </row>
    <row r="30" spans="2:16" ht="35.1" customHeight="1" x14ac:dyDescent="0.25">
      <c r="B30" s="31">
        <v>24</v>
      </c>
      <c r="C30" s="39" t="s">
        <v>20</v>
      </c>
      <c r="D30" s="39"/>
      <c r="E30" s="39"/>
      <c r="F30" s="39"/>
      <c r="G30" s="28" t="s">
        <v>22</v>
      </c>
      <c r="H30" s="28" t="s">
        <v>24</v>
      </c>
      <c r="I30" s="29">
        <v>1045</v>
      </c>
      <c r="J30" s="8">
        <v>3.5</v>
      </c>
      <c r="K30" s="28" t="s">
        <v>21</v>
      </c>
      <c r="L30" s="36">
        <v>2</v>
      </c>
      <c r="M30" s="30">
        <v>561349001</v>
      </c>
      <c r="O30" s="78" t="s">
        <v>99</v>
      </c>
      <c r="P30" s="78" t="s">
        <v>73</v>
      </c>
    </row>
    <row r="31" spans="2:16" ht="35.1" customHeight="1" x14ac:dyDescent="0.25">
      <c r="B31" s="31">
        <v>25</v>
      </c>
      <c r="C31" s="39" t="s">
        <v>20</v>
      </c>
      <c r="D31" s="39"/>
      <c r="E31" s="39"/>
      <c r="F31" s="39"/>
      <c r="G31" s="28" t="s">
        <v>22</v>
      </c>
      <c r="H31" s="28" t="s">
        <v>23</v>
      </c>
      <c r="I31" s="29">
        <v>1045</v>
      </c>
      <c r="J31" s="8">
        <v>3.5</v>
      </c>
      <c r="K31" s="28" t="s">
        <v>21</v>
      </c>
      <c r="L31" s="36">
        <v>2</v>
      </c>
      <c r="M31" s="30">
        <v>561349001</v>
      </c>
      <c r="O31" s="78" t="s">
        <v>100</v>
      </c>
      <c r="P31" s="78" t="s">
        <v>74</v>
      </c>
    </row>
    <row r="32" spans="2:16" ht="35.1" customHeight="1" x14ac:dyDescent="0.25">
      <c r="B32" s="31">
        <v>26</v>
      </c>
      <c r="C32" s="39" t="s">
        <v>20</v>
      </c>
      <c r="D32" s="39"/>
      <c r="E32" s="39"/>
      <c r="F32" s="39"/>
      <c r="G32" s="28" t="s">
        <v>22</v>
      </c>
      <c r="H32" s="28" t="s">
        <v>25</v>
      </c>
      <c r="I32" s="29">
        <v>670</v>
      </c>
      <c r="J32" s="8">
        <v>3.5</v>
      </c>
      <c r="K32" s="28" t="s">
        <v>21</v>
      </c>
      <c r="L32" s="8">
        <v>7</v>
      </c>
      <c r="M32" s="7" t="s">
        <v>26</v>
      </c>
      <c r="O32" s="78" t="s">
        <v>101</v>
      </c>
      <c r="P32" s="78" t="s">
        <v>75</v>
      </c>
    </row>
    <row r="33" spans="2:16" ht="35.1" customHeight="1" x14ac:dyDescent="0.25">
      <c r="B33" s="31">
        <v>27</v>
      </c>
      <c r="C33" s="39" t="s">
        <v>20</v>
      </c>
      <c r="D33" s="39"/>
      <c r="E33" s="39"/>
      <c r="F33" s="39"/>
      <c r="G33" s="28" t="s">
        <v>22</v>
      </c>
      <c r="H33" s="28" t="s">
        <v>15</v>
      </c>
      <c r="I33" s="29">
        <v>370</v>
      </c>
      <c r="J33" s="8">
        <v>2</v>
      </c>
      <c r="K33" s="28">
        <v>561349001</v>
      </c>
      <c r="L33" s="8">
        <v>7</v>
      </c>
      <c r="M33" s="7" t="s">
        <v>27</v>
      </c>
      <c r="O33" s="78" t="s">
        <v>84</v>
      </c>
      <c r="P33" s="78" t="s">
        <v>85</v>
      </c>
    </row>
    <row r="34" spans="2:16" ht="35.1" customHeight="1" x14ac:dyDescent="0.25">
      <c r="B34" s="31">
        <v>28</v>
      </c>
      <c r="C34" s="39" t="s">
        <v>20</v>
      </c>
      <c r="D34" s="39"/>
      <c r="E34" s="39"/>
      <c r="F34" s="39"/>
      <c r="G34" s="28" t="s">
        <v>22</v>
      </c>
      <c r="H34" s="28" t="s">
        <v>25</v>
      </c>
      <c r="I34" s="29">
        <v>285</v>
      </c>
      <c r="J34" s="15">
        <v>3</v>
      </c>
      <c r="K34" s="28" t="s">
        <v>28</v>
      </c>
      <c r="L34" s="8">
        <v>7</v>
      </c>
      <c r="M34" s="7" t="s">
        <v>27</v>
      </c>
      <c r="O34" s="78" t="s">
        <v>101</v>
      </c>
      <c r="P34" s="78" t="s">
        <v>75</v>
      </c>
    </row>
    <row r="35" spans="2:16" ht="35.1" customHeight="1" x14ac:dyDescent="0.25">
      <c r="B35" s="31">
        <v>29</v>
      </c>
      <c r="C35" s="39" t="s">
        <v>20</v>
      </c>
      <c r="D35" s="39"/>
      <c r="E35" s="39"/>
      <c r="F35" s="39"/>
      <c r="G35" s="28" t="s">
        <v>22</v>
      </c>
      <c r="H35" s="22" t="s">
        <v>56</v>
      </c>
      <c r="I35" s="29">
        <v>950</v>
      </c>
      <c r="J35" s="15">
        <v>3</v>
      </c>
      <c r="K35" s="28" t="s">
        <v>28</v>
      </c>
      <c r="L35" s="8">
        <v>3.5</v>
      </c>
      <c r="M35" s="30" t="s">
        <v>21</v>
      </c>
      <c r="O35" s="78" t="s">
        <v>98</v>
      </c>
      <c r="P35" s="78" t="s">
        <v>72</v>
      </c>
    </row>
    <row r="36" spans="2:16" ht="35.450000000000003" customHeight="1" thickBot="1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2"/>
    </row>
    <row r="37" spans="2:16" ht="31.35" customHeight="1" x14ac:dyDescent="0.25">
      <c r="B37" s="73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5"/>
    </row>
    <row r="38" spans="2:16" ht="9.75" hidden="1" customHeight="1" x14ac:dyDescent="0.25">
      <c r="B38" s="5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6"/>
    </row>
    <row r="39" spans="2:16" ht="21" customHeight="1" thickBot="1" x14ac:dyDescent="0.3">
      <c r="B39" s="68" t="s">
        <v>16</v>
      </c>
      <c r="C39" s="69"/>
      <c r="D39" s="69"/>
      <c r="E39" s="69"/>
      <c r="F39" s="69"/>
      <c r="G39" s="9"/>
      <c r="H39" s="69" t="s">
        <v>17</v>
      </c>
      <c r="I39" s="69"/>
      <c r="J39" s="9"/>
      <c r="K39" s="9"/>
      <c r="L39" s="10" t="s">
        <v>18</v>
      </c>
      <c r="M39" s="11"/>
    </row>
  </sheetData>
  <mergeCells count="53">
    <mergeCell ref="C34:F34"/>
    <mergeCell ref="C35:F35"/>
    <mergeCell ref="B36:M36"/>
    <mergeCell ref="B37:M37"/>
    <mergeCell ref="B39:F39"/>
    <mergeCell ref="H39:I39"/>
    <mergeCell ref="C33:F33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21:F21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7:F7"/>
    <mergeCell ref="C8:F8"/>
    <mergeCell ref="Q8:R8"/>
    <mergeCell ref="S8:T8"/>
    <mergeCell ref="C9:F9"/>
    <mergeCell ref="Q9:R9"/>
    <mergeCell ref="S9:T9"/>
    <mergeCell ref="B5:F5"/>
    <mergeCell ref="H5:H6"/>
    <mergeCell ref="I5:I6"/>
    <mergeCell ref="J5:K5"/>
    <mergeCell ref="L5:M5"/>
    <mergeCell ref="B6:F6"/>
    <mergeCell ref="J6:K6"/>
    <mergeCell ref="L6:M6"/>
    <mergeCell ref="B1:M1"/>
    <mergeCell ref="B2:M2"/>
    <mergeCell ref="B3:F4"/>
    <mergeCell ref="G3:G4"/>
    <mergeCell ref="J3:K3"/>
    <mergeCell ref="L3:M3"/>
    <mergeCell ref="J4:K4"/>
    <mergeCell ref="L4:M4"/>
  </mergeCells>
  <printOptions horizontalCentered="1" verticalCentered="1"/>
  <pageMargins left="0.27559055118110237" right="0.23622047244094491" top="0.23622047244094491" bottom="0.23622047244094491" header="0.19685039370078741" footer="0.31496062992125984"/>
  <pageSetup paperSize="9" scale="80" orientation="landscape" r:id="rId1"/>
  <headerFooter scaleWithDoc="0" alignWithMargins="0">
    <firstFooter>&amp;RPage :1 of 2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 W11600030 </vt:lpstr>
      <vt:lpstr> W11600030  (2)</vt:lpstr>
      <vt:lpstr>' W11600030 '!Print_Area</vt:lpstr>
      <vt:lpstr>' W11600030  (2)'!Print_Area</vt:lpstr>
      <vt:lpstr>' W11600030 '!Print_Titles</vt:lpstr>
      <vt:lpstr>' W11600030 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2025-11-27T09:14:31Z</cp:lastPrinted>
  <dcterms:created xsi:type="dcterms:W3CDTF">2022-06-15T04:51:40Z</dcterms:created>
  <dcterms:modified xsi:type="dcterms:W3CDTF">2025-12-14T10:12:11Z</dcterms:modified>
</cp:coreProperties>
</file>