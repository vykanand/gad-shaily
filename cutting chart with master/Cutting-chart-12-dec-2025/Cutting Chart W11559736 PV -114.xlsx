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 activeTab="3"/>
  </bookViews>
  <sheets>
    <sheet name="W11559736(0)" sheetId="1" r:id="rId1"/>
    <sheet name="W11559736(1)" sheetId="2" r:id="rId2"/>
    <sheet name="W11559736(2)" sheetId="4" r:id="rId3"/>
    <sheet name="W11559736(3)" sheetId="5" r:id="rId4"/>
    <sheet name="REVISION HISTORY" sheetId="3" r:id="rId5"/>
  </sheets>
  <definedNames>
    <definedName name="_xlnm._FilterDatabase" localSheetId="0" hidden="1">'W11559736(0)'!$B$6:$M$31</definedName>
    <definedName name="_xlnm._FilterDatabase" localSheetId="1" hidden="1">'W11559736(1)'!$B$6:$M$31</definedName>
    <definedName name="_xlnm._FilterDatabase" localSheetId="2" hidden="1">'W11559736(2)'!$B$6:$M$31</definedName>
    <definedName name="_xlnm._FilterDatabase" localSheetId="3" hidden="1">'W11559736(3)'!$B$6:$M$31</definedName>
    <definedName name="_xlnm.Print_Area" localSheetId="0">'W11559736(0)'!$B$1:$N$33</definedName>
    <definedName name="_xlnm.Print_Area" localSheetId="1">'W11559736(1)'!$B$1:$N$33</definedName>
    <definedName name="_xlnm.Print_Area" localSheetId="2">'W11559736(2)'!$B$1:$N$33</definedName>
    <definedName name="_xlnm.Print_Area" localSheetId="3">'W11559736(3)'!$B$1:$N$33</definedName>
    <definedName name="_xlnm.Print_Titles" localSheetId="0">'W11559736(0)'!$B:$M,'W11559736(0)'!$1:$6</definedName>
    <definedName name="_xlnm.Print_Titles" localSheetId="1">'W11559736(1)'!$B:$M,'W11559736(1)'!$1:$6</definedName>
    <definedName name="_xlnm.Print_Titles" localSheetId="2">'W11559736(2)'!$B:$M,'W11559736(2)'!$1:$6</definedName>
    <definedName name="_xlnm.Print_Titles" localSheetId="3">'W11559736(3)'!$B:$M,'W11559736(3)'!$1:$6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5" l="1"/>
  <c r="I8" i="5"/>
  <c r="I7" i="5"/>
  <c r="I8" i="4" l="1"/>
  <c r="I7" i="4"/>
  <c r="I8" i="2" l="1"/>
  <c r="I7" i="2"/>
  <c r="R27" i="1"/>
  <c r="I8" i="1"/>
  <c r="I7" i="1"/>
</calcChain>
</file>

<file path=xl/sharedStrings.xml><?xml version="1.0" encoding="utf-8"?>
<sst xmlns="http://schemas.openxmlformats.org/spreadsheetml/2006/main" count="657" uniqueCount="122">
  <si>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</si>
  <si>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</si>
  <si>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</si>
  <si>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</si>
  <si>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</si>
  <si>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</si>
  <si>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</si>
  <si>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</si>
  <si>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</si>
  <si>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</si>
  <si>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</si>
  <si>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</si>
  <si>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</si>
  <si>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</si>
  <si>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</si>
  <si>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</si>
  <si>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</si>
  <si>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Brown</t>
  </si>
  <si>
    <t>Green</t>
  </si>
  <si>
    <t>Black</t>
  </si>
  <si>
    <t>Green / Yellow</t>
  </si>
  <si>
    <t>Prepared By:</t>
  </si>
  <si>
    <t>Checked By:</t>
  </si>
  <si>
    <t>Approved By:</t>
  </si>
  <si>
    <t>Ref</t>
  </si>
  <si>
    <t>UL 1569 # 22</t>
  </si>
  <si>
    <t>172718-5121</t>
  </si>
  <si>
    <t>43030-0001</t>
  </si>
  <si>
    <t>Yellow</t>
  </si>
  <si>
    <t>2350223-1</t>
  </si>
  <si>
    <t>UL 1015 # 16</t>
  </si>
  <si>
    <t>65 , 0.160 , 3.10</t>
  </si>
  <si>
    <t>172718-2121</t>
  </si>
  <si>
    <t>61595-1</t>
  </si>
  <si>
    <t>4006-2003</t>
  </si>
  <si>
    <t>TAN
Light Brown</t>
  </si>
  <si>
    <t>UL 1015 # 20</t>
  </si>
  <si>
    <t>White</t>
  </si>
  <si>
    <t>Red / White</t>
  </si>
  <si>
    <t>172718-4121</t>
  </si>
  <si>
    <t>SPL-WIDE-2
63130-2 …A</t>
  </si>
  <si>
    <t>SPL-WIDE-2
63130-2 …B</t>
  </si>
  <si>
    <t>SPL-A40
63130-2 … A</t>
  </si>
  <si>
    <t>26 , 0.160 , 2.50</t>
  </si>
  <si>
    <t>Sky Blue</t>
  </si>
  <si>
    <t>SPL-A40
63130-2 … B</t>
  </si>
  <si>
    <t>Heater
63130-2</t>
  </si>
  <si>
    <t>SPL-FT-1
63130-2 …A ( Heater )</t>
  </si>
  <si>
    <t>SPL-FT-2
63130-2 …A ( Heater )</t>
  </si>
  <si>
    <t>Splice- 10
485043-1 …... A</t>
  </si>
  <si>
    <t>Splice-10
485043-1 ….. A</t>
  </si>
  <si>
    <t>Splice-10
485043-1 …....B</t>
  </si>
  <si>
    <t>350851-1</t>
  </si>
  <si>
    <t>W17559736</t>
  </si>
  <si>
    <t xml:space="preserve">17 , 0.160 , 1.60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</si>
  <si>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</si>
  <si>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</si>
  <si>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</si>
  <si>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</si>
  <si>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</si>
  <si>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</si>
  <si>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WCC/WHP/114</t>
  </si>
  <si>
    <t>05.05.2025</t>
  </si>
  <si>
    <t>+</t>
  </si>
  <si>
    <t>61795-1</t>
  </si>
  <si>
    <r>
      <t>Heater</t>
    </r>
    <r>
      <rPr>
        <b/>
        <sz val="12"/>
        <color theme="1"/>
        <rFont val="Calibri"/>
        <family val="2"/>
        <scheme val="minor"/>
      </rPr>
      <t>(W11561252)</t>
    </r>
    <r>
      <rPr>
        <sz val="12"/>
        <color theme="1"/>
        <rFont val="Calibri"/>
        <family val="2"/>
        <scheme val="minor"/>
      </rPr>
      <t xml:space="preserve">
63130-2</t>
    </r>
  </si>
  <si>
    <r>
      <t>Heater
63130-2</t>
    </r>
    <r>
      <rPr>
        <b/>
        <sz val="12"/>
        <color theme="1"/>
        <rFont val="Calibri"/>
        <family val="2"/>
        <scheme val="minor"/>
      </rPr>
      <t>(W11561252)</t>
    </r>
  </si>
  <si>
    <t>W11559736/38</t>
  </si>
  <si>
    <t>REVISION HISTORY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</si>
  <si>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</si>
  <si>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</si>
  <si>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</si>
  <si>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</si>
  <si>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</si>
  <si>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</si>
  <si>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</si>
  <si>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Date</t>
  </si>
  <si>
    <t>Name</t>
  </si>
  <si>
    <t>485043-1</t>
  </si>
  <si>
    <t>Stripping Reduse</t>
  </si>
  <si>
    <t>Rajesh</t>
  </si>
  <si>
    <t>63130-2</t>
  </si>
  <si>
    <r>
      <t xml:space="preserve">SPL-FT-1
63130-2 …A 
</t>
    </r>
    <r>
      <rPr>
        <b/>
        <sz val="12"/>
        <color theme="1"/>
        <rFont val="Calibri"/>
        <family val="2"/>
        <scheme val="minor"/>
      </rPr>
      <t>( Heater-W11560436)</t>
    </r>
  </si>
  <si>
    <r>
      <t xml:space="preserve">SPL-FT-2
63130-2 …A 
</t>
    </r>
    <r>
      <rPr>
        <b/>
        <sz val="12"/>
        <color theme="1"/>
        <rFont val="Calibri"/>
        <family val="2"/>
        <scheme val="minor"/>
      </rPr>
      <t>( Heater-W11560436)</t>
    </r>
  </si>
  <si>
    <t>Sl No : 12,13,14</t>
  </si>
  <si>
    <t>Stripping Increase</t>
  </si>
  <si>
    <t>Sl No : 4,5,6,7,8,9,15,16,19,20</t>
  </si>
  <si>
    <t>E</t>
  </si>
  <si>
    <t>Sr No</t>
  </si>
  <si>
    <t>Sl No: 3,4,9,15,16,17,18,21,23</t>
  </si>
  <si>
    <t>Pushpendra/Rajesh</t>
  </si>
  <si>
    <t>28.07.2025</t>
  </si>
  <si>
    <t>Sl No: 6</t>
  </si>
  <si>
    <t>Wire Length Increase</t>
  </si>
  <si>
    <t>GAD/BM-16/CC/009</t>
  </si>
  <si>
    <t>WCC/WHP/001</t>
  </si>
  <si>
    <t>UL1569AWG22TANBROWN(BARE)</t>
  </si>
  <si>
    <t>SFG00391</t>
  </si>
  <si>
    <t>SFG00965</t>
  </si>
  <si>
    <t>SFG00490</t>
  </si>
  <si>
    <t>SFG00496</t>
  </si>
  <si>
    <t>SFG00503</t>
  </si>
  <si>
    <t>SFG00494</t>
  </si>
  <si>
    <t>SFG00492</t>
  </si>
  <si>
    <t>SFG00441</t>
  </si>
  <si>
    <t>SFG00956</t>
  </si>
  <si>
    <t>SFG00505</t>
  </si>
  <si>
    <t>SFG00495</t>
  </si>
  <si>
    <t>SFG00953</t>
  </si>
  <si>
    <t>CODE</t>
  </si>
  <si>
    <t>DESCRIPTION</t>
  </si>
  <si>
    <t>UL1015AWG20White(BARE)</t>
  </si>
  <si>
    <t>UL1015AWG20Red/White(BARE)</t>
  </si>
  <si>
    <t>UL1569AWG22Black(BARE)</t>
  </si>
  <si>
    <t>UL1569AWG22Green(BARE)</t>
  </si>
  <si>
    <t>UL1569AWG22Blue(BARE)</t>
  </si>
  <si>
    <t>UL1569AWG22Yellow(BARE)</t>
  </si>
  <si>
    <t>UL1569AWG22Brown(BARE)</t>
  </si>
  <si>
    <t>UL1015AWG16Green/Yellow(BARE)</t>
  </si>
  <si>
    <t>UL1569AWG22SkyBlue(BARE)</t>
  </si>
  <si>
    <t>UL1569AWG22Pink(BARE)</t>
  </si>
  <si>
    <t>UL1569AWG22White(BARE)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</si>
</sst>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11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4" fillId="0" borderId="7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7" fillId="0" borderId="0" xfId="0" applyFont="1"/>
    <xf numFmtId="0" fontId="4" fillId="3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7" fillId="5" borderId="6" xfId="0" applyNumberFormat="1" applyFont="1" applyFill="1" applyBorder="1" applyAlignment="1">
      <alignment horizontal="center" vertical="center"/>
    </xf>
    <xf numFmtId="2" fontId="7" fillId="0" borderId="6" xfId="0" applyNumberFormat="1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2" fontId="11" fillId="0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R33"/>
  <sheetViews>
    <sheetView zoomScale="85" zoomScaleNormal="85" workbookViewId="0">
      <selection activeCell="M6" sqref="M6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6.5703125" customWidth="1"/>
    <col min="9" max="9" width="17.8554687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</cols>
  <sheetData>
    <row r="1" spans="2:13" ht="55.5" customHeight="1" thickBot="1" x14ac:dyDescent="0.3">
      <c r="B1" s="67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2:13" ht="28.35" customHeight="1" x14ac:dyDescent="0.25">
      <c r="B2" s="70" t="s">
        <v>1</v>
      </c>
      <c r="C2" s="71"/>
      <c r="D2" s="71"/>
      <c r="E2" s="71"/>
      <c r="F2" s="72"/>
      <c r="G2" s="72"/>
      <c r="H2" s="72"/>
      <c r="I2" s="72"/>
      <c r="J2" s="72"/>
      <c r="K2" s="72"/>
      <c r="L2" s="72"/>
      <c r="M2" s="73"/>
    </row>
    <row r="3" spans="2:13" ht="15.95" customHeight="1" x14ac:dyDescent="0.25">
      <c r="B3" s="74" t="s">
        <v>2</v>
      </c>
      <c r="C3" s="75"/>
      <c r="D3" s="75"/>
      <c r="E3" s="75"/>
      <c r="F3" s="76"/>
      <c r="G3" s="2" t="s">
        <v>53</v>
      </c>
      <c r="H3" s="23" t="s">
        <v>55</v>
      </c>
      <c r="I3" s="24"/>
      <c r="J3" s="90" t="s">
        <v>56</v>
      </c>
      <c r="K3" s="91"/>
      <c r="L3" s="77" t="s">
        <v>57</v>
      </c>
      <c r="M3" s="78"/>
    </row>
    <row r="4" spans="2:13" ht="21" customHeight="1" x14ac:dyDescent="0.25">
      <c r="B4" s="81" t="s">
        <v>3</v>
      </c>
      <c r="C4" s="82"/>
      <c r="D4" s="82"/>
      <c r="E4" s="82"/>
      <c r="F4" s="83"/>
      <c r="G4" s="1" t="s">
        <v>4</v>
      </c>
      <c r="H4" s="25" t="s">
        <v>58</v>
      </c>
      <c r="I4" s="24">
        <v>0</v>
      </c>
      <c r="J4" s="77" t="s">
        <v>59</v>
      </c>
      <c r="K4" s="78"/>
      <c r="L4" s="79" t="s">
        <v>61</v>
      </c>
      <c r="M4" s="80"/>
    </row>
    <row r="5" spans="2:13" ht="21" customHeight="1" x14ac:dyDescent="0.25">
      <c r="B5" s="84" t="s">
        <v>5</v>
      </c>
      <c r="C5" s="76"/>
      <c r="D5" s="76"/>
      <c r="E5" s="76"/>
      <c r="F5" s="85"/>
      <c r="G5" s="2" t="s">
        <v>24</v>
      </c>
      <c r="H5" s="25" t="s">
        <v>60</v>
      </c>
      <c r="I5" s="24" t="s">
        <v>62</v>
      </c>
      <c r="J5" s="86" t="s">
        <v>6</v>
      </c>
      <c r="K5" s="87"/>
      <c r="L5" s="88" t="s">
        <v>7</v>
      </c>
      <c r="M5" s="89"/>
    </row>
    <row r="6" spans="2:13" ht="56.25" customHeight="1" x14ac:dyDescent="0.25">
      <c r="B6" s="12" t="s">
        <v>8</v>
      </c>
      <c r="C6" s="92" t="s">
        <v>9</v>
      </c>
      <c r="D6" s="92"/>
      <c r="E6" s="92"/>
      <c r="F6" s="92"/>
      <c r="G6" s="11" t="s">
        <v>10</v>
      </c>
      <c r="H6" s="10" t="s">
        <v>11</v>
      </c>
      <c r="I6" s="11" t="s">
        <v>12</v>
      </c>
      <c r="J6" s="11" t="s">
        <v>13</v>
      </c>
      <c r="K6" s="11" t="s">
        <v>14</v>
      </c>
      <c r="L6" s="11" t="s">
        <v>13</v>
      </c>
      <c r="M6" s="13" t="s">
        <v>14</v>
      </c>
    </row>
    <row r="7" spans="2:13" ht="35.1" customHeight="1" x14ac:dyDescent="0.25">
      <c r="B7" s="3">
        <v>1</v>
      </c>
      <c r="C7" s="83" t="s">
        <v>36</v>
      </c>
      <c r="D7" s="83"/>
      <c r="E7" s="83"/>
      <c r="F7" s="83"/>
      <c r="G7" s="1" t="s">
        <v>43</v>
      </c>
      <c r="H7" s="1" t="s">
        <v>37</v>
      </c>
      <c r="I7" s="18">
        <f>1340+20+10+10</f>
        <v>1380</v>
      </c>
      <c r="J7" s="9">
        <v>5</v>
      </c>
      <c r="K7" s="1" t="s">
        <v>39</v>
      </c>
      <c r="L7" s="9">
        <v>5</v>
      </c>
      <c r="M7" s="5" t="s">
        <v>52</v>
      </c>
    </row>
    <row r="8" spans="2:13" ht="35.1" customHeight="1" x14ac:dyDescent="0.25">
      <c r="B8" s="3">
        <v>2</v>
      </c>
      <c r="C8" s="83" t="s">
        <v>36</v>
      </c>
      <c r="D8" s="83"/>
      <c r="E8" s="83"/>
      <c r="F8" s="83"/>
      <c r="G8" s="1" t="s">
        <v>43</v>
      </c>
      <c r="H8" s="1" t="s">
        <v>38</v>
      </c>
      <c r="I8" s="18">
        <f>1340+20+10+10</f>
        <v>1380</v>
      </c>
      <c r="J8" s="9" t="s">
        <v>63</v>
      </c>
      <c r="K8" s="1" t="s">
        <v>39</v>
      </c>
      <c r="L8" s="9">
        <v>5</v>
      </c>
      <c r="M8" s="5" t="s">
        <v>52</v>
      </c>
    </row>
    <row r="9" spans="2:13" ht="35.1" customHeight="1" x14ac:dyDescent="0.25">
      <c r="B9" s="3">
        <v>3</v>
      </c>
      <c r="C9" s="83" t="s">
        <v>25</v>
      </c>
      <c r="D9" s="83"/>
      <c r="E9" s="83"/>
      <c r="F9" s="83"/>
      <c r="G9" s="1" t="s">
        <v>54</v>
      </c>
      <c r="H9" s="1" t="s">
        <v>19</v>
      </c>
      <c r="I9" s="18">
        <v>950</v>
      </c>
      <c r="J9" s="9">
        <v>2.2999999999999998</v>
      </c>
      <c r="K9" s="5" t="s">
        <v>29</v>
      </c>
      <c r="L9" s="9">
        <v>3.5</v>
      </c>
      <c r="M9" s="5" t="s">
        <v>26</v>
      </c>
    </row>
    <row r="10" spans="2:13" ht="35.1" customHeight="1" x14ac:dyDescent="0.25">
      <c r="B10" s="3">
        <v>4</v>
      </c>
      <c r="C10" s="83" t="s">
        <v>25</v>
      </c>
      <c r="D10" s="83"/>
      <c r="E10" s="83"/>
      <c r="F10" s="83"/>
      <c r="G10" s="1" t="s">
        <v>54</v>
      </c>
      <c r="H10" s="1" t="s">
        <v>18</v>
      </c>
      <c r="I10" s="18">
        <v>390</v>
      </c>
      <c r="J10" s="9">
        <v>2.2999999999999998</v>
      </c>
      <c r="K10" s="5" t="s">
        <v>29</v>
      </c>
      <c r="L10" s="9">
        <v>7</v>
      </c>
      <c r="M10" s="8" t="s">
        <v>41</v>
      </c>
    </row>
    <row r="11" spans="2:13" ht="35.1" customHeight="1" x14ac:dyDescent="0.25">
      <c r="B11" s="3">
        <v>5</v>
      </c>
      <c r="C11" s="83" t="s">
        <v>25</v>
      </c>
      <c r="D11" s="83"/>
      <c r="E11" s="83"/>
      <c r="F11" s="83"/>
      <c r="G11" s="1" t="s">
        <v>54</v>
      </c>
      <c r="H11" s="1" t="s">
        <v>18</v>
      </c>
      <c r="I11" s="18">
        <v>560</v>
      </c>
      <c r="J11" s="9">
        <v>3.5</v>
      </c>
      <c r="K11" s="1" t="s">
        <v>26</v>
      </c>
      <c r="L11" s="9">
        <v>7</v>
      </c>
      <c r="M11" s="8" t="s">
        <v>40</v>
      </c>
    </row>
    <row r="12" spans="2:13" ht="35.1" customHeight="1" x14ac:dyDescent="0.25">
      <c r="B12" s="3">
        <v>6</v>
      </c>
      <c r="C12" s="83" t="s">
        <v>25</v>
      </c>
      <c r="D12" s="83"/>
      <c r="E12" s="83"/>
      <c r="F12" s="83"/>
      <c r="G12" s="1" t="s">
        <v>54</v>
      </c>
      <c r="H12" s="1" t="s">
        <v>18</v>
      </c>
      <c r="I12" s="18">
        <v>285</v>
      </c>
      <c r="J12" s="9">
        <v>2.8</v>
      </c>
      <c r="K12" s="5" t="s">
        <v>27</v>
      </c>
      <c r="L12" s="9">
        <v>7</v>
      </c>
      <c r="M12" s="8" t="s">
        <v>41</v>
      </c>
    </row>
    <row r="13" spans="2:13" ht="35.1" customHeight="1" x14ac:dyDescent="0.25">
      <c r="B13" s="3">
        <v>7</v>
      </c>
      <c r="C13" s="83" t="s">
        <v>25</v>
      </c>
      <c r="D13" s="83"/>
      <c r="E13" s="83"/>
      <c r="F13" s="83"/>
      <c r="G13" s="1" t="s">
        <v>54</v>
      </c>
      <c r="H13" s="1" t="s">
        <v>16</v>
      </c>
      <c r="I13" s="18">
        <v>625</v>
      </c>
      <c r="J13" s="9">
        <v>3.5</v>
      </c>
      <c r="K13" s="1" t="s">
        <v>26</v>
      </c>
      <c r="L13" s="9">
        <v>7</v>
      </c>
      <c r="M13" s="8" t="s">
        <v>42</v>
      </c>
    </row>
    <row r="14" spans="2:13" ht="35.1" customHeight="1" x14ac:dyDescent="0.25">
      <c r="B14" s="3">
        <v>8</v>
      </c>
      <c r="C14" s="83" t="s">
        <v>25</v>
      </c>
      <c r="D14" s="83"/>
      <c r="E14" s="83"/>
      <c r="F14" s="83"/>
      <c r="G14" s="1" t="s">
        <v>54</v>
      </c>
      <c r="H14" s="1" t="s">
        <v>16</v>
      </c>
      <c r="I14" s="18">
        <v>230</v>
      </c>
      <c r="J14" s="9">
        <v>2.8</v>
      </c>
      <c r="K14" s="5" t="s">
        <v>27</v>
      </c>
      <c r="L14" s="9">
        <v>7</v>
      </c>
      <c r="M14" s="8" t="s">
        <v>45</v>
      </c>
    </row>
    <row r="15" spans="2:13" ht="35.1" customHeight="1" x14ac:dyDescent="0.25">
      <c r="B15" s="3"/>
      <c r="C15" s="83" t="s">
        <v>25</v>
      </c>
      <c r="D15" s="83"/>
      <c r="E15" s="83"/>
      <c r="F15" s="83"/>
      <c r="G15" s="1" t="s">
        <v>54</v>
      </c>
      <c r="H15" s="1" t="s">
        <v>16</v>
      </c>
      <c r="I15" s="18">
        <v>325</v>
      </c>
      <c r="J15" s="9">
        <v>2.2999999999999998</v>
      </c>
      <c r="K15" s="1" t="s">
        <v>29</v>
      </c>
      <c r="L15" s="9">
        <v>7</v>
      </c>
      <c r="M15" s="8" t="s">
        <v>45</v>
      </c>
    </row>
    <row r="16" spans="2:13" ht="35.1" customHeight="1" x14ac:dyDescent="0.25">
      <c r="B16" s="3">
        <v>9</v>
      </c>
      <c r="C16" s="83" t="s">
        <v>25</v>
      </c>
      <c r="D16" s="83"/>
      <c r="E16" s="83"/>
      <c r="F16" s="83"/>
      <c r="G16" s="1" t="s">
        <v>54</v>
      </c>
      <c r="H16" s="1" t="s">
        <v>28</v>
      </c>
      <c r="I16" s="18">
        <v>190</v>
      </c>
      <c r="J16" s="9">
        <v>2.8</v>
      </c>
      <c r="K16" s="5" t="s">
        <v>27</v>
      </c>
      <c r="L16" s="9">
        <v>3.5</v>
      </c>
      <c r="M16" s="5" t="s">
        <v>26</v>
      </c>
    </row>
    <row r="17" spans="2:18" ht="35.1" customHeight="1" x14ac:dyDescent="0.25">
      <c r="B17" s="3">
        <v>10</v>
      </c>
      <c r="C17" s="83" t="s">
        <v>25</v>
      </c>
      <c r="D17" s="83"/>
      <c r="E17" s="83"/>
      <c r="F17" s="83"/>
      <c r="G17" s="1" t="s">
        <v>54</v>
      </c>
      <c r="H17" s="1" t="s">
        <v>17</v>
      </c>
      <c r="I17" s="18">
        <v>190</v>
      </c>
      <c r="J17" s="9">
        <v>3.5</v>
      </c>
      <c r="K17" s="1" t="s">
        <v>26</v>
      </c>
      <c r="L17" s="9">
        <v>2.8</v>
      </c>
      <c r="M17" s="5" t="s">
        <v>27</v>
      </c>
    </row>
    <row r="18" spans="2:18" ht="35.1" customHeight="1" x14ac:dyDescent="0.25">
      <c r="B18" s="3">
        <v>17</v>
      </c>
      <c r="C18" s="83" t="s">
        <v>30</v>
      </c>
      <c r="D18" s="83"/>
      <c r="E18" s="83"/>
      <c r="F18" s="83"/>
      <c r="G18" s="1" t="s">
        <v>31</v>
      </c>
      <c r="H18" s="1" t="s">
        <v>20</v>
      </c>
      <c r="I18" s="18">
        <v>480</v>
      </c>
      <c r="J18" s="9">
        <v>5</v>
      </c>
      <c r="K18" s="1" t="s">
        <v>32</v>
      </c>
      <c r="L18" s="9">
        <v>7</v>
      </c>
      <c r="M18" s="8" t="s">
        <v>49</v>
      </c>
    </row>
    <row r="19" spans="2:18" ht="35.1" customHeight="1" x14ac:dyDescent="0.25">
      <c r="B19" s="3">
        <v>12</v>
      </c>
      <c r="C19" s="83" t="s">
        <v>30</v>
      </c>
      <c r="D19" s="83"/>
      <c r="E19" s="83"/>
      <c r="F19" s="83"/>
      <c r="G19" s="1" t="s">
        <v>31</v>
      </c>
      <c r="H19" s="1" t="s">
        <v>20</v>
      </c>
      <c r="I19" s="18">
        <v>305</v>
      </c>
      <c r="J19" s="9">
        <v>5</v>
      </c>
      <c r="K19" s="1" t="s">
        <v>33</v>
      </c>
      <c r="L19" s="9">
        <v>7</v>
      </c>
      <c r="M19" s="8" t="s">
        <v>50</v>
      </c>
    </row>
    <row r="20" spans="2:18" ht="35.1" customHeight="1" x14ac:dyDescent="0.25">
      <c r="B20" s="3">
        <v>13</v>
      </c>
      <c r="C20" s="83" t="s">
        <v>30</v>
      </c>
      <c r="D20" s="83"/>
      <c r="E20" s="83"/>
      <c r="F20" s="83"/>
      <c r="G20" s="1" t="s">
        <v>31</v>
      </c>
      <c r="H20" s="1" t="s">
        <v>20</v>
      </c>
      <c r="I20" s="18">
        <v>425</v>
      </c>
      <c r="J20" s="9">
        <v>5</v>
      </c>
      <c r="K20" s="1" t="s">
        <v>34</v>
      </c>
      <c r="L20" s="9">
        <v>7</v>
      </c>
      <c r="M20" s="8" t="s">
        <v>51</v>
      </c>
    </row>
    <row r="21" spans="2:18" ht="35.1" customHeight="1" x14ac:dyDescent="0.25">
      <c r="B21" s="3">
        <v>14</v>
      </c>
      <c r="C21" s="83" t="s">
        <v>25</v>
      </c>
      <c r="D21" s="83"/>
      <c r="E21" s="83"/>
      <c r="F21" s="83"/>
      <c r="G21" s="1" t="s">
        <v>54</v>
      </c>
      <c r="H21" s="1" t="s">
        <v>44</v>
      </c>
      <c r="I21" s="18">
        <v>730</v>
      </c>
      <c r="J21" s="9">
        <v>2.2999999999999998</v>
      </c>
      <c r="K21" s="5" t="s">
        <v>29</v>
      </c>
      <c r="L21" s="9">
        <v>7</v>
      </c>
      <c r="M21" s="8" t="s">
        <v>47</v>
      </c>
    </row>
    <row r="22" spans="2:18" ht="35.1" customHeight="1" x14ac:dyDescent="0.25">
      <c r="B22" s="3">
        <v>15</v>
      </c>
      <c r="C22" s="83" t="s">
        <v>25</v>
      </c>
      <c r="D22" s="83"/>
      <c r="E22" s="83"/>
      <c r="F22" s="83"/>
      <c r="G22" s="1" t="s">
        <v>54</v>
      </c>
      <c r="H22" s="1" t="s">
        <v>19</v>
      </c>
      <c r="I22" s="18">
        <v>730</v>
      </c>
      <c r="J22" s="9">
        <v>2.2999999999999998</v>
      </c>
      <c r="K22" s="5" t="s">
        <v>29</v>
      </c>
      <c r="L22" s="9">
        <v>7</v>
      </c>
      <c r="M22" s="8" t="s">
        <v>48</v>
      </c>
    </row>
    <row r="23" spans="2:18" ht="35.1" customHeight="1" x14ac:dyDescent="0.25">
      <c r="B23" s="3">
        <v>16</v>
      </c>
      <c r="C23" s="83" t="s">
        <v>25</v>
      </c>
      <c r="D23" s="83"/>
      <c r="E23" s="83"/>
      <c r="F23" s="83"/>
      <c r="G23" s="1" t="s">
        <v>54</v>
      </c>
      <c r="H23" s="19" t="s">
        <v>17</v>
      </c>
      <c r="I23" s="20">
        <v>190</v>
      </c>
      <c r="J23" s="21">
        <v>2.2999999999999998</v>
      </c>
      <c r="K23" s="19" t="s">
        <v>29</v>
      </c>
      <c r="L23" s="21">
        <v>2.8</v>
      </c>
      <c r="M23" s="22" t="s">
        <v>27</v>
      </c>
    </row>
    <row r="24" spans="2:18" ht="35.1" customHeight="1" x14ac:dyDescent="0.25">
      <c r="B24" s="3">
        <v>17</v>
      </c>
      <c r="C24" s="83" t="s">
        <v>25</v>
      </c>
      <c r="D24" s="83"/>
      <c r="E24" s="83"/>
      <c r="F24" s="83"/>
      <c r="G24" s="1" t="s">
        <v>54</v>
      </c>
      <c r="H24" s="19" t="s">
        <v>15</v>
      </c>
      <c r="I24" s="20">
        <v>190</v>
      </c>
      <c r="J24" s="21">
        <v>2.2999999999999998</v>
      </c>
      <c r="K24" s="19" t="s">
        <v>29</v>
      </c>
      <c r="L24" s="21">
        <v>2.8</v>
      </c>
      <c r="M24" s="22" t="s">
        <v>27</v>
      </c>
    </row>
    <row r="25" spans="2:18" ht="35.1" customHeight="1" x14ac:dyDescent="0.25">
      <c r="B25" s="3">
        <v>19</v>
      </c>
      <c r="C25" s="83" t="s">
        <v>25</v>
      </c>
      <c r="D25" s="83"/>
      <c r="E25" s="83"/>
      <c r="F25" s="83"/>
      <c r="G25" s="1" t="s">
        <v>54</v>
      </c>
      <c r="H25" s="1" t="s">
        <v>37</v>
      </c>
      <c r="I25" s="18">
        <v>1130</v>
      </c>
      <c r="J25" s="9">
        <v>3.5</v>
      </c>
      <c r="K25" s="1" t="s">
        <v>26</v>
      </c>
      <c r="L25" s="9">
        <v>7</v>
      </c>
      <c r="M25" s="8" t="s">
        <v>46</v>
      </c>
    </row>
    <row r="26" spans="2:18" ht="35.1" customHeight="1" x14ac:dyDescent="0.25">
      <c r="B26" s="3">
        <v>20</v>
      </c>
      <c r="C26" s="83" t="s">
        <v>25</v>
      </c>
      <c r="D26" s="83"/>
      <c r="E26" s="83"/>
      <c r="F26" s="83"/>
      <c r="G26" s="1" t="s">
        <v>54</v>
      </c>
      <c r="H26" s="1" t="s">
        <v>15</v>
      </c>
      <c r="I26" s="18">
        <v>1130</v>
      </c>
      <c r="J26" s="9">
        <v>3.5</v>
      </c>
      <c r="K26" s="1" t="s">
        <v>26</v>
      </c>
      <c r="L26" s="9">
        <v>7</v>
      </c>
      <c r="M26" s="8" t="s">
        <v>46</v>
      </c>
    </row>
    <row r="27" spans="2:18" ht="35.1" customHeight="1" x14ac:dyDescent="0.25">
      <c r="B27" s="3">
        <v>21</v>
      </c>
      <c r="C27" s="83" t="s">
        <v>25</v>
      </c>
      <c r="D27" s="83"/>
      <c r="E27" s="83"/>
      <c r="F27" s="83"/>
      <c r="G27" s="1" t="s">
        <v>54</v>
      </c>
      <c r="H27" s="4" t="s">
        <v>35</v>
      </c>
      <c r="I27" s="18">
        <v>220</v>
      </c>
      <c r="J27" s="9">
        <v>2.2999999999999998</v>
      </c>
      <c r="K27" s="1" t="s">
        <v>29</v>
      </c>
      <c r="L27" s="9">
        <v>2.8</v>
      </c>
      <c r="M27" s="5" t="s">
        <v>27</v>
      </c>
      <c r="R27">
        <f>540+260</f>
        <v>800</v>
      </c>
    </row>
    <row r="28" spans="2:18" ht="35.1" customHeight="1" x14ac:dyDescent="0.25">
      <c r="B28" s="3">
        <v>22</v>
      </c>
      <c r="C28" s="83" t="s">
        <v>25</v>
      </c>
      <c r="D28" s="83"/>
      <c r="E28" s="83"/>
      <c r="F28" s="83"/>
      <c r="G28" s="1" t="s">
        <v>54</v>
      </c>
      <c r="H28" s="4" t="s">
        <v>35</v>
      </c>
      <c r="I28" s="18">
        <v>850</v>
      </c>
      <c r="J28" s="9">
        <v>3.5</v>
      </c>
      <c r="K28" s="1" t="s">
        <v>26</v>
      </c>
      <c r="L28" s="9">
        <v>2.8</v>
      </c>
      <c r="M28" s="5" t="s">
        <v>27</v>
      </c>
    </row>
    <row r="29" spans="2:18" ht="35.1" customHeight="1" x14ac:dyDescent="0.25">
      <c r="B29" s="3">
        <v>23</v>
      </c>
      <c r="C29" s="83" t="s">
        <v>25</v>
      </c>
      <c r="D29" s="83"/>
      <c r="E29" s="83"/>
      <c r="F29" s="83"/>
      <c r="G29" s="1" t="s">
        <v>54</v>
      </c>
      <c r="H29" s="1" t="s">
        <v>28</v>
      </c>
      <c r="I29" s="18">
        <v>220</v>
      </c>
      <c r="J29" s="9">
        <v>2.2999999999999998</v>
      </c>
      <c r="K29" s="1" t="s">
        <v>29</v>
      </c>
      <c r="L29" s="9">
        <v>2.8</v>
      </c>
      <c r="M29" s="5" t="s">
        <v>27</v>
      </c>
      <c r="R29">
        <v>310</v>
      </c>
    </row>
    <row r="30" spans="2:18" ht="35.450000000000003" customHeight="1" thickBot="1" x14ac:dyDescent="0.3"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7"/>
    </row>
    <row r="31" spans="2:18" ht="31.35" customHeight="1" x14ac:dyDescent="0.25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</row>
    <row r="32" spans="2:18" ht="9.75" hidden="1" customHeight="1" x14ac:dyDescent="0.25">
      <c r="B32" s="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7"/>
    </row>
    <row r="33" spans="2:13" ht="21" customHeight="1" thickBot="1" x14ac:dyDescent="0.3">
      <c r="B33" s="93" t="s">
        <v>21</v>
      </c>
      <c r="C33" s="94"/>
      <c r="D33" s="94"/>
      <c r="E33" s="94"/>
      <c r="F33" s="94"/>
      <c r="G33" s="14"/>
      <c r="H33" s="94" t="s">
        <v>22</v>
      </c>
      <c r="I33" s="94"/>
      <c r="J33" s="14"/>
      <c r="K33" s="14"/>
      <c r="L33" s="15" t="s">
        <v>23</v>
      </c>
      <c r="M33" s="16"/>
    </row>
  </sheetData>
  <autoFilter ref="B6:M31">
    <filterColumn colId="1" showButton="0"/>
    <filterColumn colId="2" showButton="0"/>
    <filterColumn colId="3" showButton="0"/>
  </autoFilter>
  <mergeCells count="39">
    <mergeCell ref="B33:F33"/>
    <mergeCell ref="H33:I33"/>
    <mergeCell ref="C26:F26"/>
    <mergeCell ref="C27:F27"/>
    <mergeCell ref="C29:F29"/>
    <mergeCell ref="B30:M30"/>
    <mergeCell ref="B31:M31"/>
    <mergeCell ref="C28:F28"/>
    <mergeCell ref="C6:F6"/>
    <mergeCell ref="C20:F20"/>
    <mergeCell ref="C21:F21"/>
    <mergeCell ref="C22:F22"/>
    <mergeCell ref="C23:F23"/>
    <mergeCell ref="C7:F7"/>
    <mergeCell ref="C8:F8"/>
    <mergeCell ref="C13:F13"/>
    <mergeCell ref="C14:F14"/>
    <mergeCell ref="C16:F16"/>
    <mergeCell ref="C9:F9"/>
    <mergeCell ref="C10:F10"/>
    <mergeCell ref="C11:F11"/>
    <mergeCell ref="C12:F12"/>
    <mergeCell ref="C15:F15"/>
    <mergeCell ref="C24:F24"/>
    <mergeCell ref="C25:F25"/>
    <mergeCell ref="C17:F17"/>
    <mergeCell ref="C18:F18"/>
    <mergeCell ref="C19:F19"/>
    <mergeCell ref="B5:F5"/>
    <mergeCell ref="J5:K5"/>
    <mergeCell ref="L5:M5"/>
    <mergeCell ref="J3:K3"/>
    <mergeCell ref="L3:M3"/>
    <mergeCell ref="B1:M1"/>
    <mergeCell ref="B2:M2"/>
    <mergeCell ref="B3:F3"/>
    <mergeCell ref="J4:K4"/>
    <mergeCell ref="L4:M4"/>
    <mergeCell ref="B4:F4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33"/>
  <sheetViews>
    <sheetView zoomScale="85" zoomScaleNormal="85" workbookViewId="0">
      <selection activeCell="G26" sqref="G26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6.5703125" customWidth="1"/>
    <col min="9" max="9" width="17.8554687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</cols>
  <sheetData>
    <row r="1" spans="2:13" ht="55.5" customHeight="1" thickBot="1" x14ac:dyDescent="0.3">
      <c r="B1" s="67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2:13" ht="28.35" customHeight="1" x14ac:dyDescent="0.25">
      <c r="B2" s="70" t="s">
        <v>1</v>
      </c>
      <c r="C2" s="71"/>
      <c r="D2" s="71"/>
      <c r="E2" s="71"/>
      <c r="F2" s="72"/>
      <c r="G2" s="72"/>
      <c r="H2" s="72"/>
      <c r="I2" s="72"/>
      <c r="J2" s="72"/>
      <c r="K2" s="72"/>
      <c r="L2" s="72"/>
      <c r="M2" s="73"/>
    </row>
    <row r="3" spans="2:13" ht="15.95" customHeight="1" x14ac:dyDescent="0.25">
      <c r="B3" s="74" t="s">
        <v>2</v>
      </c>
      <c r="C3" s="75"/>
      <c r="D3" s="75"/>
      <c r="E3" s="75"/>
      <c r="F3" s="76"/>
      <c r="G3" s="2" t="s">
        <v>67</v>
      </c>
      <c r="H3" s="23" t="s">
        <v>55</v>
      </c>
      <c r="I3" s="24"/>
      <c r="J3" s="90" t="s">
        <v>56</v>
      </c>
      <c r="K3" s="91"/>
      <c r="L3" s="77" t="s">
        <v>57</v>
      </c>
      <c r="M3" s="78"/>
    </row>
    <row r="4" spans="2:13" ht="21" customHeight="1" x14ac:dyDescent="0.25">
      <c r="B4" s="81" t="s">
        <v>3</v>
      </c>
      <c r="C4" s="82"/>
      <c r="D4" s="82"/>
      <c r="E4" s="82"/>
      <c r="F4" s="83"/>
      <c r="G4" s="1" t="s">
        <v>4</v>
      </c>
      <c r="H4" s="25" t="s">
        <v>58</v>
      </c>
      <c r="I4" s="24">
        <v>0</v>
      </c>
      <c r="J4" s="77" t="s">
        <v>59</v>
      </c>
      <c r="K4" s="78"/>
      <c r="L4" s="79" t="s">
        <v>61</v>
      </c>
      <c r="M4" s="80"/>
    </row>
    <row r="5" spans="2:13" ht="21" customHeight="1" x14ac:dyDescent="0.25">
      <c r="B5" s="84" t="s">
        <v>5</v>
      </c>
      <c r="C5" s="76"/>
      <c r="D5" s="76"/>
      <c r="E5" s="76"/>
      <c r="F5" s="85"/>
      <c r="G5" s="2" t="s">
        <v>24</v>
      </c>
      <c r="H5" s="25" t="s">
        <v>60</v>
      </c>
      <c r="I5" s="24" t="s">
        <v>62</v>
      </c>
      <c r="J5" s="86" t="s">
        <v>6</v>
      </c>
      <c r="K5" s="87"/>
      <c r="L5" s="88" t="s">
        <v>7</v>
      </c>
      <c r="M5" s="89"/>
    </row>
    <row r="6" spans="2:13" ht="56.25" customHeight="1" x14ac:dyDescent="0.25">
      <c r="B6" s="12" t="s">
        <v>8</v>
      </c>
      <c r="C6" s="92" t="s">
        <v>9</v>
      </c>
      <c r="D6" s="92"/>
      <c r="E6" s="92"/>
      <c r="F6" s="92"/>
      <c r="G6" s="11" t="s">
        <v>10</v>
      </c>
      <c r="H6" s="10" t="s">
        <v>11</v>
      </c>
      <c r="I6" s="11" t="s">
        <v>12</v>
      </c>
      <c r="J6" s="11" t="s">
        <v>13</v>
      </c>
      <c r="K6" s="11" t="s">
        <v>14</v>
      </c>
      <c r="L6" s="11" t="s">
        <v>13</v>
      </c>
      <c r="M6" s="13" t="s">
        <v>14</v>
      </c>
    </row>
    <row r="7" spans="2:13" ht="35.1" customHeight="1" x14ac:dyDescent="0.25">
      <c r="B7" s="31">
        <v>1</v>
      </c>
      <c r="C7" s="101" t="s">
        <v>36</v>
      </c>
      <c r="D7" s="101"/>
      <c r="E7" s="101"/>
      <c r="F7" s="101"/>
      <c r="G7" s="32" t="s">
        <v>43</v>
      </c>
      <c r="H7" s="32" t="s">
        <v>37</v>
      </c>
      <c r="I7" s="33">
        <f>1340+20+10+10</f>
        <v>1380</v>
      </c>
      <c r="J7" s="9">
        <v>3</v>
      </c>
      <c r="K7" s="32" t="s">
        <v>39</v>
      </c>
      <c r="L7" s="34">
        <v>5</v>
      </c>
      <c r="M7" s="36" t="s">
        <v>52</v>
      </c>
    </row>
    <row r="8" spans="2:13" ht="35.1" customHeight="1" x14ac:dyDescent="0.25">
      <c r="B8" s="31">
        <v>2</v>
      </c>
      <c r="C8" s="101" t="s">
        <v>36</v>
      </c>
      <c r="D8" s="101"/>
      <c r="E8" s="101"/>
      <c r="F8" s="101"/>
      <c r="G8" s="32" t="s">
        <v>43</v>
      </c>
      <c r="H8" s="32" t="s">
        <v>38</v>
      </c>
      <c r="I8" s="33">
        <f>1340+20+10+10</f>
        <v>1380</v>
      </c>
      <c r="J8" s="9">
        <v>3</v>
      </c>
      <c r="K8" s="32" t="s">
        <v>39</v>
      </c>
      <c r="L8" s="34">
        <v>5</v>
      </c>
      <c r="M8" s="36" t="s">
        <v>52</v>
      </c>
    </row>
    <row r="9" spans="2:13" ht="35.1" customHeight="1" x14ac:dyDescent="0.25">
      <c r="B9" s="31">
        <v>3</v>
      </c>
      <c r="C9" s="101" t="s">
        <v>25</v>
      </c>
      <c r="D9" s="101"/>
      <c r="E9" s="101"/>
      <c r="F9" s="101"/>
      <c r="G9" s="32" t="s">
        <v>54</v>
      </c>
      <c r="H9" s="32" t="s">
        <v>19</v>
      </c>
      <c r="I9" s="33">
        <v>950</v>
      </c>
      <c r="J9" s="34">
        <v>2.2999999999999998</v>
      </c>
      <c r="K9" s="36" t="s">
        <v>29</v>
      </c>
      <c r="L9" s="34">
        <v>3.5</v>
      </c>
      <c r="M9" s="36" t="s">
        <v>26</v>
      </c>
    </row>
    <row r="10" spans="2:13" ht="35.1" customHeight="1" x14ac:dyDescent="0.25">
      <c r="B10" s="31">
        <v>4</v>
      </c>
      <c r="C10" s="101" t="s">
        <v>25</v>
      </c>
      <c r="D10" s="101"/>
      <c r="E10" s="101"/>
      <c r="F10" s="101"/>
      <c r="G10" s="32" t="s">
        <v>54</v>
      </c>
      <c r="H10" s="32" t="s">
        <v>18</v>
      </c>
      <c r="I10" s="33">
        <v>390</v>
      </c>
      <c r="J10" s="34">
        <v>2.2999999999999998</v>
      </c>
      <c r="K10" s="36" t="s">
        <v>29</v>
      </c>
      <c r="L10" s="34">
        <v>7</v>
      </c>
      <c r="M10" s="35" t="s">
        <v>41</v>
      </c>
    </row>
    <row r="11" spans="2:13" ht="35.1" customHeight="1" x14ac:dyDescent="0.25">
      <c r="B11" s="31">
        <v>5</v>
      </c>
      <c r="C11" s="101" t="s">
        <v>25</v>
      </c>
      <c r="D11" s="101"/>
      <c r="E11" s="101"/>
      <c r="F11" s="101"/>
      <c r="G11" s="32" t="s">
        <v>54</v>
      </c>
      <c r="H11" s="32" t="s">
        <v>18</v>
      </c>
      <c r="I11" s="33">
        <v>560</v>
      </c>
      <c r="J11" s="34">
        <v>3.5</v>
      </c>
      <c r="K11" s="32" t="s">
        <v>26</v>
      </c>
      <c r="L11" s="34">
        <v>7</v>
      </c>
      <c r="M11" s="35" t="s">
        <v>40</v>
      </c>
    </row>
    <row r="12" spans="2:13" ht="35.1" customHeight="1" x14ac:dyDescent="0.25">
      <c r="B12" s="31">
        <v>6</v>
      </c>
      <c r="C12" s="101" t="s">
        <v>25</v>
      </c>
      <c r="D12" s="101"/>
      <c r="E12" s="101"/>
      <c r="F12" s="101"/>
      <c r="G12" s="32" t="s">
        <v>54</v>
      </c>
      <c r="H12" s="32" t="s">
        <v>18</v>
      </c>
      <c r="I12" s="33">
        <v>285</v>
      </c>
      <c r="J12" s="34">
        <v>2.8</v>
      </c>
      <c r="K12" s="36" t="s">
        <v>27</v>
      </c>
      <c r="L12" s="34">
        <v>7</v>
      </c>
      <c r="M12" s="35" t="s">
        <v>41</v>
      </c>
    </row>
    <row r="13" spans="2:13" ht="35.1" customHeight="1" x14ac:dyDescent="0.25">
      <c r="B13" s="31">
        <v>7</v>
      </c>
      <c r="C13" s="101" t="s">
        <v>25</v>
      </c>
      <c r="D13" s="101"/>
      <c r="E13" s="101"/>
      <c r="F13" s="101"/>
      <c r="G13" s="32" t="s">
        <v>54</v>
      </c>
      <c r="H13" s="32" t="s">
        <v>16</v>
      </c>
      <c r="I13" s="33">
        <v>625</v>
      </c>
      <c r="J13" s="34">
        <v>3.5</v>
      </c>
      <c r="K13" s="32" t="s">
        <v>26</v>
      </c>
      <c r="L13" s="34">
        <v>7</v>
      </c>
      <c r="M13" s="35" t="s">
        <v>42</v>
      </c>
    </row>
    <row r="14" spans="2:13" ht="35.1" customHeight="1" x14ac:dyDescent="0.25">
      <c r="B14" s="31">
        <v>8</v>
      </c>
      <c r="C14" s="101" t="s">
        <v>25</v>
      </c>
      <c r="D14" s="101"/>
      <c r="E14" s="101"/>
      <c r="F14" s="101"/>
      <c r="G14" s="32" t="s">
        <v>54</v>
      </c>
      <c r="H14" s="32" t="s">
        <v>16</v>
      </c>
      <c r="I14" s="33">
        <v>230</v>
      </c>
      <c r="J14" s="34">
        <v>2.8</v>
      </c>
      <c r="K14" s="36" t="s">
        <v>27</v>
      </c>
      <c r="L14" s="34">
        <v>7</v>
      </c>
      <c r="M14" s="35" t="s">
        <v>45</v>
      </c>
    </row>
    <row r="15" spans="2:13" ht="35.1" customHeight="1" x14ac:dyDescent="0.25">
      <c r="B15" s="31">
        <v>9</v>
      </c>
      <c r="C15" s="101" t="s">
        <v>25</v>
      </c>
      <c r="D15" s="101"/>
      <c r="E15" s="101"/>
      <c r="F15" s="101"/>
      <c r="G15" s="32" t="s">
        <v>54</v>
      </c>
      <c r="H15" s="32" t="s">
        <v>16</v>
      </c>
      <c r="I15" s="33">
        <v>325</v>
      </c>
      <c r="J15" s="34">
        <v>2.2999999999999998</v>
      </c>
      <c r="K15" s="32" t="s">
        <v>29</v>
      </c>
      <c r="L15" s="34">
        <v>7</v>
      </c>
      <c r="M15" s="35" t="s">
        <v>45</v>
      </c>
    </row>
    <row r="16" spans="2:13" ht="35.1" customHeight="1" x14ac:dyDescent="0.25">
      <c r="B16" s="31">
        <v>10</v>
      </c>
      <c r="C16" s="101" t="s">
        <v>25</v>
      </c>
      <c r="D16" s="101"/>
      <c r="E16" s="101"/>
      <c r="F16" s="101"/>
      <c r="G16" s="32" t="s">
        <v>54</v>
      </c>
      <c r="H16" s="32" t="s">
        <v>28</v>
      </c>
      <c r="I16" s="18">
        <v>185</v>
      </c>
      <c r="J16" s="34">
        <v>2.8</v>
      </c>
      <c r="K16" s="36" t="s">
        <v>27</v>
      </c>
      <c r="L16" s="34">
        <v>3.5</v>
      </c>
      <c r="M16" s="36" t="s">
        <v>26</v>
      </c>
    </row>
    <row r="17" spans="2:13" ht="35.1" customHeight="1" x14ac:dyDescent="0.25">
      <c r="B17" s="31">
        <v>11</v>
      </c>
      <c r="C17" s="101" t="s">
        <v>25</v>
      </c>
      <c r="D17" s="101"/>
      <c r="E17" s="101"/>
      <c r="F17" s="101"/>
      <c r="G17" s="32" t="s">
        <v>54</v>
      </c>
      <c r="H17" s="32" t="s">
        <v>17</v>
      </c>
      <c r="I17" s="18">
        <v>185</v>
      </c>
      <c r="J17" s="9">
        <v>3</v>
      </c>
      <c r="K17" s="32" t="s">
        <v>26</v>
      </c>
      <c r="L17" s="34">
        <v>2.8</v>
      </c>
      <c r="M17" s="36" t="s">
        <v>27</v>
      </c>
    </row>
    <row r="18" spans="2:13" ht="35.1" customHeight="1" x14ac:dyDescent="0.25">
      <c r="B18" s="31">
        <v>12</v>
      </c>
      <c r="C18" s="101" t="s">
        <v>30</v>
      </c>
      <c r="D18" s="101"/>
      <c r="E18" s="101"/>
      <c r="F18" s="101"/>
      <c r="G18" s="32" t="s">
        <v>31</v>
      </c>
      <c r="H18" s="32" t="s">
        <v>20</v>
      </c>
      <c r="I18" s="33">
        <v>480</v>
      </c>
      <c r="J18" s="9">
        <v>3</v>
      </c>
      <c r="K18" s="32" t="s">
        <v>32</v>
      </c>
      <c r="L18" s="9">
        <v>8</v>
      </c>
      <c r="M18" s="35" t="s">
        <v>49</v>
      </c>
    </row>
    <row r="19" spans="2:13" ht="35.1" customHeight="1" x14ac:dyDescent="0.25">
      <c r="B19" s="31">
        <v>13</v>
      </c>
      <c r="C19" s="101" t="s">
        <v>30</v>
      </c>
      <c r="D19" s="101"/>
      <c r="E19" s="101"/>
      <c r="F19" s="101"/>
      <c r="G19" s="32" t="s">
        <v>31</v>
      </c>
      <c r="H19" s="32" t="s">
        <v>20</v>
      </c>
      <c r="I19" s="33">
        <v>305</v>
      </c>
      <c r="J19" s="9">
        <v>7</v>
      </c>
      <c r="K19" s="1" t="s">
        <v>64</v>
      </c>
      <c r="L19" s="9">
        <v>8</v>
      </c>
      <c r="M19" s="35" t="s">
        <v>50</v>
      </c>
    </row>
    <row r="20" spans="2:13" ht="35.1" customHeight="1" x14ac:dyDescent="0.25">
      <c r="B20" s="31">
        <v>14</v>
      </c>
      <c r="C20" s="101" t="s">
        <v>30</v>
      </c>
      <c r="D20" s="101"/>
      <c r="E20" s="101"/>
      <c r="F20" s="101"/>
      <c r="G20" s="32" t="s">
        <v>31</v>
      </c>
      <c r="H20" s="32" t="s">
        <v>20</v>
      </c>
      <c r="I20" s="33">
        <v>425</v>
      </c>
      <c r="J20" s="34">
        <v>5</v>
      </c>
      <c r="K20" s="32" t="s">
        <v>34</v>
      </c>
      <c r="L20" s="9">
        <v>8</v>
      </c>
      <c r="M20" s="35" t="s">
        <v>51</v>
      </c>
    </row>
    <row r="21" spans="2:13" ht="49.5" customHeight="1" x14ac:dyDescent="0.25">
      <c r="B21" s="31">
        <v>15</v>
      </c>
      <c r="C21" s="101" t="s">
        <v>25</v>
      </c>
      <c r="D21" s="101"/>
      <c r="E21" s="101"/>
      <c r="F21" s="101"/>
      <c r="G21" s="32" t="s">
        <v>54</v>
      </c>
      <c r="H21" s="32" t="s">
        <v>44</v>
      </c>
      <c r="I21" s="33">
        <v>730</v>
      </c>
      <c r="J21" s="34">
        <v>2.2999999999999998</v>
      </c>
      <c r="K21" s="36" t="s">
        <v>29</v>
      </c>
      <c r="L21" s="34">
        <v>7</v>
      </c>
      <c r="M21" s="35" t="s">
        <v>82</v>
      </c>
    </row>
    <row r="22" spans="2:13" ht="51" customHeight="1" x14ac:dyDescent="0.25">
      <c r="B22" s="31">
        <v>16</v>
      </c>
      <c r="C22" s="101" t="s">
        <v>25</v>
      </c>
      <c r="D22" s="101"/>
      <c r="E22" s="101"/>
      <c r="F22" s="101"/>
      <c r="G22" s="32" t="s">
        <v>54</v>
      </c>
      <c r="H22" s="32" t="s">
        <v>19</v>
      </c>
      <c r="I22" s="33">
        <v>730</v>
      </c>
      <c r="J22" s="34">
        <v>2.2999999999999998</v>
      </c>
      <c r="K22" s="36" t="s">
        <v>29</v>
      </c>
      <c r="L22" s="34">
        <v>7</v>
      </c>
      <c r="M22" s="35" t="s">
        <v>83</v>
      </c>
    </row>
    <row r="23" spans="2:13" ht="35.1" customHeight="1" x14ac:dyDescent="0.25">
      <c r="B23" s="31">
        <v>17</v>
      </c>
      <c r="C23" s="101" t="s">
        <v>25</v>
      </c>
      <c r="D23" s="101"/>
      <c r="E23" s="101"/>
      <c r="F23" s="101"/>
      <c r="G23" s="32" t="s">
        <v>54</v>
      </c>
      <c r="H23" s="37" t="s">
        <v>17</v>
      </c>
      <c r="I23" s="38">
        <v>190</v>
      </c>
      <c r="J23" s="39">
        <v>2.2999999999999998</v>
      </c>
      <c r="K23" s="37" t="s">
        <v>29</v>
      </c>
      <c r="L23" s="39">
        <v>2.8</v>
      </c>
      <c r="M23" s="40" t="s">
        <v>27</v>
      </c>
    </row>
    <row r="24" spans="2:13" ht="35.1" customHeight="1" x14ac:dyDescent="0.25">
      <c r="B24" s="31">
        <v>18</v>
      </c>
      <c r="C24" s="101" t="s">
        <v>25</v>
      </c>
      <c r="D24" s="101"/>
      <c r="E24" s="101"/>
      <c r="F24" s="101"/>
      <c r="G24" s="32" t="s">
        <v>54</v>
      </c>
      <c r="H24" s="37" t="s">
        <v>15</v>
      </c>
      <c r="I24" s="38">
        <v>190</v>
      </c>
      <c r="J24" s="39">
        <v>2.2999999999999998</v>
      </c>
      <c r="K24" s="37" t="s">
        <v>29</v>
      </c>
      <c r="L24" s="39">
        <v>2.8</v>
      </c>
      <c r="M24" s="40" t="s">
        <v>27</v>
      </c>
    </row>
    <row r="25" spans="2:13" ht="35.1" customHeight="1" x14ac:dyDescent="0.25">
      <c r="B25" s="31">
        <v>19</v>
      </c>
      <c r="C25" s="101" t="s">
        <v>25</v>
      </c>
      <c r="D25" s="101"/>
      <c r="E25" s="101"/>
      <c r="F25" s="101"/>
      <c r="G25" s="32" t="s">
        <v>54</v>
      </c>
      <c r="H25" s="32" t="s">
        <v>37</v>
      </c>
      <c r="I25" s="33">
        <v>1130</v>
      </c>
      <c r="J25" s="34">
        <v>3.5</v>
      </c>
      <c r="K25" s="32" t="s">
        <v>26</v>
      </c>
      <c r="L25" s="34">
        <v>7</v>
      </c>
      <c r="M25" s="35" t="s">
        <v>65</v>
      </c>
    </row>
    <row r="26" spans="2:13" ht="35.1" customHeight="1" x14ac:dyDescent="0.25">
      <c r="B26" s="31">
        <v>20</v>
      </c>
      <c r="C26" s="101" t="s">
        <v>25</v>
      </c>
      <c r="D26" s="101"/>
      <c r="E26" s="101"/>
      <c r="F26" s="101"/>
      <c r="G26" s="32" t="s">
        <v>54</v>
      </c>
      <c r="H26" s="32" t="s">
        <v>15</v>
      </c>
      <c r="I26" s="33">
        <v>1130</v>
      </c>
      <c r="J26" s="34">
        <v>3.5</v>
      </c>
      <c r="K26" s="32" t="s">
        <v>26</v>
      </c>
      <c r="L26" s="34">
        <v>7</v>
      </c>
      <c r="M26" s="35" t="s">
        <v>66</v>
      </c>
    </row>
    <row r="27" spans="2:13" ht="35.1" customHeight="1" x14ac:dyDescent="0.25">
      <c r="B27" s="31">
        <v>21</v>
      </c>
      <c r="C27" s="101" t="s">
        <v>25</v>
      </c>
      <c r="D27" s="101"/>
      <c r="E27" s="101"/>
      <c r="F27" s="101"/>
      <c r="G27" s="32" t="s">
        <v>54</v>
      </c>
      <c r="H27" s="41" t="s">
        <v>35</v>
      </c>
      <c r="I27" s="33">
        <v>220</v>
      </c>
      <c r="J27" s="34">
        <v>2.2999999999999998</v>
      </c>
      <c r="K27" s="32" t="s">
        <v>29</v>
      </c>
      <c r="L27" s="34">
        <v>2.8</v>
      </c>
      <c r="M27" s="36" t="s">
        <v>27</v>
      </c>
    </row>
    <row r="28" spans="2:13" ht="35.1" customHeight="1" x14ac:dyDescent="0.25">
      <c r="B28" s="31">
        <v>22</v>
      </c>
      <c r="C28" s="101" t="s">
        <v>25</v>
      </c>
      <c r="D28" s="101"/>
      <c r="E28" s="101"/>
      <c r="F28" s="101"/>
      <c r="G28" s="32" t="s">
        <v>54</v>
      </c>
      <c r="H28" s="41" t="s">
        <v>35</v>
      </c>
      <c r="I28" s="33">
        <v>850</v>
      </c>
      <c r="J28" s="34">
        <v>3.5</v>
      </c>
      <c r="K28" s="32" t="s">
        <v>26</v>
      </c>
      <c r="L28" s="34">
        <v>2.8</v>
      </c>
      <c r="M28" s="36" t="s">
        <v>27</v>
      </c>
    </row>
    <row r="29" spans="2:13" ht="35.1" customHeight="1" x14ac:dyDescent="0.25">
      <c r="B29" s="31">
        <v>23</v>
      </c>
      <c r="C29" s="101" t="s">
        <v>25</v>
      </c>
      <c r="D29" s="101"/>
      <c r="E29" s="101"/>
      <c r="F29" s="101"/>
      <c r="G29" s="32" t="s">
        <v>54</v>
      </c>
      <c r="H29" s="32" t="s">
        <v>28</v>
      </c>
      <c r="I29" s="33">
        <v>220</v>
      </c>
      <c r="J29" s="34">
        <v>2.2999999999999998</v>
      </c>
      <c r="K29" s="32" t="s">
        <v>29</v>
      </c>
      <c r="L29" s="34">
        <v>2.8</v>
      </c>
      <c r="M29" s="36" t="s">
        <v>27</v>
      </c>
    </row>
    <row r="30" spans="2:13" ht="35.450000000000003" customHeight="1" thickBot="1" x14ac:dyDescent="0.3"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4"/>
    </row>
    <row r="31" spans="2:13" ht="31.35" customHeight="1" x14ac:dyDescent="0.25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</row>
    <row r="32" spans="2:13" ht="9.75" hidden="1" customHeight="1" x14ac:dyDescent="0.25">
      <c r="B32" s="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7"/>
    </row>
    <row r="33" spans="2:13" ht="21" customHeight="1" thickBot="1" x14ac:dyDescent="0.3">
      <c r="B33" s="93" t="s">
        <v>21</v>
      </c>
      <c r="C33" s="94"/>
      <c r="D33" s="94"/>
      <c r="E33" s="94"/>
      <c r="F33" s="94"/>
      <c r="G33" s="14"/>
      <c r="H33" s="94" t="s">
        <v>22</v>
      </c>
      <c r="I33" s="94"/>
      <c r="J33" s="14"/>
      <c r="K33" s="14"/>
      <c r="L33" s="15" t="s">
        <v>23</v>
      </c>
      <c r="M33" s="16"/>
    </row>
  </sheetData>
  <sheetProtection password="DE0D" sheet="1" objects="1" scenarios="1"/>
  <mergeCells count="39">
    <mergeCell ref="B33:F33"/>
    <mergeCell ref="H33:I33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B30:M30"/>
    <mergeCell ref="B31:M31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8:F8"/>
    <mergeCell ref="B1:M1"/>
    <mergeCell ref="B2:M2"/>
    <mergeCell ref="B3:F3"/>
    <mergeCell ref="J3:K3"/>
    <mergeCell ref="L3:M3"/>
    <mergeCell ref="B4:F4"/>
    <mergeCell ref="J4:K4"/>
    <mergeCell ref="L4:M4"/>
    <mergeCell ref="B5:F5"/>
    <mergeCell ref="J5:K5"/>
    <mergeCell ref="L5:M5"/>
    <mergeCell ref="C6:F6"/>
    <mergeCell ref="C7:F7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33"/>
  <sheetViews>
    <sheetView zoomScale="85" zoomScaleNormal="85" workbookViewId="0">
      <selection activeCell="I12" sqref="I12"/>
    </sheetView>
  </sheetViews>
  <sheetFormatPr defaultRowHeight="15" x14ac:dyDescent="0.25"/>
  <cols>
    <col min="1" max="1" width="4.140625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6.5703125" customWidth="1"/>
    <col min="9" max="9" width="17.8554687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</cols>
  <sheetData>
    <row r="1" spans="2:13" ht="55.5" customHeight="1" thickBot="1" x14ac:dyDescent="0.3">
      <c r="B1" s="67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2:13" ht="28.35" customHeight="1" x14ac:dyDescent="0.25">
      <c r="B2" s="70" t="s">
        <v>1</v>
      </c>
      <c r="C2" s="71"/>
      <c r="D2" s="71"/>
      <c r="E2" s="71"/>
      <c r="F2" s="72"/>
      <c r="G2" s="72"/>
      <c r="H2" s="72"/>
      <c r="I2" s="72"/>
      <c r="J2" s="72"/>
      <c r="K2" s="72"/>
      <c r="L2" s="72"/>
      <c r="M2" s="73"/>
    </row>
    <row r="3" spans="2:13" ht="15.95" customHeight="1" x14ac:dyDescent="0.25">
      <c r="B3" s="74" t="s">
        <v>2</v>
      </c>
      <c r="C3" s="75"/>
      <c r="D3" s="75"/>
      <c r="E3" s="75"/>
      <c r="F3" s="76"/>
      <c r="G3" s="28" t="s">
        <v>67</v>
      </c>
      <c r="H3" s="23" t="s">
        <v>55</v>
      </c>
      <c r="I3" s="26" t="s">
        <v>87</v>
      </c>
      <c r="J3" s="90" t="s">
        <v>56</v>
      </c>
      <c r="K3" s="91"/>
      <c r="L3" s="77" t="s">
        <v>57</v>
      </c>
      <c r="M3" s="78"/>
    </row>
    <row r="4" spans="2:13" ht="21" customHeight="1" x14ac:dyDescent="0.25">
      <c r="B4" s="81" t="s">
        <v>3</v>
      </c>
      <c r="C4" s="82"/>
      <c r="D4" s="82"/>
      <c r="E4" s="82"/>
      <c r="F4" s="83"/>
      <c r="G4" s="27" t="s">
        <v>4</v>
      </c>
      <c r="H4" s="25" t="s">
        <v>58</v>
      </c>
      <c r="I4" s="26">
        <v>3</v>
      </c>
      <c r="J4" s="77" t="s">
        <v>59</v>
      </c>
      <c r="K4" s="78"/>
      <c r="L4" s="79" t="s">
        <v>61</v>
      </c>
      <c r="M4" s="80"/>
    </row>
    <row r="5" spans="2:13" ht="21" customHeight="1" x14ac:dyDescent="0.25">
      <c r="B5" s="84" t="s">
        <v>5</v>
      </c>
      <c r="C5" s="76"/>
      <c r="D5" s="76"/>
      <c r="E5" s="76"/>
      <c r="F5" s="85"/>
      <c r="G5" s="28" t="s">
        <v>24</v>
      </c>
      <c r="H5" s="25" t="s">
        <v>60</v>
      </c>
      <c r="I5" s="26" t="s">
        <v>91</v>
      </c>
      <c r="J5" s="86" t="s">
        <v>6</v>
      </c>
      <c r="K5" s="87"/>
      <c r="L5" s="88" t="s">
        <v>7</v>
      </c>
      <c r="M5" s="89"/>
    </row>
    <row r="6" spans="2:13" ht="56.25" customHeight="1" x14ac:dyDescent="0.25">
      <c r="B6" s="12" t="s">
        <v>88</v>
      </c>
      <c r="C6" s="92" t="s">
        <v>9</v>
      </c>
      <c r="D6" s="92"/>
      <c r="E6" s="92"/>
      <c r="F6" s="92"/>
      <c r="G6" s="11" t="s">
        <v>10</v>
      </c>
      <c r="H6" s="29" t="s">
        <v>11</v>
      </c>
      <c r="I6" s="11" t="s">
        <v>12</v>
      </c>
      <c r="J6" s="11" t="s">
        <v>13</v>
      </c>
      <c r="K6" s="11" t="s">
        <v>14</v>
      </c>
      <c r="L6" s="11" t="s">
        <v>13</v>
      </c>
      <c r="M6" s="13" t="s">
        <v>14</v>
      </c>
    </row>
    <row r="7" spans="2:13" ht="35.1" customHeight="1" x14ac:dyDescent="0.25">
      <c r="B7" s="31">
        <v>1</v>
      </c>
      <c r="C7" s="101" t="s">
        <v>36</v>
      </c>
      <c r="D7" s="101"/>
      <c r="E7" s="101"/>
      <c r="F7" s="101"/>
      <c r="G7" s="32" t="s">
        <v>43</v>
      </c>
      <c r="H7" s="32" t="s">
        <v>37</v>
      </c>
      <c r="I7" s="33">
        <f>1340+20+10+10</f>
        <v>1380</v>
      </c>
      <c r="J7" s="9">
        <v>3</v>
      </c>
      <c r="K7" s="32" t="s">
        <v>39</v>
      </c>
      <c r="L7" s="56">
        <v>4.8</v>
      </c>
      <c r="M7" s="36" t="s">
        <v>52</v>
      </c>
    </row>
    <row r="8" spans="2:13" ht="35.1" customHeight="1" x14ac:dyDescent="0.25">
      <c r="B8" s="31">
        <v>2</v>
      </c>
      <c r="C8" s="101" t="s">
        <v>36</v>
      </c>
      <c r="D8" s="101"/>
      <c r="E8" s="101"/>
      <c r="F8" s="101"/>
      <c r="G8" s="32" t="s">
        <v>43</v>
      </c>
      <c r="H8" s="32" t="s">
        <v>38</v>
      </c>
      <c r="I8" s="33">
        <f>1340+20+10+10</f>
        <v>1380</v>
      </c>
      <c r="J8" s="9">
        <v>3</v>
      </c>
      <c r="K8" s="32" t="s">
        <v>39</v>
      </c>
      <c r="L8" s="56">
        <v>4.8</v>
      </c>
      <c r="M8" s="36" t="s">
        <v>52</v>
      </c>
    </row>
    <row r="9" spans="2:13" ht="35.1" customHeight="1" x14ac:dyDescent="0.25">
      <c r="B9" s="31">
        <v>3</v>
      </c>
      <c r="C9" s="101" t="s">
        <v>25</v>
      </c>
      <c r="D9" s="101"/>
      <c r="E9" s="101"/>
      <c r="F9" s="101"/>
      <c r="G9" s="32" t="s">
        <v>54</v>
      </c>
      <c r="H9" s="32" t="s">
        <v>19</v>
      </c>
      <c r="I9" s="33">
        <v>950</v>
      </c>
      <c r="J9" s="55">
        <v>2</v>
      </c>
      <c r="K9" s="36" t="s">
        <v>29</v>
      </c>
      <c r="L9" s="56">
        <v>3.5</v>
      </c>
      <c r="M9" s="36" t="s">
        <v>26</v>
      </c>
    </row>
    <row r="10" spans="2:13" ht="35.1" customHeight="1" x14ac:dyDescent="0.25">
      <c r="B10" s="31">
        <v>4</v>
      </c>
      <c r="C10" s="101" t="s">
        <v>25</v>
      </c>
      <c r="D10" s="101"/>
      <c r="E10" s="101"/>
      <c r="F10" s="101"/>
      <c r="G10" s="32" t="s">
        <v>54</v>
      </c>
      <c r="H10" s="32" t="s">
        <v>18</v>
      </c>
      <c r="I10" s="33">
        <v>390</v>
      </c>
      <c r="J10" s="55">
        <v>2</v>
      </c>
      <c r="K10" s="36" t="s">
        <v>29</v>
      </c>
      <c r="L10" s="56">
        <v>6</v>
      </c>
      <c r="M10" s="35" t="s">
        <v>41</v>
      </c>
    </row>
    <row r="11" spans="2:13" ht="35.1" customHeight="1" x14ac:dyDescent="0.25">
      <c r="B11" s="31">
        <v>5</v>
      </c>
      <c r="C11" s="101" t="s">
        <v>25</v>
      </c>
      <c r="D11" s="101"/>
      <c r="E11" s="101"/>
      <c r="F11" s="101"/>
      <c r="G11" s="32" t="s">
        <v>54</v>
      </c>
      <c r="H11" s="32" t="s">
        <v>18</v>
      </c>
      <c r="I11" s="33">
        <v>560</v>
      </c>
      <c r="J11" s="34">
        <v>3.5</v>
      </c>
      <c r="K11" s="32" t="s">
        <v>26</v>
      </c>
      <c r="L11" s="56">
        <v>6</v>
      </c>
      <c r="M11" s="35" t="s">
        <v>40</v>
      </c>
    </row>
    <row r="12" spans="2:13" ht="35.1" customHeight="1" x14ac:dyDescent="0.25">
      <c r="B12" s="31">
        <v>6</v>
      </c>
      <c r="C12" s="101" t="s">
        <v>25</v>
      </c>
      <c r="D12" s="101"/>
      <c r="E12" s="101"/>
      <c r="F12" s="101"/>
      <c r="G12" s="32" t="s">
        <v>54</v>
      </c>
      <c r="H12" s="32" t="s">
        <v>18</v>
      </c>
      <c r="I12" s="33">
        <v>285</v>
      </c>
      <c r="J12" s="34">
        <v>2.8</v>
      </c>
      <c r="K12" s="36" t="s">
        <v>27</v>
      </c>
      <c r="L12" s="56">
        <v>6</v>
      </c>
      <c r="M12" s="35" t="s">
        <v>41</v>
      </c>
    </row>
    <row r="13" spans="2:13" ht="35.1" customHeight="1" x14ac:dyDescent="0.25">
      <c r="B13" s="31">
        <v>7</v>
      </c>
      <c r="C13" s="101" t="s">
        <v>25</v>
      </c>
      <c r="D13" s="101"/>
      <c r="E13" s="101"/>
      <c r="F13" s="101"/>
      <c r="G13" s="32" t="s">
        <v>54</v>
      </c>
      <c r="H13" s="32" t="s">
        <v>16</v>
      </c>
      <c r="I13" s="33">
        <v>625</v>
      </c>
      <c r="J13" s="34">
        <v>3.5</v>
      </c>
      <c r="K13" s="32" t="s">
        <v>26</v>
      </c>
      <c r="L13" s="56">
        <v>6</v>
      </c>
      <c r="M13" s="35" t="s">
        <v>42</v>
      </c>
    </row>
    <row r="14" spans="2:13" ht="35.1" customHeight="1" x14ac:dyDescent="0.25">
      <c r="B14" s="31">
        <v>8</v>
      </c>
      <c r="C14" s="101" t="s">
        <v>25</v>
      </c>
      <c r="D14" s="101"/>
      <c r="E14" s="101"/>
      <c r="F14" s="101"/>
      <c r="G14" s="32" t="s">
        <v>54</v>
      </c>
      <c r="H14" s="32" t="s">
        <v>16</v>
      </c>
      <c r="I14" s="33">
        <v>230</v>
      </c>
      <c r="J14" s="34">
        <v>2.8</v>
      </c>
      <c r="K14" s="36" t="s">
        <v>27</v>
      </c>
      <c r="L14" s="56">
        <v>6</v>
      </c>
      <c r="M14" s="35" t="s">
        <v>45</v>
      </c>
    </row>
    <row r="15" spans="2:13" ht="35.1" customHeight="1" x14ac:dyDescent="0.25">
      <c r="B15" s="31">
        <v>9</v>
      </c>
      <c r="C15" s="101" t="s">
        <v>25</v>
      </c>
      <c r="D15" s="101"/>
      <c r="E15" s="101"/>
      <c r="F15" s="101"/>
      <c r="G15" s="32" t="s">
        <v>54</v>
      </c>
      <c r="H15" s="32" t="s">
        <v>16</v>
      </c>
      <c r="I15" s="33">
        <v>325</v>
      </c>
      <c r="J15" s="55">
        <v>2</v>
      </c>
      <c r="K15" s="32" t="s">
        <v>29</v>
      </c>
      <c r="L15" s="56">
        <v>6</v>
      </c>
      <c r="M15" s="35" t="s">
        <v>45</v>
      </c>
    </row>
    <row r="16" spans="2:13" ht="35.1" customHeight="1" x14ac:dyDescent="0.25">
      <c r="B16" s="31">
        <v>10</v>
      </c>
      <c r="C16" s="101" t="s">
        <v>25</v>
      </c>
      <c r="D16" s="101"/>
      <c r="E16" s="101"/>
      <c r="F16" s="101"/>
      <c r="G16" s="32" t="s">
        <v>54</v>
      </c>
      <c r="H16" s="32" t="s">
        <v>28</v>
      </c>
      <c r="I16" s="18">
        <v>185</v>
      </c>
      <c r="J16" s="34">
        <v>2.8</v>
      </c>
      <c r="K16" s="36" t="s">
        <v>27</v>
      </c>
      <c r="L16" s="56">
        <v>3.5</v>
      </c>
      <c r="M16" s="36" t="s">
        <v>26</v>
      </c>
    </row>
    <row r="17" spans="2:13" ht="35.1" customHeight="1" x14ac:dyDescent="0.25">
      <c r="B17" s="31">
        <v>11</v>
      </c>
      <c r="C17" s="101" t="s">
        <v>25</v>
      </c>
      <c r="D17" s="101"/>
      <c r="E17" s="101"/>
      <c r="F17" s="101"/>
      <c r="G17" s="32" t="s">
        <v>54</v>
      </c>
      <c r="H17" s="32" t="s">
        <v>17</v>
      </c>
      <c r="I17" s="18">
        <v>185</v>
      </c>
      <c r="J17" s="9">
        <v>3</v>
      </c>
      <c r="K17" s="32" t="s">
        <v>26</v>
      </c>
      <c r="L17" s="56">
        <v>2.8</v>
      </c>
      <c r="M17" s="36" t="s">
        <v>27</v>
      </c>
    </row>
    <row r="18" spans="2:13" ht="35.1" customHeight="1" x14ac:dyDescent="0.25">
      <c r="B18" s="31">
        <v>12</v>
      </c>
      <c r="C18" s="101" t="s">
        <v>30</v>
      </c>
      <c r="D18" s="101"/>
      <c r="E18" s="101"/>
      <c r="F18" s="101"/>
      <c r="G18" s="32" t="s">
        <v>31</v>
      </c>
      <c r="H18" s="32" t="s">
        <v>20</v>
      </c>
      <c r="I18" s="33">
        <v>480</v>
      </c>
      <c r="J18" s="9">
        <v>3</v>
      </c>
      <c r="K18" s="32" t="s">
        <v>32</v>
      </c>
      <c r="L18" s="57">
        <v>8.5</v>
      </c>
      <c r="M18" s="35" t="s">
        <v>49</v>
      </c>
    </row>
    <row r="19" spans="2:13" ht="35.1" customHeight="1" x14ac:dyDescent="0.25">
      <c r="B19" s="31">
        <v>13</v>
      </c>
      <c r="C19" s="101" t="s">
        <v>30</v>
      </c>
      <c r="D19" s="101"/>
      <c r="E19" s="101"/>
      <c r="F19" s="101"/>
      <c r="G19" s="32" t="s">
        <v>31</v>
      </c>
      <c r="H19" s="32" t="s">
        <v>20</v>
      </c>
      <c r="I19" s="33">
        <v>305</v>
      </c>
      <c r="J19" s="9">
        <v>7</v>
      </c>
      <c r="K19" s="27" t="s">
        <v>64</v>
      </c>
      <c r="L19" s="57">
        <v>8.5</v>
      </c>
      <c r="M19" s="35" t="s">
        <v>50</v>
      </c>
    </row>
    <row r="20" spans="2:13" ht="35.1" customHeight="1" x14ac:dyDescent="0.25">
      <c r="B20" s="31">
        <v>14</v>
      </c>
      <c r="C20" s="101" t="s">
        <v>30</v>
      </c>
      <c r="D20" s="101"/>
      <c r="E20" s="101"/>
      <c r="F20" s="101"/>
      <c r="G20" s="32" t="s">
        <v>31</v>
      </c>
      <c r="H20" s="32" t="s">
        <v>20</v>
      </c>
      <c r="I20" s="33">
        <v>425</v>
      </c>
      <c r="J20" s="34">
        <v>5</v>
      </c>
      <c r="K20" s="32" t="s">
        <v>34</v>
      </c>
      <c r="L20" s="57">
        <v>8.5</v>
      </c>
      <c r="M20" s="35" t="s">
        <v>51</v>
      </c>
    </row>
    <row r="21" spans="2:13" ht="49.5" customHeight="1" x14ac:dyDescent="0.25">
      <c r="B21" s="31">
        <v>15</v>
      </c>
      <c r="C21" s="101" t="s">
        <v>25</v>
      </c>
      <c r="D21" s="101"/>
      <c r="E21" s="101"/>
      <c r="F21" s="101"/>
      <c r="G21" s="32" t="s">
        <v>54</v>
      </c>
      <c r="H21" s="32" t="s">
        <v>44</v>
      </c>
      <c r="I21" s="33">
        <v>730</v>
      </c>
      <c r="J21" s="55">
        <v>2</v>
      </c>
      <c r="K21" s="36" t="s">
        <v>29</v>
      </c>
      <c r="L21" s="56">
        <v>6</v>
      </c>
      <c r="M21" s="35" t="s">
        <v>82</v>
      </c>
    </row>
    <row r="22" spans="2:13" ht="51" customHeight="1" x14ac:dyDescent="0.25">
      <c r="B22" s="31">
        <v>16</v>
      </c>
      <c r="C22" s="101" t="s">
        <v>25</v>
      </c>
      <c r="D22" s="101"/>
      <c r="E22" s="101"/>
      <c r="F22" s="101"/>
      <c r="G22" s="32" t="s">
        <v>54</v>
      </c>
      <c r="H22" s="32" t="s">
        <v>19</v>
      </c>
      <c r="I22" s="33">
        <v>730</v>
      </c>
      <c r="J22" s="55">
        <v>2</v>
      </c>
      <c r="K22" s="36" t="s">
        <v>29</v>
      </c>
      <c r="L22" s="56">
        <v>6</v>
      </c>
      <c r="M22" s="35" t="s">
        <v>83</v>
      </c>
    </row>
    <row r="23" spans="2:13" ht="35.1" customHeight="1" x14ac:dyDescent="0.25">
      <c r="B23" s="31">
        <v>17</v>
      </c>
      <c r="C23" s="101" t="s">
        <v>25</v>
      </c>
      <c r="D23" s="101"/>
      <c r="E23" s="101"/>
      <c r="F23" s="101"/>
      <c r="G23" s="32" t="s">
        <v>54</v>
      </c>
      <c r="H23" s="37" t="s">
        <v>17</v>
      </c>
      <c r="I23" s="38">
        <v>190</v>
      </c>
      <c r="J23" s="55">
        <v>2</v>
      </c>
      <c r="K23" s="37" t="s">
        <v>29</v>
      </c>
      <c r="L23" s="58">
        <v>2.8</v>
      </c>
      <c r="M23" s="40" t="s">
        <v>27</v>
      </c>
    </row>
    <row r="24" spans="2:13" ht="35.1" customHeight="1" x14ac:dyDescent="0.25">
      <c r="B24" s="31">
        <v>18</v>
      </c>
      <c r="C24" s="101" t="s">
        <v>25</v>
      </c>
      <c r="D24" s="101"/>
      <c r="E24" s="101"/>
      <c r="F24" s="101"/>
      <c r="G24" s="32" t="s">
        <v>54</v>
      </c>
      <c r="H24" s="37" t="s">
        <v>15</v>
      </c>
      <c r="I24" s="38">
        <v>190</v>
      </c>
      <c r="J24" s="55">
        <v>2</v>
      </c>
      <c r="K24" s="37" t="s">
        <v>29</v>
      </c>
      <c r="L24" s="58">
        <v>2.8</v>
      </c>
      <c r="M24" s="40" t="s">
        <v>27</v>
      </c>
    </row>
    <row r="25" spans="2:13" ht="35.1" customHeight="1" x14ac:dyDescent="0.25">
      <c r="B25" s="31">
        <v>19</v>
      </c>
      <c r="C25" s="101" t="s">
        <v>25</v>
      </c>
      <c r="D25" s="101"/>
      <c r="E25" s="101"/>
      <c r="F25" s="101"/>
      <c r="G25" s="32" t="s">
        <v>54</v>
      </c>
      <c r="H25" s="32" t="s">
        <v>37</v>
      </c>
      <c r="I25" s="33">
        <v>1130</v>
      </c>
      <c r="J25" s="34">
        <v>3.5</v>
      </c>
      <c r="K25" s="32" t="s">
        <v>26</v>
      </c>
      <c r="L25" s="56">
        <v>6</v>
      </c>
      <c r="M25" s="35" t="s">
        <v>65</v>
      </c>
    </row>
    <row r="26" spans="2:13" ht="35.1" customHeight="1" x14ac:dyDescent="0.25">
      <c r="B26" s="31">
        <v>20</v>
      </c>
      <c r="C26" s="101" t="s">
        <v>25</v>
      </c>
      <c r="D26" s="101"/>
      <c r="E26" s="101"/>
      <c r="F26" s="101"/>
      <c r="G26" s="32" t="s">
        <v>54</v>
      </c>
      <c r="H26" s="32" t="s">
        <v>15</v>
      </c>
      <c r="I26" s="33">
        <v>1130</v>
      </c>
      <c r="J26" s="34">
        <v>3.5</v>
      </c>
      <c r="K26" s="32" t="s">
        <v>26</v>
      </c>
      <c r="L26" s="56">
        <v>6</v>
      </c>
      <c r="M26" s="35" t="s">
        <v>66</v>
      </c>
    </row>
    <row r="27" spans="2:13" ht="35.1" customHeight="1" x14ac:dyDescent="0.25">
      <c r="B27" s="31">
        <v>21</v>
      </c>
      <c r="C27" s="101" t="s">
        <v>25</v>
      </c>
      <c r="D27" s="101"/>
      <c r="E27" s="101"/>
      <c r="F27" s="101"/>
      <c r="G27" s="32" t="s">
        <v>54</v>
      </c>
      <c r="H27" s="41" t="s">
        <v>35</v>
      </c>
      <c r="I27" s="33">
        <v>220</v>
      </c>
      <c r="J27" s="55">
        <v>2</v>
      </c>
      <c r="K27" s="32" t="s">
        <v>29</v>
      </c>
      <c r="L27" s="56">
        <v>2.8</v>
      </c>
      <c r="M27" s="36" t="s">
        <v>27</v>
      </c>
    </row>
    <row r="28" spans="2:13" ht="35.1" customHeight="1" x14ac:dyDescent="0.25">
      <c r="B28" s="31">
        <v>22</v>
      </c>
      <c r="C28" s="101" t="s">
        <v>25</v>
      </c>
      <c r="D28" s="101"/>
      <c r="E28" s="101"/>
      <c r="F28" s="101"/>
      <c r="G28" s="32" t="s">
        <v>54</v>
      </c>
      <c r="H28" s="41" t="s">
        <v>35</v>
      </c>
      <c r="I28" s="33">
        <v>850</v>
      </c>
      <c r="J28" s="34">
        <v>3.5</v>
      </c>
      <c r="K28" s="32" t="s">
        <v>26</v>
      </c>
      <c r="L28" s="56">
        <v>2.8</v>
      </c>
      <c r="M28" s="36" t="s">
        <v>27</v>
      </c>
    </row>
    <row r="29" spans="2:13" ht="35.1" customHeight="1" x14ac:dyDescent="0.25">
      <c r="B29" s="31">
        <v>23</v>
      </c>
      <c r="C29" s="101" t="s">
        <v>25</v>
      </c>
      <c r="D29" s="101"/>
      <c r="E29" s="101"/>
      <c r="F29" s="101"/>
      <c r="G29" s="32" t="s">
        <v>54</v>
      </c>
      <c r="H29" s="32" t="s">
        <v>28</v>
      </c>
      <c r="I29" s="33">
        <v>220</v>
      </c>
      <c r="J29" s="55">
        <v>2</v>
      </c>
      <c r="K29" s="32" t="s">
        <v>29</v>
      </c>
      <c r="L29" s="56">
        <v>2.8</v>
      </c>
      <c r="M29" s="36" t="s">
        <v>27</v>
      </c>
    </row>
    <row r="30" spans="2:13" ht="35.450000000000003" customHeight="1" thickBot="1" x14ac:dyDescent="0.3"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4"/>
    </row>
    <row r="31" spans="2:13" ht="31.35" customHeight="1" x14ac:dyDescent="0.25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</row>
    <row r="32" spans="2:13" ht="9.75" hidden="1" customHeight="1" x14ac:dyDescent="0.25">
      <c r="B32" s="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7"/>
    </row>
    <row r="33" spans="2:13" ht="21" customHeight="1" thickBot="1" x14ac:dyDescent="0.3">
      <c r="B33" s="93" t="s">
        <v>21</v>
      </c>
      <c r="C33" s="94"/>
      <c r="D33" s="94"/>
      <c r="E33" s="94"/>
      <c r="F33" s="94"/>
      <c r="G33" s="30"/>
      <c r="H33" s="94" t="s">
        <v>22</v>
      </c>
      <c r="I33" s="94"/>
      <c r="J33" s="30"/>
      <c r="K33" s="30"/>
      <c r="L33" s="15" t="s">
        <v>23</v>
      </c>
      <c r="M33" s="16"/>
    </row>
  </sheetData>
  <sheetProtection password="DE0D" sheet="1" objects="1" scenarios="1"/>
  <mergeCells count="39">
    <mergeCell ref="C8:F8"/>
    <mergeCell ref="B1:M1"/>
    <mergeCell ref="B2:M2"/>
    <mergeCell ref="B3:F3"/>
    <mergeCell ref="J3:K3"/>
    <mergeCell ref="L3:M3"/>
    <mergeCell ref="B4:F4"/>
    <mergeCell ref="J4:K4"/>
    <mergeCell ref="L4:M4"/>
    <mergeCell ref="B5:F5"/>
    <mergeCell ref="J5:K5"/>
    <mergeCell ref="L5:M5"/>
    <mergeCell ref="C6:F6"/>
    <mergeCell ref="C7:F7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B33:F33"/>
    <mergeCell ref="H33:I33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B30:M30"/>
    <mergeCell ref="B31:M31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33"/>
  <sheetViews>
    <sheetView tabSelected="1" topLeftCell="K1" zoomScale="85" zoomScaleNormal="85" workbookViewId="0">
      <selection activeCell="Q1" sqref="Q1:Q1048576"/>
    </sheetView>
  </sheetViews>
  <sheetFormatPr defaultRowHeight="15" x14ac:dyDescent="0.25"/>
  <cols>
    <col min="1" max="1" width="4.140625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6.5703125" customWidth="1"/>
    <col min="9" max="9" width="17.8554687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  <col min="16" max="16" width="35.28515625" bestFit="1" customWidth="1"/>
  </cols>
  <sheetData>
    <row r="1" spans="2:16" ht="55.5" customHeight="1" thickBot="1" x14ac:dyDescent="0.3">
      <c r="B1" s="67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2:16" ht="28.35" customHeight="1" x14ac:dyDescent="0.25">
      <c r="B2" s="70" t="s">
        <v>1</v>
      </c>
      <c r="C2" s="71"/>
      <c r="D2" s="71"/>
      <c r="E2" s="71"/>
      <c r="F2" s="72"/>
      <c r="G2" s="72"/>
      <c r="H2" s="72"/>
      <c r="I2" s="72"/>
      <c r="J2" s="72"/>
      <c r="K2" s="72"/>
      <c r="L2" s="72"/>
      <c r="M2" s="73"/>
    </row>
    <row r="3" spans="2:16" ht="15.95" customHeight="1" x14ac:dyDescent="0.25">
      <c r="B3" s="74" t="s">
        <v>2</v>
      </c>
      <c r="C3" s="75"/>
      <c r="D3" s="75"/>
      <c r="E3" s="75"/>
      <c r="F3" s="76"/>
      <c r="G3" s="62" t="s">
        <v>67</v>
      </c>
      <c r="H3" s="23" t="s">
        <v>55</v>
      </c>
      <c r="I3" s="63" t="s">
        <v>87</v>
      </c>
      <c r="J3" s="90" t="s">
        <v>56</v>
      </c>
      <c r="K3" s="91"/>
      <c r="L3" s="77" t="s">
        <v>94</v>
      </c>
      <c r="M3" s="78"/>
    </row>
    <row r="4" spans="2:16" ht="21" customHeight="1" x14ac:dyDescent="0.25">
      <c r="B4" s="81" t="s">
        <v>3</v>
      </c>
      <c r="C4" s="82"/>
      <c r="D4" s="82"/>
      <c r="E4" s="82"/>
      <c r="F4" s="83"/>
      <c r="G4" s="59" t="s">
        <v>4</v>
      </c>
      <c r="H4" s="25" t="s">
        <v>58</v>
      </c>
      <c r="I4" s="63">
        <v>3</v>
      </c>
      <c r="J4" s="77" t="s">
        <v>59</v>
      </c>
      <c r="K4" s="78"/>
      <c r="L4" s="79" t="s">
        <v>95</v>
      </c>
      <c r="M4" s="80"/>
    </row>
    <row r="5" spans="2:16" ht="21" customHeight="1" x14ac:dyDescent="0.25">
      <c r="B5" s="84" t="s">
        <v>5</v>
      </c>
      <c r="C5" s="76"/>
      <c r="D5" s="76"/>
      <c r="E5" s="76"/>
      <c r="F5" s="85"/>
      <c r="G5" s="62" t="s">
        <v>24</v>
      </c>
      <c r="H5" s="25" t="s">
        <v>60</v>
      </c>
      <c r="I5" s="63" t="s">
        <v>91</v>
      </c>
      <c r="J5" s="86" t="s">
        <v>6</v>
      </c>
      <c r="K5" s="87"/>
      <c r="L5" s="88" t="s">
        <v>7</v>
      </c>
      <c r="M5" s="89"/>
    </row>
    <row r="6" spans="2:16" ht="56.25" customHeight="1" x14ac:dyDescent="0.25">
      <c r="B6" s="12" t="s">
        <v>88</v>
      </c>
      <c r="C6" s="92" t="s">
        <v>9</v>
      </c>
      <c r="D6" s="92"/>
      <c r="E6" s="92"/>
      <c r="F6" s="92"/>
      <c r="G6" s="11" t="s">
        <v>10</v>
      </c>
      <c r="H6" s="61" t="s">
        <v>11</v>
      </c>
      <c r="I6" s="11" t="s">
        <v>12</v>
      </c>
      <c r="J6" s="11" t="s">
        <v>13</v>
      </c>
      <c r="K6" s="11" t="s">
        <v>14</v>
      </c>
      <c r="L6" s="11" t="s">
        <v>13</v>
      </c>
      <c r="M6" s="13" t="s">
        <v>14</v>
      </c>
      <c r="O6" t="s">
        <v>109</v>
      </c>
      <c r="P6" t="s">
        <v>110</v>
      </c>
    </row>
    <row r="7" spans="2:16" ht="35.1" customHeight="1" x14ac:dyDescent="0.25">
      <c r="B7" s="31">
        <v>1</v>
      </c>
      <c r="C7" s="101" t="s">
        <v>36</v>
      </c>
      <c r="D7" s="101"/>
      <c r="E7" s="101"/>
      <c r="F7" s="101"/>
      <c r="G7" s="64" t="s">
        <v>43</v>
      </c>
      <c r="H7" s="64" t="s">
        <v>37</v>
      </c>
      <c r="I7" s="33">
        <f>1340+20+10+10</f>
        <v>1380</v>
      </c>
      <c r="J7" s="9">
        <v>3</v>
      </c>
      <c r="K7" s="64" t="s">
        <v>39</v>
      </c>
      <c r="L7" s="56">
        <v>4.8</v>
      </c>
      <c r="M7" s="36" t="s">
        <v>52</v>
      </c>
      <c r="O7" t="s">
        <v>97</v>
      </c>
      <c r="P7" t="s">
        <v>111</v>
      </c>
    </row>
    <row r="8" spans="2:16" ht="35.1" customHeight="1" x14ac:dyDescent="0.25">
      <c r="B8" s="31">
        <v>2</v>
      </c>
      <c r="C8" s="101" t="s">
        <v>36</v>
      </c>
      <c r="D8" s="101"/>
      <c r="E8" s="101"/>
      <c r="F8" s="101"/>
      <c r="G8" s="64" t="s">
        <v>43</v>
      </c>
      <c r="H8" s="64" t="s">
        <v>38</v>
      </c>
      <c r="I8" s="33">
        <f>1340+20+10+10</f>
        <v>1380</v>
      </c>
      <c r="J8" s="9">
        <v>3</v>
      </c>
      <c r="K8" s="64" t="s">
        <v>39</v>
      </c>
      <c r="L8" s="56">
        <v>4.8</v>
      </c>
      <c r="M8" s="36" t="s">
        <v>52</v>
      </c>
      <c r="O8" t="s">
        <v>98</v>
      </c>
      <c r="P8" t="s">
        <v>112</v>
      </c>
    </row>
    <row r="9" spans="2:16" ht="35.1" customHeight="1" x14ac:dyDescent="0.25">
      <c r="B9" s="31">
        <v>3</v>
      </c>
      <c r="C9" s="101" t="s">
        <v>25</v>
      </c>
      <c r="D9" s="101"/>
      <c r="E9" s="101"/>
      <c r="F9" s="101"/>
      <c r="G9" s="64" t="s">
        <v>54</v>
      </c>
      <c r="H9" s="64" t="s">
        <v>19</v>
      </c>
      <c r="I9" s="33">
        <v>950</v>
      </c>
      <c r="J9" s="55">
        <v>2</v>
      </c>
      <c r="K9" s="36" t="s">
        <v>29</v>
      </c>
      <c r="L9" s="56">
        <v>3</v>
      </c>
      <c r="M9" s="36" t="s">
        <v>26</v>
      </c>
      <c r="O9" t="s">
        <v>99</v>
      </c>
      <c r="P9" t="s">
        <v>113</v>
      </c>
    </row>
    <row r="10" spans="2:16" ht="35.1" customHeight="1" x14ac:dyDescent="0.25">
      <c r="B10" s="31">
        <v>4</v>
      </c>
      <c r="C10" s="101" t="s">
        <v>25</v>
      </c>
      <c r="D10" s="101"/>
      <c r="E10" s="101"/>
      <c r="F10" s="101"/>
      <c r="G10" s="64" t="s">
        <v>54</v>
      </c>
      <c r="H10" s="64" t="s">
        <v>18</v>
      </c>
      <c r="I10" s="33">
        <v>390</v>
      </c>
      <c r="J10" s="55">
        <v>2</v>
      </c>
      <c r="K10" s="36" t="s">
        <v>29</v>
      </c>
      <c r="L10" s="56">
        <v>7</v>
      </c>
      <c r="M10" s="35" t="s">
        <v>41</v>
      </c>
      <c r="O10" t="s">
        <v>100</v>
      </c>
      <c r="P10" t="s">
        <v>114</v>
      </c>
    </row>
    <row r="11" spans="2:16" ht="35.1" customHeight="1" x14ac:dyDescent="0.25">
      <c r="B11" s="31">
        <v>5</v>
      </c>
      <c r="C11" s="101" t="s">
        <v>25</v>
      </c>
      <c r="D11" s="101"/>
      <c r="E11" s="101"/>
      <c r="F11" s="101"/>
      <c r="G11" s="64" t="s">
        <v>54</v>
      </c>
      <c r="H11" s="64" t="s">
        <v>18</v>
      </c>
      <c r="I11" s="33">
        <v>560</v>
      </c>
      <c r="J11" s="34">
        <v>3</v>
      </c>
      <c r="K11" s="64" t="s">
        <v>26</v>
      </c>
      <c r="L11" s="56">
        <v>7</v>
      </c>
      <c r="M11" s="35" t="s">
        <v>40</v>
      </c>
      <c r="O11" t="s">
        <v>100</v>
      </c>
      <c r="P11" t="s">
        <v>114</v>
      </c>
    </row>
    <row r="12" spans="2:16" ht="35.1" customHeight="1" x14ac:dyDescent="0.25">
      <c r="B12" s="31">
        <v>6</v>
      </c>
      <c r="C12" s="101" t="s">
        <v>25</v>
      </c>
      <c r="D12" s="101"/>
      <c r="E12" s="101"/>
      <c r="F12" s="101"/>
      <c r="G12" s="64" t="s">
        <v>54</v>
      </c>
      <c r="H12" s="64" t="s">
        <v>18</v>
      </c>
      <c r="I12" s="65">
        <f>285+15</f>
        <v>300</v>
      </c>
      <c r="J12" s="34">
        <v>3</v>
      </c>
      <c r="K12" s="36" t="s">
        <v>27</v>
      </c>
      <c r="L12" s="56">
        <v>7</v>
      </c>
      <c r="M12" s="35" t="s">
        <v>41</v>
      </c>
      <c r="O12" t="s">
        <v>100</v>
      </c>
      <c r="P12" t="s">
        <v>114</v>
      </c>
    </row>
    <row r="13" spans="2:16" ht="35.1" customHeight="1" x14ac:dyDescent="0.25">
      <c r="B13" s="31">
        <v>7</v>
      </c>
      <c r="C13" s="101" t="s">
        <v>25</v>
      </c>
      <c r="D13" s="101"/>
      <c r="E13" s="101"/>
      <c r="F13" s="101"/>
      <c r="G13" s="64" t="s">
        <v>54</v>
      </c>
      <c r="H13" s="64" t="s">
        <v>16</v>
      </c>
      <c r="I13" s="33">
        <v>625</v>
      </c>
      <c r="J13" s="34">
        <v>3</v>
      </c>
      <c r="K13" s="64" t="s">
        <v>26</v>
      </c>
      <c r="L13" s="56">
        <v>7</v>
      </c>
      <c r="M13" s="35" t="s">
        <v>42</v>
      </c>
      <c r="O13" t="s">
        <v>101</v>
      </c>
      <c r="P13" t="s">
        <v>115</v>
      </c>
    </row>
    <row r="14" spans="2:16" ht="35.1" customHeight="1" x14ac:dyDescent="0.25">
      <c r="B14" s="31">
        <v>8</v>
      </c>
      <c r="C14" s="101" t="s">
        <v>25</v>
      </c>
      <c r="D14" s="101"/>
      <c r="E14" s="101"/>
      <c r="F14" s="101"/>
      <c r="G14" s="64" t="s">
        <v>54</v>
      </c>
      <c r="H14" s="64" t="s">
        <v>16</v>
      </c>
      <c r="I14" s="33">
        <v>230</v>
      </c>
      <c r="J14" s="34">
        <v>3</v>
      </c>
      <c r="K14" s="36" t="s">
        <v>27</v>
      </c>
      <c r="L14" s="56">
        <v>7</v>
      </c>
      <c r="M14" s="35" t="s">
        <v>45</v>
      </c>
      <c r="O14" t="s">
        <v>101</v>
      </c>
      <c r="P14" t="s">
        <v>115</v>
      </c>
    </row>
    <row r="15" spans="2:16" ht="35.1" customHeight="1" x14ac:dyDescent="0.25">
      <c r="B15" s="31">
        <v>9</v>
      </c>
      <c r="C15" s="101" t="s">
        <v>25</v>
      </c>
      <c r="D15" s="101"/>
      <c r="E15" s="101"/>
      <c r="F15" s="101"/>
      <c r="G15" s="64" t="s">
        <v>54</v>
      </c>
      <c r="H15" s="64" t="s">
        <v>16</v>
      </c>
      <c r="I15" s="33">
        <v>325</v>
      </c>
      <c r="J15" s="55">
        <v>2</v>
      </c>
      <c r="K15" s="64" t="s">
        <v>29</v>
      </c>
      <c r="L15" s="56">
        <v>7</v>
      </c>
      <c r="M15" s="35" t="s">
        <v>45</v>
      </c>
      <c r="O15" t="s">
        <v>101</v>
      </c>
      <c r="P15" t="s">
        <v>115</v>
      </c>
    </row>
    <row r="16" spans="2:16" ht="35.1" customHeight="1" x14ac:dyDescent="0.25">
      <c r="B16" s="31">
        <v>10</v>
      </c>
      <c r="C16" s="101" t="s">
        <v>25</v>
      </c>
      <c r="D16" s="101"/>
      <c r="E16" s="101"/>
      <c r="F16" s="101"/>
      <c r="G16" s="64" t="s">
        <v>54</v>
      </c>
      <c r="H16" s="64" t="s">
        <v>28</v>
      </c>
      <c r="I16" s="18">
        <v>185</v>
      </c>
      <c r="J16" s="34">
        <v>3</v>
      </c>
      <c r="K16" s="36" t="s">
        <v>27</v>
      </c>
      <c r="L16" s="56">
        <v>3</v>
      </c>
      <c r="M16" s="36" t="s">
        <v>26</v>
      </c>
      <c r="O16" t="s">
        <v>102</v>
      </c>
      <c r="P16" t="s">
        <v>116</v>
      </c>
    </row>
    <row r="17" spans="2:16" ht="35.1" customHeight="1" x14ac:dyDescent="0.25">
      <c r="B17" s="31">
        <v>11</v>
      </c>
      <c r="C17" s="101" t="s">
        <v>25</v>
      </c>
      <c r="D17" s="101"/>
      <c r="E17" s="101"/>
      <c r="F17" s="101"/>
      <c r="G17" s="64" t="s">
        <v>54</v>
      </c>
      <c r="H17" s="64" t="s">
        <v>17</v>
      </c>
      <c r="I17" s="18">
        <v>185</v>
      </c>
      <c r="J17" s="9">
        <v>3</v>
      </c>
      <c r="K17" s="64" t="s">
        <v>26</v>
      </c>
      <c r="L17" s="56">
        <v>3</v>
      </c>
      <c r="M17" s="36" t="s">
        <v>27</v>
      </c>
      <c r="O17" t="s">
        <v>103</v>
      </c>
      <c r="P17" t="s">
        <v>117</v>
      </c>
    </row>
    <row r="18" spans="2:16" ht="35.1" customHeight="1" x14ac:dyDescent="0.25">
      <c r="B18" s="31">
        <v>12</v>
      </c>
      <c r="C18" s="101" t="s">
        <v>30</v>
      </c>
      <c r="D18" s="101"/>
      <c r="E18" s="101"/>
      <c r="F18" s="101"/>
      <c r="G18" s="64" t="s">
        <v>31</v>
      </c>
      <c r="H18" s="64" t="s">
        <v>20</v>
      </c>
      <c r="I18" s="33">
        <v>480</v>
      </c>
      <c r="J18" s="9">
        <v>3.5</v>
      </c>
      <c r="K18" s="64" t="s">
        <v>32</v>
      </c>
      <c r="L18" s="57">
        <v>11</v>
      </c>
      <c r="M18" s="35" t="s">
        <v>49</v>
      </c>
      <c r="O18" t="s">
        <v>104</v>
      </c>
      <c r="P18" t="s">
        <v>118</v>
      </c>
    </row>
    <row r="19" spans="2:16" ht="35.1" customHeight="1" x14ac:dyDescent="0.25">
      <c r="B19" s="31">
        <v>13</v>
      </c>
      <c r="C19" s="101" t="s">
        <v>30</v>
      </c>
      <c r="D19" s="101"/>
      <c r="E19" s="101"/>
      <c r="F19" s="101"/>
      <c r="G19" s="64" t="s">
        <v>31</v>
      </c>
      <c r="H19" s="64" t="s">
        <v>20</v>
      </c>
      <c r="I19" s="33">
        <v>305</v>
      </c>
      <c r="J19" s="9">
        <v>7</v>
      </c>
      <c r="K19" s="59" t="s">
        <v>64</v>
      </c>
      <c r="L19" s="57">
        <v>11</v>
      </c>
      <c r="M19" s="35" t="s">
        <v>50</v>
      </c>
      <c r="O19" t="s">
        <v>104</v>
      </c>
      <c r="P19" t="s">
        <v>118</v>
      </c>
    </row>
    <row r="20" spans="2:16" ht="35.1" customHeight="1" x14ac:dyDescent="0.25">
      <c r="B20" s="31">
        <v>14</v>
      </c>
      <c r="C20" s="101" t="s">
        <v>30</v>
      </c>
      <c r="D20" s="101"/>
      <c r="E20" s="101"/>
      <c r="F20" s="101"/>
      <c r="G20" s="64" t="s">
        <v>31</v>
      </c>
      <c r="H20" s="64" t="s">
        <v>20</v>
      </c>
      <c r="I20" s="33">
        <v>425</v>
      </c>
      <c r="J20" s="34">
        <v>5</v>
      </c>
      <c r="K20" s="64" t="s">
        <v>34</v>
      </c>
      <c r="L20" s="57">
        <v>11</v>
      </c>
      <c r="M20" s="35" t="s">
        <v>51</v>
      </c>
      <c r="O20" t="s">
        <v>104</v>
      </c>
      <c r="P20" t="s">
        <v>118</v>
      </c>
    </row>
    <row r="21" spans="2:16" ht="49.5" customHeight="1" x14ac:dyDescent="0.25">
      <c r="B21" s="31">
        <v>15</v>
      </c>
      <c r="C21" s="101" t="s">
        <v>25</v>
      </c>
      <c r="D21" s="101"/>
      <c r="E21" s="101"/>
      <c r="F21" s="101"/>
      <c r="G21" s="64" t="s">
        <v>54</v>
      </c>
      <c r="H21" s="64" t="s">
        <v>44</v>
      </c>
      <c r="I21" s="33">
        <v>730</v>
      </c>
      <c r="J21" s="55">
        <v>2</v>
      </c>
      <c r="K21" s="36" t="s">
        <v>29</v>
      </c>
      <c r="L21" s="56">
        <v>7</v>
      </c>
      <c r="M21" s="35" t="s">
        <v>82</v>
      </c>
      <c r="O21" t="s">
        <v>105</v>
      </c>
      <c r="P21" t="s">
        <v>119</v>
      </c>
    </row>
    <row r="22" spans="2:16" ht="51" customHeight="1" x14ac:dyDescent="0.25">
      <c r="B22" s="31">
        <v>16</v>
      </c>
      <c r="C22" s="101" t="s">
        <v>25</v>
      </c>
      <c r="D22" s="101"/>
      <c r="E22" s="101"/>
      <c r="F22" s="101"/>
      <c r="G22" s="64" t="s">
        <v>54</v>
      </c>
      <c r="H22" s="64" t="s">
        <v>19</v>
      </c>
      <c r="I22" s="33">
        <v>730</v>
      </c>
      <c r="J22" s="55">
        <v>2</v>
      </c>
      <c r="K22" s="36" t="s">
        <v>29</v>
      </c>
      <c r="L22" s="56">
        <v>7</v>
      </c>
      <c r="M22" s="35" t="s">
        <v>83</v>
      </c>
      <c r="O22" t="s">
        <v>99</v>
      </c>
      <c r="P22" t="s">
        <v>113</v>
      </c>
    </row>
    <row r="23" spans="2:16" ht="35.1" customHeight="1" x14ac:dyDescent="0.25">
      <c r="B23" s="31">
        <v>17</v>
      </c>
      <c r="C23" s="101" t="s">
        <v>25</v>
      </c>
      <c r="D23" s="101"/>
      <c r="E23" s="101"/>
      <c r="F23" s="101"/>
      <c r="G23" s="64" t="s">
        <v>54</v>
      </c>
      <c r="H23" s="37" t="s">
        <v>17</v>
      </c>
      <c r="I23" s="38">
        <v>190</v>
      </c>
      <c r="J23" s="55">
        <v>2</v>
      </c>
      <c r="K23" s="37" t="s">
        <v>29</v>
      </c>
      <c r="L23" s="58">
        <v>3</v>
      </c>
      <c r="M23" s="40" t="s">
        <v>27</v>
      </c>
      <c r="O23" t="s">
        <v>103</v>
      </c>
      <c r="P23" t="s">
        <v>117</v>
      </c>
    </row>
    <row r="24" spans="2:16" ht="35.1" customHeight="1" x14ac:dyDescent="0.25">
      <c r="B24" s="31">
        <v>18</v>
      </c>
      <c r="C24" s="101" t="s">
        <v>25</v>
      </c>
      <c r="D24" s="101"/>
      <c r="E24" s="101"/>
      <c r="F24" s="101"/>
      <c r="G24" s="64" t="s">
        <v>54</v>
      </c>
      <c r="H24" s="37" t="s">
        <v>15</v>
      </c>
      <c r="I24" s="38">
        <v>190</v>
      </c>
      <c r="J24" s="55">
        <v>2</v>
      </c>
      <c r="K24" s="37" t="s">
        <v>29</v>
      </c>
      <c r="L24" s="58">
        <v>3</v>
      </c>
      <c r="M24" s="40" t="s">
        <v>27</v>
      </c>
      <c r="O24" t="s">
        <v>106</v>
      </c>
      <c r="P24" t="s">
        <v>120</v>
      </c>
    </row>
    <row r="25" spans="2:16" ht="35.1" customHeight="1" x14ac:dyDescent="0.25">
      <c r="B25" s="31">
        <v>19</v>
      </c>
      <c r="C25" s="101" t="s">
        <v>25</v>
      </c>
      <c r="D25" s="101"/>
      <c r="E25" s="101"/>
      <c r="F25" s="101"/>
      <c r="G25" s="64" t="s">
        <v>54</v>
      </c>
      <c r="H25" s="64" t="s">
        <v>37</v>
      </c>
      <c r="I25" s="33">
        <v>1130</v>
      </c>
      <c r="J25" s="34">
        <v>3</v>
      </c>
      <c r="K25" s="64" t="s">
        <v>26</v>
      </c>
      <c r="L25" s="56">
        <v>7</v>
      </c>
      <c r="M25" s="35" t="s">
        <v>65</v>
      </c>
      <c r="O25" t="s">
        <v>107</v>
      </c>
      <c r="P25" t="s">
        <v>121</v>
      </c>
    </row>
    <row r="26" spans="2:16" ht="35.1" customHeight="1" x14ac:dyDescent="0.25">
      <c r="B26" s="31">
        <v>20</v>
      </c>
      <c r="C26" s="101" t="s">
        <v>25</v>
      </c>
      <c r="D26" s="101"/>
      <c r="E26" s="101"/>
      <c r="F26" s="101"/>
      <c r="G26" s="64" t="s">
        <v>54</v>
      </c>
      <c r="H26" s="64" t="s">
        <v>15</v>
      </c>
      <c r="I26" s="33">
        <v>1130</v>
      </c>
      <c r="J26" s="34">
        <v>3</v>
      </c>
      <c r="K26" s="64" t="s">
        <v>26</v>
      </c>
      <c r="L26" s="56">
        <v>7</v>
      </c>
      <c r="M26" s="35" t="s">
        <v>66</v>
      </c>
      <c r="O26" t="s">
        <v>106</v>
      </c>
      <c r="P26" t="s">
        <v>120</v>
      </c>
    </row>
    <row r="27" spans="2:16" ht="35.1" customHeight="1" x14ac:dyDescent="0.25">
      <c r="B27" s="31">
        <v>21</v>
      </c>
      <c r="C27" s="101" t="s">
        <v>25</v>
      </c>
      <c r="D27" s="101"/>
      <c r="E27" s="101"/>
      <c r="F27" s="101"/>
      <c r="G27" s="64" t="s">
        <v>54</v>
      </c>
      <c r="H27" s="41" t="s">
        <v>35</v>
      </c>
      <c r="I27" s="33">
        <v>220</v>
      </c>
      <c r="J27" s="55">
        <v>2</v>
      </c>
      <c r="K27" s="64" t="s">
        <v>29</v>
      </c>
      <c r="L27" s="56">
        <v>3</v>
      </c>
      <c r="M27" s="36" t="s">
        <v>27</v>
      </c>
      <c r="O27" t="s">
        <v>108</v>
      </c>
      <c r="P27" t="s">
        <v>96</v>
      </c>
    </row>
    <row r="28" spans="2:16" ht="35.1" customHeight="1" x14ac:dyDescent="0.25">
      <c r="B28" s="31">
        <v>22</v>
      </c>
      <c r="C28" s="101" t="s">
        <v>25</v>
      </c>
      <c r="D28" s="101"/>
      <c r="E28" s="101"/>
      <c r="F28" s="101"/>
      <c r="G28" s="64" t="s">
        <v>54</v>
      </c>
      <c r="H28" s="41" t="s">
        <v>35</v>
      </c>
      <c r="I28" s="33">
        <v>850</v>
      </c>
      <c r="J28" s="34">
        <v>3</v>
      </c>
      <c r="K28" s="64" t="s">
        <v>26</v>
      </c>
      <c r="L28" s="56">
        <v>3</v>
      </c>
      <c r="M28" s="36" t="s">
        <v>27</v>
      </c>
      <c r="O28" t="s">
        <v>108</v>
      </c>
      <c r="P28" t="s">
        <v>96</v>
      </c>
    </row>
    <row r="29" spans="2:16" ht="35.1" customHeight="1" x14ac:dyDescent="0.25">
      <c r="B29" s="31">
        <v>23</v>
      </c>
      <c r="C29" s="101" t="s">
        <v>25</v>
      </c>
      <c r="D29" s="101"/>
      <c r="E29" s="101"/>
      <c r="F29" s="101"/>
      <c r="G29" s="64" t="s">
        <v>54</v>
      </c>
      <c r="H29" s="64" t="s">
        <v>28</v>
      </c>
      <c r="I29" s="33">
        <v>220</v>
      </c>
      <c r="J29" s="55">
        <v>2</v>
      </c>
      <c r="K29" s="64" t="s">
        <v>29</v>
      </c>
      <c r="L29" s="56">
        <v>3</v>
      </c>
      <c r="M29" s="36" t="s">
        <v>27</v>
      </c>
      <c r="O29" t="s">
        <v>102</v>
      </c>
      <c r="P29" t="s">
        <v>116</v>
      </c>
    </row>
    <row r="30" spans="2:16" ht="35.450000000000003" customHeight="1" thickBot="1" x14ac:dyDescent="0.3"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4"/>
    </row>
    <row r="31" spans="2:16" ht="31.35" customHeight="1" x14ac:dyDescent="0.25"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</row>
    <row r="32" spans="2:16" ht="9.75" hidden="1" customHeight="1" x14ac:dyDescent="0.25">
      <c r="B32" s="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7"/>
    </row>
    <row r="33" spans="2:13" ht="21" customHeight="1" thickBot="1" x14ac:dyDescent="0.3">
      <c r="B33" s="93" t="s">
        <v>21</v>
      </c>
      <c r="C33" s="94"/>
      <c r="D33" s="94"/>
      <c r="E33" s="94"/>
      <c r="F33" s="94"/>
      <c r="G33" s="60"/>
      <c r="H33" s="94" t="s">
        <v>22</v>
      </c>
      <c r="I33" s="94"/>
      <c r="J33" s="60"/>
      <c r="K33" s="60"/>
      <c r="L33" s="15" t="s">
        <v>23</v>
      </c>
      <c r="M33" s="16"/>
    </row>
  </sheetData>
  <mergeCells count="39">
    <mergeCell ref="B33:F33"/>
    <mergeCell ref="H33:I33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B30:M30"/>
    <mergeCell ref="B31:M31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8:F8"/>
    <mergeCell ref="B1:M1"/>
    <mergeCell ref="B2:M2"/>
    <mergeCell ref="B3:F3"/>
    <mergeCell ref="J3:K3"/>
    <mergeCell ref="L3:M3"/>
    <mergeCell ref="B4:F4"/>
    <mergeCell ref="J4:K4"/>
    <mergeCell ref="L4:M4"/>
    <mergeCell ref="B5:F5"/>
    <mergeCell ref="J5:K5"/>
    <mergeCell ref="L5:M5"/>
    <mergeCell ref="C6:F6"/>
    <mergeCell ref="C7:F7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F10" sqref="F10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05" t="s">
        <v>68</v>
      </c>
      <c r="B1" s="106"/>
      <c r="C1" s="106"/>
      <c r="D1" s="106"/>
      <c r="E1" s="106"/>
      <c r="F1" s="106"/>
      <c r="G1" s="106"/>
      <c r="H1" s="106"/>
      <c r="I1" s="107"/>
    </row>
    <row r="2" spans="1:9" ht="21" customHeight="1" x14ac:dyDescent="0.25">
      <c r="A2" s="42" t="s">
        <v>69</v>
      </c>
      <c r="B2" s="43" t="s">
        <v>70</v>
      </c>
      <c r="C2" s="43" t="s">
        <v>71</v>
      </c>
      <c r="D2" s="43" t="s">
        <v>72</v>
      </c>
      <c r="E2" s="43" t="s">
        <v>73</v>
      </c>
      <c r="F2" s="43" t="s">
        <v>74</v>
      </c>
      <c r="G2" s="43" t="s">
        <v>75</v>
      </c>
      <c r="H2" s="43" t="s">
        <v>76</v>
      </c>
      <c r="I2" s="44" t="s">
        <v>77</v>
      </c>
    </row>
    <row r="3" spans="1:9" ht="18" customHeight="1" x14ac:dyDescent="0.25">
      <c r="A3" s="45">
        <v>1</v>
      </c>
      <c r="B3" s="46" t="s">
        <v>84</v>
      </c>
      <c r="C3" s="46" t="s">
        <v>78</v>
      </c>
      <c r="D3" s="46">
        <v>2</v>
      </c>
      <c r="E3" s="46" t="s">
        <v>85</v>
      </c>
      <c r="F3" s="47">
        <v>8</v>
      </c>
      <c r="G3" s="47">
        <v>8.5</v>
      </c>
      <c r="H3" s="48">
        <v>45859</v>
      </c>
      <c r="I3" s="49" t="s">
        <v>80</v>
      </c>
    </row>
    <row r="4" spans="1:9" x14ac:dyDescent="0.25">
      <c r="A4" s="45">
        <v>2</v>
      </c>
      <c r="B4" s="46" t="s">
        <v>86</v>
      </c>
      <c r="C4" s="46" t="s">
        <v>81</v>
      </c>
      <c r="D4" s="46">
        <v>2</v>
      </c>
      <c r="E4" s="46" t="s">
        <v>79</v>
      </c>
      <c r="F4" s="47">
        <v>7</v>
      </c>
      <c r="G4" s="47">
        <v>6</v>
      </c>
      <c r="H4" s="48">
        <v>45859</v>
      </c>
      <c r="I4" s="49" t="s">
        <v>80</v>
      </c>
    </row>
    <row r="5" spans="1:9" ht="18" customHeight="1" x14ac:dyDescent="0.25">
      <c r="A5" s="45">
        <v>3</v>
      </c>
      <c r="B5" s="46" t="s">
        <v>89</v>
      </c>
      <c r="C5" s="46" t="s">
        <v>29</v>
      </c>
      <c r="D5" s="108">
        <v>3</v>
      </c>
      <c r="E5" s="46" t="s">
        <v>79</v>
      </c>
      <c r="F5" s="47">
        <v>2.5</v>
      </c>
      <c r="G5" s="47">
        <v>2</v>
      </c>
      <c r="H5" s="110">
        <v>45866</v>
      </c>
      <c r="I5" s="49" t="s">
        <v>90</v>
      </c>
    </row>
    <row r="6" spans="1:9" ht="18" customHeight="1" x14ac:dyDescent="0.25">
      <c r="A6" s="45">
        <v>4</v>
      </c>
      <c r="B6" s="46" t="s">
        <v>92</v>
      </c>
      <c r="C6" s="46" t="s">
        <v>27</v>
      </c>
      <c r="D6" s="109"/>
      <c r="E6" s="46" t="s">
        <v>93</v>
      </c>
      <c r="F6" s="66">
        <v>285</v>
      </c>
      <c r="G6" s="66">
        <v>300</v>
      </c>
      <c r="H6" s="111"/>
      <c r="I6" s="49" t="s">
        <v>80</v>
      </c>
    </row>
    <row r="7" spans="1:9" ht="18" customHeight="1" x14ac:dyDescent="0.25">
      <c r="A7" s="45">
        <v>5</v>
      </c>
      <c r="B7" s="46"/>
      <c r="C7" s="46"/>
      <c r="D7" s="46"/>
      <c r="E7" s="46"/>
      <c r="F7" s="47"/>
      <c r="G7" s="47"/>
      <c r="H7" s="46"/>
      <c r="I7" s="49"/>
    </row>
    <row r="8" spans="1:9" ht="18" customHeight="1" x14ac:dyDescent="0.25">
      <c r="A8" s="45">
        <v>6</v>
      </c>
      <c r="B8" s="46"/>
      <c r="C8" s="46"/>
      <c r="D8" s="46"/>
      <c r="E8" s="46"/>
      <c r="F8" s="47"/>
      <c r="G8" s="47"/>
      <c r="H8" s="46"/>
      <c r="I8" s="49"/>
    </row>
    <row r="9" spans="1:9" ht="18" customHeight="1" x14ac:dyDescent="0.25">
      <c r="A9" s="45">
        <v>7</v>
      </c>
      <c r="B9" s="46"/>
      <c r="C9" s="46"/>
      <c r="D9" s="46"/>
      <c r="E9" s="46"/>
      <c r="F9" s="47"/>
      <c r="G9" s="47"/>
      <c r="H9" s="46"/>
      <c r="I9" s="49"/>
    </row>
    <row r="10" spans="1:9" ht="18" customHeight="1" x14ac:dyDescent="0.25">
      <c r="A10" s="45">
        <v>8</v>
      </c>
      <c r="B10" s="46"/>
      <c r="C10" s="46"/>
      <c r="D10" s="46"/>
      <c r="E10" s="46"/>
      <c r="F10" s="47"/>
      <c r="G10" s="47"/>
      <c r="H10" s="46"/>
      <c r="I10" s="49"/>
    </row>
    <row r="11" spans="1:9" ht="18" customHeight="1" x14ac:dyDescent="0.25">
      <c r="A11" s="45">
        <v>9</v>
      </c>
      <c r="B11" s="46"/>
      <c r="C11" s="46"/>
      <c r="D11" s="46"/>
      <c r="E11" s="46"/>
      <c r="F11" s="47"/>
      <c r="G11" s="47"/>
      <c r="H11" s="46"/>
      <c r="I11" s="49"/>
    </row>
    <row r="12" spans="1:9" ht="18" customHeight="1" x14ac:dyDescent="0.25">
      <c r="A12" s="45">
        <v>10</v>
      </c>
      <c r="B12" s="46"/>
      <c r="C12" s="46"/>
      <c r="D12" s="46"/>
      <c r="E12" s="46"/>
      <c r="F12" s="47"/>
      <c r="G12" s="47"/>
      <c r="H12" s="46"/>
      <c r="I12" s="49"/>
    </row>
    <row r="13" spans="1:9" ht="18" customHeight="1" x14ac:dyDescent="0.25">
      <c r="A13" s="45"/>
      <c r="B13" s="46"/>
      <c r="C13" s="46"/>
      <c r="D13" s="46"/>
      <c r="E13" s="46"/>
      <c r="F13" s="47"/>
      <c r="G13" s="47"/>
      <c r="H13" s="46"/>
      <c r="I13" s="49"/>
    </row>
    <row r="14" spans="1:9" ht="18" customHeight="1" x14ac:dyDescent="0.25">
      <c r="A14" s="45"/>
      <c r="B14" s="46"/>
      <c r="C14" s="46"/>
      <c r="D14" s="46"/>
      <c r="E14" s="46"/>
      <c r="F14" s="47"/>
      <c r="G14" s="47"/>
      <c r="H14" s="46"/>
      <c r="I14" s="49"/>
    </row>
    <row r="15" spans="1:9" ht="18" customHeight="1" x14ac:dyDescent="0.25">
      <c r="A15" s="45"/>
      <c r="B15" s="46"/>
      <c r="C15" s="46"/>
      <c r="D15" s="46"/>
      <c r="E15" s="46"/>
      <c r="F15" s="47"/>
      <c r="G15" s="47"/>
      <c r="H15" s="46"/>
      <c r="I15" s="49"/>
    </row>
    <row r="16" spans="1:9" ht="18" customHeight="1" x14ac:dyDescent="0.25">
      <c r="A16" s="45"/>
      <c r="B16" s="46"/>
      <c r="C16" s="46"/>
      <c r="D16" s="46"/>
      <c r="E16" s="46"/>
      <c r="F16" s="47"/>
      <c r="G16" s="47"/>
      <c r="H16" s="46"/>
      <c r="I16" s="49"/>
    </row>
    <row r="17" spans="1:9" ht="18" customHeight="1" x14ac:dyDescent="0.25">
      <c r="A17" s="45"/>
      <c r="B17" s="46"/>
      <c r="C17" s="46"/>
      <c r="D17" s="46"/>
      <c r="E17" s="46"/>
      <c r="F17" s="47"/>
      <c r="G17" s="47"/>
      <c r="H17" s="46"/>
      <c r="I17" s="49"/>
    </row>
    <row r="18" spans="1:9" ht="18" customHeight="1" x14ac:dyDescent="0.25">
      <c r="A18" s="45"/>
      <c r="B18" s="46"/>
      <c r="C18" s="46"/>
      <c r="D18" s="46"/>
      <c r="E18" s="46"/>
      <c r="F18" s="47"/>
      <c r="G18" s="47"/>
      <c r="H18" s="46"/>
      <c r="I18" s="49"/>
    </row>
    <row r="19" spans="1:9" ht="18" customHeight="1" x14ac:dyDescent="0.25">
      <c r="A19" s="45"/>
      <c r="B19" s="46"/>
      <c r="C19" s="46"/>
      <c r="D19" s="46"/>
      <c r="E19" s="46"/>
      <c r="F19" s="47"/>
      <c r="G19" s="47"/>
      <c r="H19" s="46"/>
      <c r="I19" s="49"/>
    </row>
    <row r="20" spans="1:9" ht="18" customHeight="1" thickBot="1" x14ac:dyDescent="0.3">
      <c r="A20" s="50"/>
      <c r="B20" s="51"/>
      <c r="C20" s="51"/>
      <c r="D20" s="51"/>
      <c r="E20" s="51"/>
      <c r="F20" s="52"/>
      <c r="G20" s="52"/>
      <c r="H20" s="51"/>
      <c r="I20" s="53"/>
    </row>
    <row r="21" spans="1:9" x14ac:dyDescent="0.25">
      <c r="A21" s="54"/>
      <c r="B21" s="54"/>
      <c r="C21" s="54"/>
      <c r="D21" s="54"/>
      <c r="E21" s="54"/>
      <c r="F21" s="54"/>
      <c r="G21" s="54"/>
      <c r="H21" s="54"/>
      <c r="I21" s="54"/>
    </row>
  </sheetData>
  <mergeCells count="3">
    <mergeCell ref="A1:I1"/>
    <mergeCell ref="D5:D6"/>
    <mergeCell ref="H5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W11559736(0)</vt:lpstr>
      <vt:lpstr>W11559736(1)</vt:lpstr>
      <vt:lpstr>W11559736(2)</vt:lpstr>
      <vt:lpstr>W11559736(3)</vt:lpstr>
      <vt:lpstr>REVISION HISTORY</vt:lpstr>
      <vt:lpstr>'W11559736(0)'!Print_Area</vt:lpstr>
      <vt:lpstr>'W11559736(1)'!Print_Area</vt:lpstr>
      <vt:lpstr>'W11559736(2)'!Print_Area</vt:lpstr>
      <vt:lpstr>'W11559736(3)'!Print_Area</vt:lpstr>
      <vt:lpstr>'W11559736(0)'!Print_Titles</vt:lpstr>
      <vt:lpstr>'W11559736(1)'!Print_Titles</vt:lpstr>
      <vt:lpstr>'W11559736(2)'!Print_Titles</vt:lpstr>
      <vt:lpstr>'W11559736(3)'!Print_Titles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2025-11-27T09:10:37Z</cp:lastPrinted>
  <dcterms:created xsi:type="dcterms:W3CDTF">2022-06-15T04:51:40Z</dcterms:created>
  <dcterms:modified xsi:type="dcterms:W3CDTF">2025-12-14T09:35:45Z</dcterms:modified>
</cp:coreProperties>
</file>